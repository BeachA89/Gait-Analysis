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2.xml" ContentType="application/vnd.openxmlformats-officedocument.drawingml.chartshapes+xml"/>
  <Override PartName="/xl/charts/chart6.xml" ContentType="application/vnd.openxmlformats-officedocument.drawingml.chart+xml"/>
  <Override PartName="/xl/drawings/drawing3.xml" ContentType="application/vnd.openxmlformats-officedocument.drawingml.chartshapes+xml"/>
  <Override PartName="/xl/charts/chart7.xml" ContentType="application/vnd.openxmlformats-officedocument.drawingml.chart+xml"/>
  <Override PartName="/xl/drawings/drawing4.xml" ContentType="application/vnd.openxmlformats-officedocument.drawingml.chartshapes+xml"/>
  <Override PartName="/xl/charts/chart8.xml" ContentType="application/vnd.openxmlformats-officedocument.drawingml.chart+xml"/>
  <Override PartName="/xl/drawings/drawing5.xml" ContentType="application/vnd.openxmlformats-officedocument.drawingml.chartshapes+xml"/>
  <Override PartName="/xl/charts/chart9.xml" ContentType="application/vnd.openxmlformats-officedocument.drawingml.chart+xml"/>
  <Override PartName="/xl/drawings/drawing6.xml" ContentType="application/vnd.openxmlformats-officedocument.drawingml.chartshapes+xml"/>
  <Override PartName="/xl/charts/chart10.xml" ContentType="application/vnd.openxmlformats-officedocument.drawingml.chart+xml"/>
  <Override PartName="/xl/drawings/drawing7.xml" ContentType="application/vnd.openxmlformats-officedocument.drawingml.chartshapes+xml"/>
  <Override PartName="/xl/charts/chart11.xml" ContentType="application/vnd.openxmlformats-officedocument.drawingml.chart+xml"/>
  <Override PartName="/xl/drawings/drawing8.xml" ContentType="application/vnd.openxmlformats-officedocument.drawingml.chartshapes+xml"/>
  <Override PartName="/xl/charts/chart12.xml" ContentType="application/vnd.openxmlformats-officedocument.drawingml.chart+xml"/>
  <Override PartName="/xl/drawings/drawing9.xml" ContentType="application/vnd.openxmlformats-officedocument.drawingml.chartshapes+xml"/>
  <Override PartName="/xl/charts/chart13.xml" ContentType="application/vnd.openxmlformats-officedocument.drawingml.chart+xml"/>
  <Override PartName="/xl/drawings/drawing10.xml" ContentType="application/vnd.openxmlformats-officedocument.drawingml.chartshapes+xml"/>
  <Override PartName="/xl/charts/chart14.xml" ContentType="application/vnd.openxmlformats-officedocument.drawingml.chart+xml"/>
  <Override PartName="/xl/drawings/drawing11.xml" ContentType="application/vnd.openxmlformats-officedocument.drawingml.chartshapes+xml"/>
  <Override PartName="/xl/charts/chart15.xml" ContentType="application/vnd.openxmlformats-officedocument.drawingml.chart+xml"/>
  <Override PartName="/xl/drawings/drawing12.xml" ContentType="application/vnd.openxmlformats-officedocument.drawingml.chartshapes+xml"/>
  <Override PartName="/xl/charts/chart16.xml" ContentType="application/vnd.openxmlformats-officedocument.drawingml.chart+xml"/>
  <Override PartName="/xl/drawings/drawing13.xml" ContentType="application/vnd.openxmlformats-officedocument.drawingml.chartshapes+xml"/>
  <Override PartName="/xl/charts/chart17.xml" ContentType="application/vnd.openxmlformats-officedocument.drawingml.chart+xml"/>
  <Override PartName="/xl/drawings/drawing14.xml" ContentType="application/vnd.openxmlformats-officedocument.drawingml.chartshapes+xml"/>
  <Override PartName="/xl/charts/chart18.xml" ContentType="application/vnd.openxmlformats-officedocument.drawingml.chart+xml"/>
  <Override PartName="/xl/drawings/drawing15.xml" ContentType="application/vnd.openxmlformats-officedocument.drawingml.chartshapes+xml"/>
  <Override PartName="/xl/charts/chart19.xml" ContentType="application/vnd.openxmlformats-officedocument.drawingml.chart+xml"/>
  <Override PartName="/xl/drawings/drawing16.xml" ContentType="application/vnd.openxmlformats-officedocument.drawingml.chartshapes+xml"/>
  <Override PartName="/xl/charts/chart20.xml" ContentType="application/vnd.openxmlformats-officedocument.drawingml.chart+xml"/>
  <Override PartName="/xl/drawings/drawing17.xml" ContentType="application/vnd.openxmlformats-officedocument.drawingml.chartshapes+xml"/>
  <Override PartName="/xl/charts/chart21.xml" ContentType="application/vnd.openxmlformats-officedocument.drawingml.chart+xml"/>
  <Override PartName="/xl/drawings/drawing18.xml" ContentType="application/vnd.openxmlformats-officedocument.drawingml.chartshapes+xml"/>
  <Override PartName="/xl/charts/chart22.xml" ContentType="application/vnd.openxmlformats-officedocument.drawingml.chart+xml"/>
  <Override PartName="/xl/drawings/drawing19.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defaultThemeVersion="124226"/>
  <mc:AlternateContent xmlns:mc="http://schemas.openxmlformats.org/markup-compatibility/2006">
    <mc:Choice Requires="x15">
      <x15ac:absPath xmlns:x15ac="http://schemas.microsoft.com/office/spreadsheetml/2010/11/ac" url="W:\Athletics\Athletes\Tyler Gunn\Gait Screening 190523\"/>
    </mc:Choice>
  </mc:AlternateContent>
  <xr:revisionPtr revIDLastSave="0" documentId="8_{DE9A6562-3F15-479E-91D3-8ACE0839246C}" xr6:coauthVersionLast="44" xr6:coauthVersionMax="44" xr10:uidLastSave="{00000000-0000-0000-0000-000000000000}"/>
  <bookViews>
    <workbookView xWindow="-120" yWindow="-120" windowWidth="29040" windowHeight="15840" tabRatio="816" xr2:uid="{00000000-000D-0000-FFFF-FFFF00000000}"/>
  </bookViews>
  <sheets>
    <sheet name="Report" sheetId="3" r:id="rId1"/>
    <sheet name="Static" sheetId="14" r:id="rId2"/>
    <sheet name="Left 1 ST" sheetId="1" r:id="rId3"/>
    <sheet name="Left 1 Kin" sheetId="2" r:id="rId4"/>
    <sheet name="Left 2 ST" sheetId="4" r:id="rId5"/>
    <sheet name="Left 2 Kin" sheetId="5" r:id="rId6"/>
    <sheet name="Left 3 ST" sheetId="6" r:id="rId7"/>
    <sheet name="Left 3 Kin" sheetId="7" r:id="rId8"/>
    <sheet name="Right 1 ST" sheetId="9" r:id="rId9"/>
    <sheet name="Right 1 Kin" sheetId="8" r:id="rId10"/>
    <sheet name="Right 2 ST" sheetId="10" r:id="rId11"/>
    <sheet name="Right 2 Kin" sheetId="11" r:id="rId12"/>
    <sheet name="Right 3 ST" sheetId="12" r:id="rId13"/>
    <sheet name="Right 3 Kin" sheetId="13" r:id="rId14"/>
    <sheet name="MinMax" sheetId="15" r:id="rId15"/>
    <sheet name="Normative" sheetId="17" r:id="rId16"/>
  </sheets>
  <functionGroups builtInGroupCount="19"/>
  <definedNames>
    <definedName name="_xlnm.Print_Area" localSheetId="0">Report!$A$1:$O$328</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R62" i="3" l="1"/>
  <c r="R61" i="3"/>
  <c r="R38" i="3"/>
  <c r="R37" i="3"/>
  <c r="R18" i="3"/>
  <c r="R17" i="3"/>
  <c r="E3" i="15"/>
  <c r="D3" i="15"/>
  <c r="C3" i="15"/>
  <c r="B3" i="15"/>
  <c r="E2" i="15"/>
  <c r="D2" i="15"/>
  <c r="C2" i="15"/>
  <c r="B2" i="15"/>
  <c r="R14" i="3" l="1"/>
  <c r="R59" i="3"/>
  <c r="R58" i="3"/>
  <c r="R310" i="3" a="1"/>
  <c r="R310" i="3" s="1"/>
  <c r="R308" i="3" a="1"/>
  <c r="R308" i="3" s="1"/>
  <c r="R296" i="3" a="1"/>
  <c r="R296" i="3" s="1"/>
  <c r="R294" i="3" a="1"/>
  <c r="R294" i="3" s="1"/>
  <c r="R280" i="3" a="1"/>
  <c r="R280" i="3" s="1"/>
  <c r="R278" i="3" a="1"/>
  <c r="R278" i="3" s="1"/>
  <c r="R263" i="3" a="1"/>
  <c r="R263" i="3" s="1"/>
  <c r="R248" i="3" a="1"/>
  <c r="R248" i="3" s="1"/>
  <c r="R233" i="3" a="1"/>
  <c r="R233" i="3" s="1"/>
  <c r="R216" i="3" a="1"/>
  <c r="R216" i="3" s="1"/>
  <c r="R202" i="3" a="1"/>
  <c r="R202" i="3" s="1"/>
  <c r="R189" i="3" a="1"/>
  <c r="R189" i="3" s="1"/>
  <c r="R173" i="3" a="1"/>
  <c r="R173" i="3" s="1"/>
  <c r="R158" i="3" a="1"/>
  <c r="R158" i="3" s="1"/>
  <c r="R143" i="3" a="1"/>
  <c r="R143" i="3" s="1"/>
  <c r="R126" i="3" a="1"/>
  <c r="R126" i="3" s="1"/>
  <c r="R110" i="3" a="1"/>
  <c r="R110" i="3" s="1"/>
  <c r="R96" i="3" a="1"/>
  <c r="R96" i="3" s="1"/>
  <c r="R309" i="3" a="1"/>
  <c r="R309" i="3" s="1"/>
  <c r="R307" i="3" a="1"/>
  <c r="R307" i="3" s="1"/>
  <c r="R295" i="3" a="1"/>
  <c r="R295" i="3" s="1"/>
  <c r="R293" i="3" a="1"/>
  <c r="R293" i="3" s="1"/>
  <c r="R279" i="3" a="1"/>
  <c r="R279" i="3" s="1"/>
  <c r="R277" i="3" a="1"/>
  <c r="R277" i="3" s="1"/>
  <c r="R262" i="3" a="1"/>
  <c r="R262" i="3" s="1"/>
  <c r="R247" i="3" a="1"/>
  <c r="R247" i="3" s="1"/>
  <c r="R232" i="3" a="1"/>
  <c r="R232" i="3" s="1"/>
  <c r="R215" i="3" a="1"/>
  <c r="R215" i="3" s="1"/>
  <c r="R201" i="3" a="1"/>
  <c r="R201" i="3" s="1"/>
  <c r="R188" i="3" a="1"/>
  <c r="R188" i="3" s="1"/>
  <c r="R172" i="3" a="1"/>
  <c r="R172" i="3" s="1"/>
  <c r="R157" i="3" a="1"/>
  <c r="R157" i="3" s="1"/>
  <c r="R142" i="3" a="1"/>
  <c r="R142" i="3" s="1"/>
  <c r="R125" i="3" a="1"/>
  <c r="R125" i="3" s="1"/>
  <c r="R109" i="3" a="1"/>
  <c r="R109" i="3" s="1"/>
  <c r="R95" i="3" a="1"/>
  <c r="R95" i="3" s="1"/>
  <c r="R13" i="3" l="1"/>
  <c r="S18" i="3" a="1"/>
  <c r="S17" i="3" a="1"/>
  <c r="O244" i="3"/>
  <c r="N244" i="3"/>
  <c r="M244" i="3"/>
  <c r="O231" i="3"/>
  <c r="N231" i="3"/>
  <c r="M231" i="3"/>
  <c r="O198" i="3"/>
  <c r="N198" i="3"/>
  <c r="M198" i="3"/>
  <c r="O186" i="3"/>
  <c r="N186" i="3"/>
  <c r="M186" i="3"/>
  <c r="O154" i="3"/>
  <c r="N154" i="3"/>
  <c r="M154" i="3"/>
  <c r="O142" i="3"/>
  <c r="N142" i="3"/>
  <c r="M142" i="3"/>
  <c r="O109" i="3"/>
  <c r="N109" i="3"/>
  <c r="M109" i="3"/>
  <c r="O95" i="3"/>
  <c r="N95" i="3"/>
  <c r="M95" i="3"/>
  <c r="N75" i="3"/>
  <c r="M75" i="3"/>
  <c r="L75" i="3"/>
  <c r="K75" i="3"/>
  <c r="J75" i="3"/>
  <c r="D75" i="3"/>
  <c r="O37" i="3"/>
  <c r="N37" i="3"/>
  <c r="M37" i="3"/>
  <c r="L37" i="3"/>
  <c r="O15" i="3"/>
  <c r="N15" i="3"/>
  <c r="M15" i="3"/>
  <c r="L15" i="3"/>
  <c r="K15" i="3"/>
  <c r="R7" i="3"/>
  <c r="R6" i="3"/>
  <c r="C10" i="3"/>
  <c r="C9" i="3"/>
  <c r="S18" i="3" l="1"/>
  <c r="S17" i="3"/>
  <c r="S310" i="3"/>
  <c r="S308" i="3"/>
  <c r="S296" i="3"/>
  <c r="S294" i="3"/>
  <c r="S280" i="3"/>
  <c r="S278" i="3"/>
  <c r="S263" i="3"/>
  <c r="S216" i="3"/>
  <c r="S202" i="3"/>
  <c r="S189" i="3"/>
  <c r="S158" i="3" a="1"/>
  <c r="S143" i="3"/>
  <c r="S126" i="3"/>
  <c r="S110" i="3"/>
  <c r="S96" i="3"/>
  <c r="S309" i="3"/>
  <c r="S307" i="3"/>
  <c r="S295" i="3"/>
  <c r="S293" i="3"/>
  <c r="S279" i="3"/>
  <c r="S277" i="3"/>
  <c r="S262" i="3"/>
  <c r="S247" i="3"/>
  <c r="S232" i="3"/>
  <c r="S215" i="3"/>
  <c r="S201" i="3"/>
  <c r="S188" i="3"/>
  <c r="S142" i="3"/>
  <c r="S125" i="3"/>
  <c r="S109" i="3"/>
  <c r="S95" i="3"/>
  <c r="N250" i="3"/>
  <c r="N249" i="3"/>
  <c r="N248" i="3"/>
  <c r="O237" i="3"/>
  <c r="O236" i="3"/>
  <c r="O235" i="3"/>
  <c r="M237" i="3"/>
  <c r="M236" i="3"/>
  <c r="M235" i="3"/>
  <c r="N246" i="3"/>
  <c r="N245" i="3"/>
  <c r="O233" i="3"/>
  <c r="O232" i="3"/>
  <c r="S173" i="3" a="1"/>
  <c r="S172" i="3" a="1"/>
  <c r="S157" i="3" a="1"/>
  <c r="S62" i="3"/>
  <c r="S61" i="3"/>
  <c r="S59" i="3"/>
  <c r="S58" i="3"/>
  <c r="S38" i="3"/>
  <c r="S37" i="3"/>
  <c r="U293" i="3"/>
  <c r="U310" i="3"/>
  <c r="U216" i="3"/>
  <c r="U62" i="3"/>
  <c r="U262" i="3"/>
  <c r="U109" i="3"/>
  <c r="U96" i="3"/>
  <c r="U294" i="3"/>
  <c r="U59" i="3"/>
  <c r="U309" i="3"/>
  <c r="U215" i="3"/>
  <c r="U61" i="3"/>
  <c r="U95" i="3"/>
  <c r="U278" i="3"/>
  <c r="U143" i="3" a="1"/>
  <c r="U277" i="3"/>
  <c r="U296" i="3"/>
  <c r="U189" i="3" a="1"/>
  <c r="U232" i="3"/>
  <c r="U280" i="3"/>
  <c r="U125" i="3" a="1"/>
  <c r="U295" i="3"/>
  <c r="U188" i="3" a="1"/>
  <c r="U37" i="3"/>
  <c r="U202" i="3"/>
  <c r="U307" i="3"/>
  <c r="U201" i="3"/>
  <c r="U263" i="3"/>
  <c r="U110" i="3"/>
  <c r="U279" i="3"/>
  <c r="U126" i="3" a="1"/>
  <c r="U247" i="3"/>
  <c r="U308" i="3"/>
  <c r="U142" i="3" a="1"/>
  <c r="U38" i="3"/>
  <c r="U58" i="3"/>
  <c r="O234" i="3" l="1"/>
  <c r="S158" i="3"/>
  <c r="S157" i="3"/>
  <c r="S172" i="3"/>
  <c r="S173" i="3"/>
  <c r="U189" i="3"/>
  <c r="U188" i="3"/>
  <c r="U125" i="3"/>
  <c r="U126" i="3"/>
  <c r="U142" i="3"/>
  <c r="U143" i="3"/>
  <c r="U157" i="3" a="1"/>
  <c r="U158" i="3" a="1"/>
  <c r="U173" i="3" a="1"/>
  <c r="U172" i="3" a="1"/>
  <c r="U157" i="3" l="1"/>
  <c r="U158" i="3"/>
  <c r="U172" i="3"/>
  <c r="U173" i="3"/>
  <c r="M233" i="3" l="1"/>
  <c r="M232" i="3"/>
  <c r="O250" i="3" l="1"/>
  <c r="M250" i="3"/>
  <c r="O249" i="3"/>
  <c r="M249" i="3"/>
  <c r="O248" i="3"/>
  <c r="N251" i="3"/>
  <c r="M248" i="3"/>
  <c r="O246" i="3"/>
  <c r="M246" i="3"/>
  <c r="O245" i="3"/>
  <c r="M245" i="3"/>
  <c r="O247" i="3"/>
  <c r="N237" i="3"/>
  <c r="N236" i="3"/>
  <c r="N235" i="3"/>
  <c r="N233" i="3"/>
  <c r="N232" i="3"/>
  <c r="M234" i="3"/>
  <c r="N234" i="3" l="1"/>
  <c r="M238" i="3"/>
  <c r="O251" i="3"/>
  <c r="N238" i="3"/>
  <c r="M247" i="3"/>
  <c r="O238" i="3"/>
  <c r="N247" i="3"/>
  <c r="M251" i="3"/>
  <c r="N80" i="3"/>
  <c r="N81" i="3"/>
  <c r="N79" i="3"/>
  <c r="N77" i="3"/>
  <c r="N76" i="3"/>
  <c r="M81" i="3"/>
  <c r="L81" i="3"/>
  <c r="K81" i="3"/>
  <c r="J81" i="3"/>
  <c r="I81" i="3" s="1"/>
  <c r="M80" i="3"/>
  <c r="L80" i="3"/>
  <c r="K80" i="3"/>
  <c r="J80" i="3"/>
  <c r="I80" i="3" s="1"/>
  <c r="M79" i="3"/>
  <c r="L79" i="3"/>
  <c r="K79" i="3"/>
  <c r="K82" i="3" s="1"/>
  <c r="J79" i="3"/>
  <c r="I79" i="3" s="1"/>
  <c r="M77" i="3"/>
  <c r="L77" i="3"/>
  <c r="K77" i="3"/>
  <c r="J77" i="3"/>
  <c r="I77" i="3" s="1"/>
  <c r="M76" i="3"/>
  <c r="L76" i="3"/>
  <c r="K76" i="3"/>
  <c r="K78" i="3" s="1"/>
  <c r="J76" i="3"/>
  <c r="I76" i="3" s="1"/>
  <c r="I75" i="3"/>
  <c r="M9" i="3"/>
  <c r="N9" i="3"/>
  <c r="L9" i="3"/>
  <c r="J9" i="3"/>
  <c r="K9" i="3"/>
  <c r="I9" i="3"/>
  <c r="M8" i="3"/>
  <c r="N8" i="3"/>
  <c r="L8" i="3"/>
  <c r="J8" i="3"/>
  <c r="K8" i="3"/>
  <c r="I8" i="3"/>
  <c r="H9" i="3"/>
  <c r="G9" i="3"/>
  <c r="F9" i="3"/>
  <c r="H8" i="3"/>
  <c r="G8" i="3"/>
  <c r="F8" i="3"/>
  <c r="C8" i="3"/>
  <c r="M155" i="3"/>
  <c r="N155" i="3"/>
  <c r="M156" i="3"/>
  <c r="N156" i="3"/>
  <c r="I82" i="3" l="1"/>
  <c r="S233" i="3"/>
  <c r="S248" i="3"/>
  <c r="M78" i="3"/>
  <c r="M82" i="3"/>
  <c r="N82" i="3"/>
  <c r="L78" i="3"/>
  <c r="L82" i="3"/>
  <c r="N78" i="3"/>
  <c r="J78" i="3"/>
  <c r="J82" i="3"/>
  <c r="I78" i="3"/>
  <c r="N157" i="3"/>
  <c r="M157" i="3"/>
  <c r="U233" i="3"/>
  <c r="U248" i="3"/>
  <c r="R10" i="3" l="1"/>
  <c r="R9" i="3"/>
  <c r="D81" i="3"/>
  <c r="D80" i="3"/>
  <c r="D79" i="3"/>
  <c r="D77" i="3"/>
  <c r="D76" i="3"/>
  <c r="O204" i="3" l="1"/>
  <c r="N204" i="3"/>
  <c r="M204" i="3"/>
  <c r="O192" i="3"/>
  <c r="N192" i="3"/>
  <c r="M192" i="3"/>
  <c r="O160" i="3"/>
  <c r="N160" i="3"/>
  <c r="M160" i="3"/>
  <c r="O148" i="3"/>
  <c r="N148" i="3"/>
  <c r="M148" i="3"/>
  <c r="O115" i="3"/>
  <c r="N115" i="3"/>
  <c r="M115" i="3"/>
  <c r="O101" i="3"/>
  <c r="N101" i="3"/>
  <c r="M101" i="3"/>
  <c r="O203" i="3"/>
  <c r="N203" i="3"/>
  <c r="M203" i="3"/>
  <c r="O191" i="3"/>
  <c r="N191" i="3"/>
  <c r="M191" i="3"/>
  <c r="O159" i="3"/>
  <c r="N159" i="3"/>
  <c r="M159" i="3"/>
  <c r="O147" i="3"/>
  <c r="N147" i="3"/>
  <c r="M147" i="3"/>
  <c r="O114" i="3"/>
  <c r="N114" i="3"/>
  <c r="M114" i="3"/>
  <c r="O100" i="3"/>
  <c r="N100" i="3"/>
  <c r="M100" i="3"/>
  <c r="O202" i="3"/>
  <c r="N202" i="3"/>
  <c r="M202" i="3"/>
  <c r="O190" i="3"/>
  <c r="N190" i="3"/>
  <c r="M190" i="3"/>
  <c r="O158" i="3"/>
  <c r="N158" i="3"/>
  <c r="M158" i="3"/>
  <c r="O146" i="3"/>
  <c r="N146" i="3"/>
  <c r="M146" i="3"/>
  <c r="O113" i="3"/>
  <c r="N113" i="3"/>
  <c r="M113" i="3"/>
  <c r="O99" i="3"/>
  <c r="N99" i="3"/>
  <c r="M99" i="3"/>
  <c r="O200" i="3"/>
  <c r="N200" i="3"/>
  <c r="M200" i="3"/>
  <c r="O188" i="3"/>
  <c r="N188" i="3"/>
  <c r="M188" i="3"/>
  <c r="O156" i="3"/>
  <c r="O144" i="3"/>
  <c r="N144" i="3"/>
  <c r="M144" i="3"/>
  <c r="O111" i="3"/>
  <c r="N111" i="3"/>
  <c r="M111" i="3"/>
  <c r="O97" i="3"/>
  <c r="N97" i="3"/>
  <c r="M97" i="3"/>
  <c r="O199" i="3"/>
  <c r="N199" i="3"/>
  <c r="M199" i="3"/>
  <c r="O187" i="3"/>
  <c r="N187" i="3"/>
  <c r="M187" i="3"/>
  <c r="O155" i="3"/>
  <c r="O143" i="3"/>
  <c r="O145" i="3" s="1"/>
  <c r="N143" i="3"/>
  <c r="N145" i="3" s="1"/>
  <c r="M143" i="3"/>
  <c r="M145" i="3" s="1"/>
  <c r="O110" i="3"/>
  <c r="N110" i="3"/>
  <c r="M110" i="3"/>
  <c r="M112" i="3" s="1"/>
  <c r="O96" i="3"/>
  <c r="O98" i="3" s="1"/>
  <c r="N96" i="3"/>
  <c r="M96" i="3"/>
  <c r="M98" i="3" s="1"/>
  <c r="O201" i="3"/>
  <c r="N201" i="3"/>
  <c r="M201" i="3"/>
  <c r="O189" i="3"/>
  <c r="N189" i="3"/>
  <c r="O157" i="3"/>
  <c r="O112" i="3"/>
  <c r="N112" i="3"/>
  <c r="N98" i="3"/>
  <c r="O43" i="3"/>
  <c r="N43" i="3"/>
  <c r="M43" i="3"/>
  <c r="L43" i="3"/>
  <c r="O42" i="3"/>
  <c r="N42" i="3"/>
  <c r="M42" i="3"/>
  <c r="L42" i="3"/>
  <c r="O41" i="3"/>
  <c r="O44" i="3" s="1"/>
  <c r="N41" i="3"/>
  <c r="N44" i="3" s="1"/>
  <c r="M41" i="3"/>
  <c r="M44" i="3" s="1"/>
  <c r="L41" i="3"/>
  <c r="L44" i="3" s="1"/>
  <c r="O39" i="3"/>
  <c r="N39" i="3"/>
  <c r="M39" i="3"/>
  <c r="L39" i="3"/>
  <c r="O38" i="3"/>
  <c r="O40" i="3" s="1"/>
  <c r="N38" i="3"/>
  <c r="N40" i="3" s="1"/>
  <c r="M38" i="3"/>
  <c r="M40" i="3" s="1"/>
  <c r="L38" i="3"/>
  <c r="L40" i="3" s="1"/>
  <c r="O21" i="3"/>
  <c r="N21" i="3"/>
  <c r="M21" i="3"/>
  <c r="L21" i="3"/>
  <c r="K21" i="3"/>
  <c r="O20" i="3"/>
  <c r="N20" i="3"/>
  <c r="M20" i="3"/>
  <c r="L20" i="3"/>
  <c r="K20" i="3"/>
  <c r="O19" i="3"/>
  <c r="O22" i="3" s="1"/>
  <c r="N19" i="3"/>
  <c r="M19" i="3"/>
  <c r="M22" i="3" s="1"/>
  <c r="L19" i="3"/>
  <c r="L22" i="3" s="1"/>
  <c r="K19" i="3"/>
  <c r="K22" i="3" s="1"/>
  <c r="O17" i="3"/>
  <c r="N17" i="3"/>
  <c r="M17" i="3"/>
  <c r="L17" i="3"/>
  <c r="K17" i="3"/>
  <c r="O16" i="3"/>
  <c r="O18" i="3" s="1"/>
  <c r="N16" i="3"/>
  <c r="M16" i="3"/>
  <c r="M18" i="3" s="1"/>
  <c r="L16" i="3"/>
  <c r="K16" i="3"/>
  <c r="K18" i="3" s="1"/>
  <c r="L18" i="3" l="1"/>
  <c r="N18" i="3"/>
  <c r="N22" i="3"/>
  <c r="M189" i="3"/>
  <c r="M102" i="3"/>
  <c r="N116" i="3"/>
  <c r="O149" i="3"/>
  <c r="M193" i="3"/>
  <c r="N205" i="3"/>
  <c r="O205" i="3"/>
  <c r="N102" i="3"/>
  <c r="O116" i="3"/>
  <c r="M161" i="3"/>
  <c r="N193" i="3"/>
  <c r="O102" i="3"/>
  <c r="M149" i="3"/>
  <c r="N161" i="3"/>
  <c r="M116" i="3"/>
  <c r="N149" i="3"/>
  <c r="O161" i="3"/>
  <c r="O193" i="3"/>
  <c r="M205" i="3"/>
  <c r="D78" i="3"/>
  <c r="D82" i="3"/>
  <c r="U18" i="3"/>
  <c r="U17" i="3"/>
</calcChain>
</file>

<file path=xl/sharedStrings.xml><?xml version="1.0" encoding="utf-8"?>
<sst xmlns="http://schemas.openxmlformats.org/spreadsheetml/2006/main" count="1135" uniqueCount="294">
  <si>
    <t>Trial Information</t>
  </si>
  <si>
    <t xml:space="preserve">Trial Name: </t>
  </si>
  <si>
    <t>Trial04</t>
  </si>
  <si>
    <t xml:space="preserve">Subject Name: </t>
  </si>
  <si>
    <t>Tyler Gunn</t>
  </si>
  <si>
    <t xml:space="preserve">Bodymass(kg): </t>
  </si>
  <si>
    <t xml:space="preserve">Height (mm): </t>
  </si>
  <si>
    <t xml:space="preserve">Right Leg Length (mm): </t>
  </si>
  <si>
    <t xml:space="preserve">Right Knee Width (mm): </t>
  </si>
  <si>
    <t xml:space="preserve">Right Ankle Width (mm): </t>
  </si>
  <si>
    <t xml:space="preserve">SpatioTemporal: </t>
  </si>
  <si>
    <t xml:space="preserve">Right: </t>
  </si>
  <si>
    <t xml:space="preserve">Cadence (steps/min): </t>
  </si>
  <si>
    <t xml:space="preserve">Walking Speed (m/s): </t>
  </si>
  <si>
    <t xml:space="preserve">Stride Time (s): </t>
  </si>
  <si>
    <t xml:space="preserve">Step Time (s): </t>
  </si>
  <si>
    <t xml:space="preserve">Opposite Foot Contact (%): </t>
  </si>
  <si>
    <t xml:space="preserve">Foot Off (%): </t>
  </si>
  <si>
    <t xml:space="preserve">Stride Length (m): </t>
  </si>
  <si>
    <t xml:space="preserve">Step Length (m): </t>
  </si>
  <si>
    <t xml:space="preserve">Step Width (m): </t>
  </si>
  <si>
    <t xml:space="preserve">Opposite Foot Off (%): </t>
  </si>
  <si>
    <t xml:space="preserve">Double Support (s): </t>
  </si>
  <si>
    <t xml:space="preserve">Swing Phase (%): </t>
  </si>
  <si>
    <t>COM velocity</t>
  </si>
  <si>
    <t>COM height</t>
  </si>
  <si>
    <t>X GRF</t>
  </si>
  <si>
    <t>Y GRF</t>
  </si>
  <si>
    <t>Z GRF</t>
  </si>
  <si>
    <t>Right thorax tilt</t>
  </si>
  <si>
    <t>Right thorax obliquity</t>
  </si>
  <si>
    <t>Right thorax rotation</t>
  </si>
  <si>
    <t>Right pelvis tilt</t>
  </si>
  <si>
    <t>Right pelvis obliquity</t>
  </si>
  <si>
    <t>Right pelvis rotation</t>
  </si>
  <si>
    <t>Right hip flexion</t>
  </si>
  <si>
    <t>Right hip adduction</t>
  </si>
  <si>
    <t>Right hip rotation</t>
  </si>
  <si>
    <t>Right knee flexion</t>
  </si>
  <si>
    <t>Right knee adduction</t>
  </si>
  <si>
    <t>Right knee rotation</t>
  </si>
  <si>
    <t>Right ankle dorsiflexion</t>
  </si>
  <si>
    <t>Right foot progression</t>
  </si>
  <si>
    <t>Right thorax tilt vel</t>
  </si>
  <si>
    <t>Right thorax obliquity vel</t>
  </si>
  <si>
    <t>Right thorax rotation vel</t>
  </si>
  <si>
    <t>Right pelvis tilt vel</t>
  </si>
  <si>
    <t>Right pelvis obliquity vel</t>
  </si>
  <si>
    <t>Right pelvis rotation vel</t>
  </si>
  <si>
    <t>Right hip flexion vel</t>
  </si>
  <si>
    <t>Right hip adduction vel</t>
  </si>
  <si>
    <t>Right hip rotation vel</t>
  </si>
  <si>
    <t>Right knee flexion vel</t>
  </si>
  <si>
    <t>Right knee adduction vel</t>
  </si>
  <si>
    <t>Right knee rotation vel</t>
  </si>
  <si>
    <t>Right ankle dorsiflexion vel</t>
  </si>
  <si>
    <t>Right foot progression vel</t>
  </si>
  <si>
    <t>Right hip extensor moment</t>
  </si>
  <si>
    <t>Right hip abductor moment</t>
  </si>
  <si>
    <t>Right hip rotation moment</t>
  </si>
  <si>
    <t>Right total hip power</t>
  </si>
  <si>
    <t>Right knee extensor moment</t>
  </si>
  <si>
    <t>Right knee abductor moment</t>
  </si>
  <si>
    <t>Right knee rotation moment</t>
  </si>
  <si>
    <t>Right total knee power</t>
  </si>
  <si>
    <t>Right ankle plantarflexor moment</t>
  </si>
  <si>
    <t>Right ankle everter moment</t>
  </si>
  <si>
    <t>Right ankle rotation moment</t>
  </si>
  <si>
    <t>Right total ankle power</t>
  </si>
  <si>
    <t>COMvel</t>
  </si>
  <si>
    <t>COMHeight</t>
  </si>
  <si>
    <t>Hip to Toe Contact</t>
  </si>
  <si>
    <t>PropulsivePC</t>
  </si>
  <si>
    <t>Pelvis</t>
  </si>
  <si>
    <t>Thorax</t>
  </si>
  <si>
    <t>Hip</t>
  </si>
  <si>
    <t>Knee</t>
  </si>
  <si>
    <t>Ankle</t>
  </si>
  <si>
    <t>FootProg</t>
  </si>
  <si>
    <t>Xmax</t>
  </si>
  <si>
    <t>Ymax</t>
  </si>
  <si>
    <t>Zmax</t>
  </si>
  <si>
    <t>XRom</t>
  </si>
  <si>
    <t>YRom</t>
  </si>
  <si>
    <t>ZRom</t>
  </si>
  <si>
    <t>Xvelmax</t>
  </si>
  <si>
    <t>Yvelmax</t>
  </si>
  <si>
    <t>Zvelmax</t>
  </si>
  <si>
    <t>Biomechanical Gait Analysis</t>
  </si>
  <si>
    <t>Running Speed</t>
  </si>
  <si>
    <t>Contact</t>
  </si>
  <si>
    <t>Minimum</t>
  </si>
  <si>
    <t>Toe Off</t>
  </si>
  <si>
    <t>Ratio</t>
  </si>
  <si>
    <t>Left</t>
  </si>
  <si>
    <t>Trial 1</t>
  </si>
  <si>
    <t>Trial 2</t>
  </si>
  <si>
    <t>Trial 3</t>
  </si>
  <si>
    <t>Right</t>
  </si>
  <si>
    <t>Benchmark</t>
  </si>
  <si>
    <t>Centre of Mass Height</t>
  </si>
  <si>
    <t>Avg</t>
  </si>
  <si>
    <t>Ground Reaction Forces</t>
  </si>
  <si>
    <t>Joint Angles</t>
  </si>
  <si>
    <t>Peak Flexion Angle (degrees)</t>
  </si>
  <si>
    <t>Range of Motion (degrees)</t>
  </si>
  <si>
    <t>Anterior</t>
  </si>
  <si>
    <t>Frontal</t>
  </si>
  <si>
    <t>Transverse</t>
  </si>
  <si>
    <t>Joint Velocities</t>
  </si>
  <si>
    <t>Joint Moments</t>
  </si>
  <si>
    <t>Joint Powers</t>
  </si>
  <si>
    <t>Propulsion</t>
  </si>
  <si>
    <t>min</t>
  </si>
  <si>
    <t>TO</t>
  </si>
  <si>
    <t>range</t>
  </si>
  <si>
    <t>ratio</t>
  </si>
  <si>
    <t>Cont</t>
  </si>
  <si>
    <t xml:space="preserve">Double Support (%): </t>
  </si>
  <si>
    <t>Trial</t>
  </si>
  <si>
    <t>Trial02</t>
  </si>
  <si>
    <t>Trial06</t>
  </si>
  <si>
    <t xml:space="preserve">Left: </t>
  </si>
  <si>
    <t xml:space="preserve">Left Leg Length (mm): </t>
  </si>
  <si>
    <t xml:space="preserve">Left Knee Width (mm): </t>
  </si>
  <si>
    <t xml:space="preserve">Left Ankle Width (mm): </t>
  </si>
  <si>
    <t>Left thorax tilt</t>
  </si>
  <si>
    <t>Left thorax obliquity</t>
  </si>
  <si>
    <t>Left thorax rotation</t>
  </si>
  <si>
    <t>Left pelvis tilt</t>
  </si>
  <si>
    <t>Left pelvis obliquity</t>
  </si>
  <si>
    <t>Left pelvis rotation</t>
  </si>
  <si>
    <t>Left hip flexion</t>
  </si>
  <si>
    <t>Left hip adduction</t>
  </si>
  <si>
    <t>Left hip rotation</t>
  </si>
  <si>
    <t>Left knee flexion</t>
  </si>
  <si>
    <t>Left knee adduction</t>
  </si>
  <si>
    <t>Left knee rotation</t>
  </si>
  <si>
    <t>Left ankle dorsiflexion</t>
  </si>
  <si>
    <t>Left foot progression</t>
  </si>
  <si>
    <t>Left thorax tilt vel</t>
  </si>
  <si>
    <t>Left thorax obliquity vel</t>
  </si>
  <si>
    <t>Left thorax rotation vel</t>
  </si>
  <si>
    <t>Left pelvis tilt vel</t>
  </si>
  <si>
    <t>Left pelvis obliquity vel</t>
  </si>
  <si>
    <t>Left pelvis rotation vel</t>
  </si>
  <si>
    <t>Left hip flexion vel</t>
  </si>
  <si>
    <t>Left hip adduction vel</t>
  </si>
  <si>
    <t>Left hip rotation vel</t>
  </si>
  <si>
    <t>Left knee flexion vel</t>
  </si>
  <si>
    <t>Left knee adduction vel</t>
  </si>
  <si>
    <t>Left knee rotation vel</t>
  </si>
  <si>
    <t>Left ankle dorsiflexion vel</t>
  </si>
  <si>
    <t>Left foot progression vel</t>
  </si>
  <si>
    <t>Left hip extensor moment</t>
  </si>
  <si>
    <t>Left hip abductor moment</t>
  </si>
  <si>
    <t>Left hip rotation moment</t>
  </si>
  <si>
    <t>Left total hip power</t>
  </si>
  <si>
    <t>Left knee extensor moment</t>
  </si>
  <si>
    <t>Left knee abductor moment</t>
  </si>
  <si>
    <t>Left knee rotation moment</t>
  </si>
  <si>
    <t>Left total knee power</t>
  </si>
  <si>
    <t>Left ankle plantarflexor moment</t>
  </si>
  <si>
    <t>Left ankle everter moment</t>
  </si>
  <si>
    <t>Left ankle rotation moment</t>
  </si>
  <si>
    <t>Left total ankle power</t>
  </si>
  <si>
    <t>Trial07</t>
  </si>
  <si>
    <t>Trial08</t>
  </si>
  <si>
    <t>Range</t>
  </si>
  <si>
    <t>Athlete Details:</t>
  </si>
  <si>
    <t xml:space="preserve">Knee </t>
  </si>
  <si>
    <t xml:space="preserve">Hip </t>
  </si>
  <si>
    <t>DOB:</t>
  </si>
  <si>
    <t>Height (m):</t>
  </si>
  <si>
    <t>Weight (kg):</t>
  </si>
  <si>
    <t>Age (years):</t>
  </si>
  <si>
    <t>Model Outputs</t>
  </si>
  <si>
    <t>Tyler Gunn:LAbsAnkleAngle</t>
  </si>
  <si>
    <t>Tyler Gunn:LAnkleAngles</t>
  </si>
  <si>
    <t>Tyler Gunn:LElbowAngles</t>
  </si>
  <si>
    <t>Tyler Gunn:LHipAngles</t>
  </si>
  <si>
    <t>Tyler Gunn:LKneeAngles</t>
  </si>
  <si>
    <t>Tyler Gunn:LNeckAngles</t>
  </si>
  <si>
    <t>Tyler Gunn:LShoulderAngles</t>
  </si>
  <si>
    <t>Tyler Gunn:LSpineAngles</t>
  </si>
  <si>
    <t>Tyler Gunn:LWristAngles</t>
  </si>
  <si>
    <t>Tyler Gunn:RAbsAnkleAngle</t>
  </si>
  <si>
    <t>Tyler Gunn:RAnkleAngles</t>
  </si>
  <si>
    <t>Tyler Gunn:RElbowAngles</t>
  </si>
  <si>
    <t>Tyler Gunn:RHipAngles</t>
  </si>
  <si>
    <t>Tyler Gunn:RKneeAngles</t>
  </si>
  <si>
    <t>Tyler Gunn:RNeckAngles</t>
  </si>
  <si>
    <t>Tyler Gunn:RShoulderAngles</t>
  </si>
  <si>
    <t>Tyler Gunn:RSpineAngles</t>
  </si>
  <si>
    <t>Tyler Gunn:RWristAngles</t>
  </si>
  <si>
    <t>Frame</t>
  </si>
  <si>
    <t>Sub Frame</t>
  </si>
  <si>
    <t>X</t>
  </si>
  <si>
    <t>Y</t>
  </si>
  <si>
    <t>Z</t>
  </si>
  <si>
    <t>deg</t>
  </si>
  <si>
    <t>Tyler Gunn:LFootProgressAngles</t>
  </si>
  <si>
    <t>Tyler Gunn:LHeadAngles</t>
  </si>
  <si>
    <t>Tyler Gunn:LPelvisAngles</t>
  </si>
  <si>
    <t>Tyler Gunn:LThoraxAngles</t>
  </si>
  <si>
    <t>Tyler Gunn:RFootProgressAngles</t>
  </si>
  <si>
    <t>Tyler Gunn:RHeadAngles</t>
  </si>
  <si>
    <t>Tyler Gunn:RPelvisAngles</t>
  </si>
  <si>
    <t>Tyler Gunn:RThoraxAngles</t>
  </si>
  <si>
    <t>Sagittal</t>
  </si>
  <si>
    <t>Thorax Sag</t>
  </si>
  <si>
    <t>What is Positive</t>
  </si>
  <si>
    <t>Anterior Tilt</t>
  </si>
  <si>
    <t>open (infront of other)</t>
  </si>
  <si>
    <t>Drop (higher than other side)</t>
  </si>
  <si>
    <t>open (infront of other) (external rotation - retraction) closed is Internal rotation or protraction</t>
  </si>
  <si>
    <t>Frontal (coronal…. Pelvic obliquity up or down)</t>
  </si>
  <si>
    <t>Static Angles:</t>
  </si>
  <si>
    <t>Stance %</t>
  </si>
  <si>
    <t>Swing %</t>
  </si>
  <si>
    <t>Double Support %</t>
  </si>
  <si>
    <t>Hip-Toe @ HS (mm)</t>
  </si>
  <si>
    <t>Peak Velocity (deg/sec)</t>
  </si>
  <si>
    <t>Ankle PF</t>
  </si>
  <si>
    <t>Knee Ext</t>
  </si>
  <si>
    <t>Hip Flex</t>
  </si>
  <si>
    <t>Ankle DF</t>
  </si>
  <si>
    <t>Knee Flex</t>
  </si>
  <si>
    <t>Hip Ext</t>
  </si>
  <si>
    <t>Pelvic Angles</t>
  </si>
  <si>
    <t>Start of Propulsion (% stance)</t>
  </si>
  <si>
    <t>min on graph</t>
  </si>
  <si>
    <t>Max on graph</t>
  </si>
  <si>
    <t>Pelvic</t>
  </si>
  <si>
    <t>AnkleAV</t>
  </si>
  <si>
    <t>KneeAV</t>
  </si>
  <si>
    <t>HipAV</t>
  </si>
  <si>
    <t>AnkleMom</t>
  </si>
  <si>
    <t>AnklePow</t>
  </si>
  <si>
    <t>KneeMom</t>
  </si>
  <si>
    <t>KneePow</t>
  </si>
  <si>
    <t>HipMom</t>
  </si>
  <si>
    <t>HipPow</t>
  </si>
  <si>
    <t>Min</t>
  </si>
  <si>
    <t>Max</t>
  </si>
  <si>
    <t>Thorax Angles</t>
  </si>
  <si>
    <t>Toe-off (velocities)</t>
  </si>
  <si>
    <t>Step length (m)</t>
  </si>
  <si>
    <t>Step Width (cm)</t>
  </si>
  <si>
    <t>Pelvic Sag</t>
  </si>
  <si>
    <t>Percentage of Stance Phase</t>
  </si>
  <si>
    <t>COM height / BH</t>
  </si>
  <si>
    <t xml:space="preserve"> (per body height)</t>
  </si>
  <si>
    <t>VerticalGRF</t>
  </si>
  <si>
    <t>Ant-PosGRF</t>
  </si>
  <si>
    <t>COMheight</t>
  </si>
  <si>
    <t>Average Propulsion</t>
  </si>
  <si>
    <t>#MIN('Left 1 Kin'!$S$2:$S$102,'Left 2 Kin'!$S$2:$S$102,'Left 3 Kin'!$S$2:$S$102,'Right 1 Kin'!$S$2:$S$102,'Right 2 Kin'!$S$2:$S$102,'Right 3 Kin'!$S$2:$S$102,Normative!$S$2:$S$102)</t>
  </si>
  <si>
    <t>#MIN('Left 1 Kin'!$P$2:$P$102,'Left 2 Kin'!$P$2:$P$102,'Left 3 Kin'!$P$2:$P$102,'Right 1 Kin'!$P$2:$P$102,'Right 2 Kin'!$P$2:$P$102,'Right 3 Kin'!$P$2:$P$102,Normative!$P$2:$P$102)</t>
  </si>
  <si>
    <t>#MIN('Left 1 Kin'!$M$2:$M$102,'Left 2 Kin'!$M$2:$M$102,'Left 3 Kin'!$M$2:$M$102,'Right 1 Kin'!$M$2:$M$102,'Right 2 Kin'!$M$2:$M$102,'Right 3 Kin'!$M$2:$M$102,Normative!$M$2:$M$102)</t>
  </si>
  <si>
    <t>#MIN('Left 1 Kin'!$J$2:$J$102,'Left 2 Kin'!$J$2:$J$102,'Left 3 Kin'!$J$2:$J$102,'Right 1 Kin'!$J$2:$J$102,'Right 2 Kin'!$J$2:$J$102,'Right 3 Kin'!$J$2:$J$102,Normative!$J$2:$J$102)</t>
  </si>
  <si>
    <t>#MIN('Left 1 Kin'!$K$2:$K$102,'Left 2 Kin'!$K$2:$K$102,'Left 3 Kin'!$K$2:$K$102,'Right 1 Kin'!$K$2:$K$102,'Right 2 Kin'!$K$2:$K$102,'Right 3 Kin'!$K$2:$K$102,Normative!$K$2:$K$102)</t>
  </si>
  <si>
    <t>#MIN('Left 1 Kin'!$L$2:$L$102,'Left 2 Kin'!$L$2:$L$102,'Left 3 Kin'!$L$2:$L$102,'Right 1 Kin'!$L$2:$L$102,'Right 2 Kin'!$L$2:$L$102,'Right 3 Kin'!$L$2:$L$102,Normative!$L$2:$L$102)</t>
  </si>
  <si>
    <t>#MIN('Left 1 Kin'!$G$2:$G$102,'Left 2 Kin'!$G$2:$G$102,'Left 3 Kin'!$G$2:$G$102,'Right 1 Kin'!$G$2:$G$102,'Right 2 Kin'!$G$2:$G$102,'Right 3 Kin'!$G$2:$G$102,Normative!$G$2:$G$102)</t>
  </si>
  <si>
    <t>#MIN('Left 1 Kin'!$H$2:$H$102,'Left 2 Kin'!$H$2:$H$102,'Left 3 Kin'!$H$2:$H$102,'Right 1 Kin'!$H$2:$H$102,'Right 2 Kin'!$H$2:$H$102,'Right 3 Kin'!$H$2:$H$102,Normative!$H$2:$H$102)</t>
  </si>
  <si>
    <t>#MIN('Left 1 Kin'!$I$2:$I$102,'Left 2 Kin'!$I$2:$I$102,'Left 3 Kin'!$I$2:$I$102,'Right 1 Kin'!$I$2:$I$102,'Right 2 Kin'!$I$2:$I$102,'Right 3 Kin'!$I$2:$I$102,Normative!$I$2:$I$102)</t>
  </si>
  <si>
    <t>#MIN('Left 1 Kin'!$AG$2:$AG$102,'Left 2 Kin'!$AG$2:$AG$102,'Left 3 Kin'!$AG$2:$AG$102,'Right 1 Kin'!$AG$2:$AG$102,'Right 2 Kin'!$AG$2:$AG$102,'Right 3 Kin'!$AG$2:$AG$102,Normative!$AG$2:$AG$102)</t>
  </si>
  <si>
    <t>#MIN('Left 1 Kin'!$AD$2:$AD$102,'Left 2 Kin'!$AD$2:$AD$102,'Left 3 Kin'!$AD$2:$AD$102,'Right 1 Kin'!$AD$2:$AD$102,'Right 2 Kin'!$AD$2:$AD$102,'Right 3 Kin'!$AD$2:$AD$102,Normative!$AD$2:$AD$102)</t>
  </si>
  <si>
    <t>#MIN('Left 1 Kin'!$AA$2:$AA$102,'Left 2 Kin'!$AA$2:$AA$102,'Left 3 Kin'!$AA$2:$AA$102,'Right 1 Kin'!$AA$2:$AA$102,'Right 2 Kin'!$AA$2:$AA$102,'Right 3 Kin'!$AA$2:$AA$102,Normative!$AA$2:$AA$102)</t>
  </si>
  <si>
    <t>#MIN('Left 1 Kin'!$AQ$2:$AQ$102,'Left 2 Kin'!$AQ$2:$AQ$102,'Left 3 Kin'!$AQ$2:$AQ$102,'Right 1 Kin'!$AQ$2:$AQ$102,'Right 2 Kin'!$AQ$2:$AQ$102,'Right 3 Kin'!$AQ$2:$AQ$102,Normative!$AQ$2:$AQ$102)</t>
  </si>
  <si>
    <t>#MIN('Left 1 Kin'!$AT$2:$AT$102,'Left 2 Kin'!$AT$2:$AT$102,'Left 3 Kin'!$AT$2:$AT$102,'Right 1 Kin'!$AT$2:$AT$102,'Right 2 Kin'!$AT$2:$AT$102,'Right 3 Kin'!$AT$2:$AT$102,Normative!$AT$2:$AT$102)</t>
  </si>
  <si>
    <t>#MIN('Left 1 Kin'!$AM$2:$AM$102,'Left 2 Kin'!$AM$2:$AM$102,'Left 3 Kin'!$AM$2:$AM$102,'Right 1 Kin'!$AM$2:$AM$102,'Right 2 Kin'!$AM$2:$AM$102,'Right 3 Kin'!$AM$2:$AM$102,Normative!$AM$2:$AM$102)</t>
  </si>
  <si>
    <t>#MIN('Left 1 Kin'!$AP$2:$AP$102,'Left 2 Kin'!$AP$2:$AP$102,'Left 3 Kin'!$AP$2:$AP$102,'Right 1 Kin'!$AP$2:$AP$102,'Right 2 Kin'!$AP$2:$AP$102,'Right 3 Kin'!$AP$2:$AP$102,Normative!$AP$2:$AP$102)</t>
  </si>
  <si>
    <t>#MIN('Left 1 Kin'!$AI$2:$AI$102,'Left 2 Kin'!$AI$2:$AI$102,'Left 3 Kin'!$AI$2:$AI$102,'Right 1 Kin'!$AI$2:$AI$102,'Right 2 Kin'!$AI$2:$AI$102,'Right 3 Kin'!$AI$2:$AI$102,Normative!$AI$2:$AI$102)</t>
  </si>
  <si>
    <t>#MIN('Left 1 Kin'!$AL$2:$AL$102,'Left 2 Kin'!$AL$2:$AL$102,'Left 3 Kin'!$AL$2:$AL$102,'Right 1 Kin'!$AL$2:$AL$102,'Right 2 Kin'!$AL$2:$AL$102,'Right 3 Kin'!$AL$2:$AL$102,Normative!$AL$2:$AL$102)</t>
  </si>
  <si>
    <t>#AVERAGE('Left 1 ST'!J3,'Left 2 ST'!J3,'Left 3 ST'!J3,'Right 1 ST'!J3,'Right 2 ST'!J3,'Right 3 ST'!J3)</t>
  </si>
  <si>
    <t>#MAX('Left 1 Kin'!$S$2:$S$102,'Left 2 Kin'!$S$2:$S$102,'Left 3 Kin'!$S$2:$S$102,'Right 1 Kin'!$S$2:$S$102,'Right 2 Kin'!$S$2:$S$102,'Right 3 Kin'!$S$2:$S$102,Normative!$S$2:$S$102)</t>
  </si>
  <si>
    <t>#MAX('Left 1 Kin'!$P$2:$P$102,'Left 2 Kin'!$P$2:$P$102,'Left 3 Kin'!$P$2:$P$102,'Right 1 Kin'!$P$2:$P$102,'Right 2 Kin'!$P$2:$P$102,'Right 3 Kin'!$P$2:$P$102,Normative!$P$2:$P$102)</t>
  </si>
  <si>
    <t>#MAX('Left 1 Kin'!$M$2:$M$102,'Left 2 Kin'!$M$2:$M$102,'Left 3 Kin'!$M$2:$M$102,'Right 1 Kin'!$M$2:$M$102,'Right 2 Kin'!$M$2:$M$102,'Right 3 Kin'!$M$2:$M$102,Normative!$M$2:$M$102)</t>
  </si>
  <si>
    <t>#MAX('Left 1 Kin'!$J$2:$J$102,'Left 2 Kin'!$J$2:$J$102,'Left 3 Kin'!$J$2:$J$102,'Right 1 Kin'!$J$2:$J$102,'Right 2 Kin'!$J$2:$J$102,'Right 3 Kin'!$J$2:$J$102,Normative!$J$2:$J$102)</t>
  </si>
  <si>
    <t>#MAX('Left 1 Kin'!$K$2:$K$102,'Left 2 Kin'!$K$2:$K$102,'Left 3 Kin'!$K$2:$K$102,'Right 1 Kin'!$K$2:$K$102,'Right 2 Kin'!$K$2:$K$102,'Right 3 Kin'!$K$2:$K$102,Normative!$K$2:$K$102)</t>
  </si>
  <si>
    <t>#MAX('Left 1 Kin'!$L$2:$L$102,'Left 2 Kin'!$L$2:$L$102,'Left 3 Kin'!$L$2:$L$102,'Right 1 Kin'!$L$2:$L$102,'Right 2 Kin'!$L$2:$L$102,'Right 3 Kin'!$L$2:$L$102,Normative!$L$2:$L$102)</t>
  </si>
  <si>
    <t>#MAX('Left 1 Kin'!$G$2:$G$102,'Left 2 Kin'!$G$2:$G$102,'Left 3 Kin'!$G$2:$G$102,'Right 1 Kin'!$G$2:$G$102,'Right 2 Kin'!$G$2:$G$102,'Right 3 Kin'!$G$2:$G$102,Normative!$G$2:$G$102)</t>
  </si>
  <si>
    <t>#MAX('Left 1 Kin'!$H$2:$H$102,'Left 2 Kin'!$H$2:$H$102,'Left 3 Kin'!$H$2:$H$102,'Right 1 Kin'!$H$2:$H$102,'Right 2 Kin'!$H$2:$H$102,'Right 3 Kin'!$H$2:$H$102,Normative!$H$2:$H$102)</t>
  </si>
  <si>
    <t>#MAX('Left 1 Kin'!$I$2:$I$102,'Left 2 Kin'!$I$2:$I$102,'Left 3 Kin'!$I$2:$I$102,'Right 1 Kin'!$I$2:$I$102,'Right 2 Kin'!$I$2:$I$102,'Right 3 Kin'!$I$2:$I$102,Normative!$I$2:$I$102)</t>
  </si>
  <si>
    <t>#MAX('Left 1 Kin'!$AG$2:$AG$102,'Left 2 Kin'!$AG$2:$AG$102,'Left 3 Kin'!$AG$2:$AG$102,'Right 1 Kin'!$AG$2:$AG$102,'Right 2 Kin'!$AG$2:$AG$102,'Right 3 Kin'!$AG$2:$AG$102,Normative!$AG$2:$AG$102)</t>
  </si>
  <si>
    <t>#MAX('Left 1 Kin'!$AD$2:$AD$102,'Left 2 Kin'!$AD$2:$AD$102,'Left 3 Kin'!$AD$2:$AD$102,'Right 1 Kin'!$AD$2:$AD$102,'Right 2 Kin'!$AD$2:$AD$102,'Right 3 Kin'!$AD$2:$AD$102,Normative!$AD$2:$AD$102)</t>
  </si>
  <si>
    <t>#MAX('Left 1 Kin'!$AA$2:$AA$102,'Left 2 Kin'!$AA$2:$AA$102,'Left 3 Kin'!$AA$2:$AA$102,'Right 1 Kin'!$AA$2:$AA$102,'Right 2 Kin'!$AA$2:$AA$102,'Right 3 Kin'!$AA$2:$AA$102,Normative!$AA$2:$AA$102)</t>
  </si>
  <si>
    <t>#MAX('Left 1 Kin'!$AQ$2:$AQ$102,'Left 2 Kin'!$AQ$2:$AQ$102,'Left 3 Kin'!$AQ$2:$AQ$102,'Right 1 Kin'!$AQ$2:$AQ$102,'Right 2 Kin'!$AQ$2:$AQ$102,'Right 3 Kin'!$AQ$2:$AQ$102,Normative!$AQ$2:$AQ$102)</t>
  </si>
  <si>
    <t>#MAX('Left 1 Kin'!$AT$2:$AT$102,'Left 2 Kin'!$AT$2:$AT$102,'Left 3 Kin'!$AT$2:$AT$102,'Right 1 Kin'!$AT$2:$AT$102,'Right 2 Kin'!$AT$2:$AT$102,'Right 3 Kin'!$AT$2:$AT$102,Normative!$AT$2:$AT$102)</t>
  </si>
  <si>
    <t>#MAX('Left 1 Kin'!$AM$2:$AM$102,'Left 2 Kin'!$AM$2:$AM$102,'Left 3 Kin'!$AM$2:$AM$102,'Right 1 Kin'!$AM$2:$AM$102,'Right 2 Kin'!$AM$2:$AM$102,'Right 3 Kin'!$AM$2:$AM$102,Normative!$AM$2:$AM$102)</t>
  </si>
  <si>
    <t>#MAX('Left 1 Kin'!$AP$2:$AP$102,'Left 2 Kin'!$AP$2:$AP$102,'Left 3 Kin'!$AP$2:$AP$102,'Right 1 Kin'!$AP$2:$AP$102,'Right 2 Kin'!$AP$2:$AP$102,'Right 3 Kin'!$AP$2:$AP$102,Normative!$AP$2:$AP$102)</t>
  </si>
  <si>
    <t>#MAX('Left 1 Kin'!$AI$2:$AI$102,'Left 2 Kin'!$AI$2:$AI$102,'Left 3 Kin'!$AI$2:$AI$102,'Right 1 Kin'!$AI$2:$AI$102,'Right 2 Kin'!$AI$2:$AI$102,'Right 3 Kin'!$AI$2:$AI$102,Normative!$AI$2:$AI$102)</t>
  </si>
  <si>
    <t>#MAX('Left 1 Kin'!$AL$2:$AL$102,'Left 2 Kin'!$AL$2:$AL$102,'Left 3 Kin'!$AL$2:$AL$102,'Right 1 Kin'!$AL$2:$AL$102,'Right 2 Kin'!$AL$2:$AL$102,'Right 3 Kin'!$AL$2:$AL$102,Normative!$AL$2:$AL$102)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</si>
</sst>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F800]dddd\,\ mmmm\ dd\,\ yyyy"/>
  </numFmts>
  <fonts count="6" x14ac:knownFonts="1">
    <font>
      <sz val="11"/>
      <color theme="1"/>
      <name val="Calibri"/>
      <family val="2"/>
      <scheme val="minor"/>
    </font>
    <font>
      <b/>
      <sz val="11"/>
      <color theme="1"/>
      <name val="Calibri"/>
      <family val="2"/>
      <scheme val="minor"/>
    </font>
    <font>
      <sz val="8"/>
      <color theme="1"/>
      <name val="Calibri"/>
      <family val="2"/>
      <scheme val="minor"/>
    </font>
    <font>
      <b/>
      <sz val="8"/>
      <color theme="1"/>
      <name val="Calibri"/>
      <family val="2"/>
      <scheme val="minor"/>
    </font>
    <font>
      <sz val="14"/>
      <color theme="1"/>
      <name val="Calibri"/>
      <family val="2"/>
      <scheme val="minor"/>
    </font>
    <font>
      <b/>
      <sz val="8"/>
      <color theme="0"/>
      <name val="Calibri"/>
      <family val="2"/>
      <scheme val="minor"/>
    </font>
  </fonts>
  <fills count="7">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1"/>
        <bgColor indexed="64"/>
      </patternFill>
    </fill>
  </fills>
  <borders count="16">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right/>
      <top style="thin">
        <color auto="1"/>
      </top>
      <bottom style="thin">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170">
    <xf numFmtId="0" fontId="0" fillId="0" borderId="0" xfId="0"/>
    <xf numFmtId="0" fontId="1" fillId="0" borderId="0" xfId="0" applyFont="1"/>
    <xf numFmtId="0" fontId="1" fillId="0" borderId="0" xfId="0" applyFont="1" applyAlignment="1">
      <alignment horizontal="center" vertical="center"/>
    </xf>
    <xf numFmtId="0" fontId="2" fillId="0" borderId="5" xfId="0" applyFont="1" applyBorder="1"/>
    <xf numFmtId="0" fontId="3" fillId="0" borderId="0" xfId="0" applyFont="1" applyBorder="1" applyAlignment="1">
      <alignment vertical="center" wrapText="1"/>
    </xf>
    <xf numFmtId="0" fontId="3" fillId="0" borderId="0" xfId="0" applyFont="1" applyBorder="1" applyAlignment="1">
      <alignment horizontal="center" vertical="center" wrapText="1"/>
    </xf>
    <xf numFmtId="0" fontId="3" fillId="0" borderId="9" xfId="0" applyFont="1" applyBorder="1" applyAlignment="1">
      <alignment horizontal="center" shrinkToFit="1"/>
    </xf>
    <xf numFmtId="0" fontId="2" fillId="0" borderId="0" xfId="0" applyFont="1"/>
    <xf numFmtId="0" fontId="3" fillId="0" borderId="0" xfId="0" applyFont="1" applyAlignment="1">
      <alignment horizontal="right"/>
    </xf>
    <xf numFmtId="15" fontId="2" fillId="0" borderId="0" xfId="0" applyNumberFormat="1" applyFont="1" applyAlignment="1">
      <alignment vertical="center"/>
    </xf>
    <xf numFmtId="0" fontId="2" fillId="0" borderId="0" xfId="0" applyFont="1" applyAlignment="1">
      <alignment vertical="center"/>
    </xf>
    <xf numFmtId="0" fontId="2" fillId="0" borderId="0" xfId="0" applyFont="1" applyAlignment="1"/>
    <xf numFmtId="0" fontId="2" fillId="0" borderId="9" xfId="0" applyFont="1" applyBorder="1"/>
    <xf numFmtId="1" fontId="2" fillId="0" borderId="0" xfId="0" applyNumberFormat="1" applyFont="1" applyAlignment="1">
      <alignment horizontal="center"/>
    </xf>
    <xf numFmtId="0" fontId="2" fillId="0" borderId="0" xfId="0" applyFont="1" applyBorder="1" applyAlignment="1">
      <alignment horizontal="center" vertical="center"/>
    </xf>
    <xf numFmtId="0" fontId="3" fillId="0" borderId="0" xfId="0" applyFont="1" applyBorder="1" applyAlignment="1">
      <alignment horizontal="center"/>
    </xf>
    <xf numFmtId="1" fontId="2" fillId="0" borderId="0" xfId="0" applyNumberFormat="1" applyFont="1" applyBorder="1" applyAlignment="1">
      <alignment horizontal="center"/>
    </xf>
    <xf numFmtId="0" fontId="3" fillId="0" borderId="0" xfId="0" applyFont="1" applyFill="1" applyBorder="1" applyAlignment="1">
      <alignment horizontal="center"/>
    </xf>
    <xf numFmtId="1" fontId="2" fillId="0" borderId="0" xfId="0" applyNumberFormat="1" applyFont="1" applyFill="1" applyBorder="1" applyAlignment="1">
      <alignment horizontal="center"/>
    </xf>
    <xf numFmtId="0" fontId="3" fillId="0" borderId="0" xfId="0" applyFont="1" applyFill="1" applyBorder="1" applyAlignment="1">
      <alignment horizontal="right"/>
    </xf>
    <xf numFmtId="0" fontId="2" fillId="0" borderId="0" xfId="0" applyFont="1" applyFill="1"/>
    <xf numFmtId="1" fontId="2" fillId="0" borderId="5" xfId="0" applyNumberFormat="1" applyFont="1" applyFill="1" applyBorder="1" applyAlignment="1">
      <alignment horizontal="center"/>
    </xf>
    <xf numFmtId="0" fontId="2" fillId="0" borderId="1" xfId="0" applyFont="1" applyBorder="1" applyAlignment="1">
      <alignment horizontal="center" vertical="center"/>
    </xf>
    <xf numFmtId="0" fontId="3" fillId="3" borderId="10" xfId="0" applyFont="1" applyFill="1" applyBorder="1" applyAlignment="1"/>
    <xf numFmtId="0" fontId="3" fillId="3" borderId="9" xfId="0" applyFont="1" applyFill="1" applyBorder="1" applyAlignment="1"/>
    <xf numFmtId="0" fontId="3" fillId="3" borderId="11" xfId="0" applyFont="1" applyFill="1" applyBorder="1" applyAlignment="1"/>
    <xf numFmtId="11" fontId="0" fillId="0" borderId="0" xfId="0" applyNumberFormat="1"/>
    <xf numFmtId="14" fontId="2" fillId="0" borderId="3" xfId="0" applyNumberFormat="1" applyFont="1" applyBorder="1"/>
    <xf numFmtId="1" fontId="2" fillId="0" borderId="8" xfId="0" applyNumberFormat="1" applyFont="1" applyBorder="1"/>
    <xf numFmtId="0" fontId="2" fillId="0" borderId="8" xfId="0" applyFont="1" applyBorder="1"/>
    <xf numFmtId="0" fontId="2" fillId="0" borderId="6" xfId="0" applyFont="1" applyBorder="1" applyAlignment="1"/>
    <xf numFmtId="0" fontId="2" fillId="0" borderId="13" xfId="0" applyFont="1" applyBorder="1"/>
    <xf numFmtId="0" fontId="2" fillId="0" borderId="15" xfId="0" applyFont="1" applyBorder="1"/>
    <xf numFmtId="0" fontId="2" fillId="0" borderId="14" xfId="0" applyFont="1" applyBorder="1"/>
    <xf numFmtId="0" fontId="2" fillId="0" borderId="12" xfId="0" applyFont="1" applyBorder="1" applyAlignment="1">
      <alignment horizontal="center" vertical="center"/>
    </xf>
    <xf numFmtId="0" fontId="2" fillId="0" borderId="10" xfId="0" applyFont="1" applyBorder="1" applyAlignment="1">
      <alignment horizontal="center" vertical="center"/>
    </xf>
    <xf numFmtId="0" fontId="2" fillId="0" borderId="9" xfId="0" applyFont="1" applyBorder="1" applyAlignment="1">
      <alignment horizontal="center" vertical="center"/>
    </xf>
    <xf numFmtId="0" fontId="2" fillId="0" borderId="11" xfId="0" applyFont="1" applyBorder="1" applyAlignment="1">
      <alignment horizontal="center" vertical="center"/>
    </xf>
    <xf numFmtId="0" fontId="3" fillId="0" borderId="9" xfId="0" applyFont="1" applyBorder="1" applyAlignment="1">
      <alignment horizontal="center"/>
    </xf>
    <xf numFmtId="0" fontId="2" fillId="0" borderId="1" xfId="0" applyFont="1" applyBorder="1"/>
    <xf numFmtId="0" fontId="3" fillId="0" borderId="10" xfId="0" applyFont="1" applyBorder="1" applyAlignment="1">
      <alignment horizontal="center"/>
    </xf>
    <xf numFmtId="0" fontId="2" fillId="0" borderId="10" xfId="0" applyFont="1" applyBorder="1"/>
    <xf numFmtId="0" fontId="3" fillId="0" borderId="11" xfId="0" applyFont="1" applyBorder="1" applyAlignment="1">
      <alignment horizontal="center" shrinkToFit="1"/>
    </xf>
    <xf numFmtId="0" fontId="2" fillId="0" borderId="2" xfId="0" applyFont="1" applyBorder="1"/>
    <xf numFmtId="0" fontId="2" fillId="0" borderId="7" xfId="0" applyFont="1" applyBorder="1"/>
    <xf numFmtId="0" fontId="3" fillId="0" borderId="11" xfId="0" applyFont="1" applyBorder="1" applyAlignment="1">
      <alignment horizontal="center"/>
    </xf>
    <xf numFmtId="0" fontId="2" fillId="0" borderId="11" xfId="0" applyFont="1" applyBorder="1"/>
    <xf numFmtId="0" fontId="2" fillId="0" borderId="3" xfId="0" applyFont="1" applyBorder="1"/>
    <xf numFmtId="0" fontId="2" fillId="0" borderId="4" xfId="0" applyFont="1" applyBorder="1"/>
    <xf numFmtId="0" fontId="3" fillId="0" borderId="11" xfId="0" applyFont="1" applyBorder="1" applyAlignment="1"/>
    <xf numFmtId="1" fontId="2" fillId="0" borderId="6" xfId="0" applyNumberFormat="1" applyFont="1" applyFill="1" applyBorder="1" applyAlignment="1">
      <alignment horizontal="center"/>
    </xf>
    <xf numFmtId="0" fontId="3" fillId="4" borderId="13" xfId="0" applyFont="1" applyFill="1" applyBorder="1" applyAlignment="1">
      <alignment horizontal="center"/>
    </xf>
    <xf numFmtId="2" fontId="2" fillId="4" borderId="2" xfId="0" applyNumberFormat="1" applyFont="1" applyFill="1" applyBorder="1" applyAlignment="1">
      <alignment horizontal="center"/>
    </xf>
    <xf numFmtId="0" fontId="3" fillId="4" borderId="15" xfId="0" applyFont="1" applyFill="1" applyBorder="1" applyAlignment="1">
      <alignment horizontal="center"/>
    </xf>
    <xf numFmtId="2" fontId="2" fillId="4" borderId="0" xfId="0" applyNumberFormat="1" applyFont="1" applyFill="1" applyAlignment="1">
      <alignment horizontal="center"/>
    </xf>
    <xf numFmtId="0" fontId="3" fillId="5" borderId="13" xfId="0" applyFont="1" applyFill="1" applyBorder="1" applyAlignment="1">
      <alignment horizontal="center"/>
    </xf>
    <xf numFmtId="2" fontId="2" fillId="5" borderId="0" xfId="0" applyNumberFormat="1" applyFont="1" applyFill="1" applyAlignment="1">
      <alignment horizontal="center"/>
    </xf>
    <xf numFmtId="0" fontId="3" fillId="5" borderId="15" xfId="0" applyFont="1" applyFill="1" applyBorder="1" applyAlignment="1">
      <alignment horizontal="center"/>
    </xf>
    <xf numFmtId="2" fontId="2" fillId="5" borderId="2" xfId="0" applyNumberFormat="1" applyFont="1" applyFill="1" applyBorder="1" applyAlignment="1">
      <alignment horizontal="center"/>
    </xf>
    <xf numFmtId="2" fontId="2" fillId="5" borderId="3" xfId="0" applyNumberFormat="1" applyFont="1" applyFill="1" applyBorder="1" applyAlignment="1">
      <alignment horizontal="center"/>
    </xf>
    <xf numFmtId="2" fontId="2" fillId="5" borderId="0" xfId="0" applyNumberFormat="1" applyFont="1" applyFill="1" applyBorder="1" applyAlignment="1">
      <alignment horizontal="center"/>
    </xf>
    <xf numFmtId="2" fontId="2" fillId="5" borderId="8" xfId="0" applyNumberFormat="1" applyFont="1" applyFill="1" applyBorder="1" applyAlignment="1">
      <alignment horizontal="center"/>
    </xf>
    <xf numFmtId="2" fontId="2" fillId="4" borderId="0" xfId="0" applyNumberFormat="1" applyFont="1" applyFill="1" applyBorder="1" applyAlignment="1">
      <alignment horizontal="center"/>
    </xf>
    <xf numFmtId="2" fontId="2" fillId="4" borderId="8" xfId="0" applyNumberFormat="1" applyFont="1" applyFill="1" applyBorder="1" applyAlignment="1">
      <alignment horizontal="center"/>
    </xf>
    <xf numFmtId="0" fontId="3" fillId="4" borderId="2" xfId="0" applyFont="1" applyFill="1" applyBorder="1" applyAlignment="1">
      <alignment horizontal="center"/>
    </xf>
    <xf numFmtId="1" fontId="2" fillId="4" borderId="8" xfId="0" applyNumberFormat="1" applyFont="1" applyFill="1" applyBorder="1" applyAlignment="1">
      <alignment horizontal="center"/>
    </xf>
    <xf numFmtId="0" fontId="3" fillId="4" borderId="0" xfId="0" applyFont="1" applyFill="1" applyBorder="1" applyAlignment="1">
      <alignment horizontal="center"/>
    </xf>
    <xf numFmtId="1" fontId="2" fillId="4" borderId="0" xfId="0" applyNumberFormat="1" applyFont="1" applyFill="1" applyBorder="1" applyAlignment="1">
      <alignment horizontal="center" vertical="center"/>
    </xf>
    <xf numFmtId="164" fontId="2" fillId="4" borderId="0" xfId="0" applyNumberFormat="1" applyFont="1" applyFill="1" applyBorder="1" applyAlignment="1">
      <alignment horizontal="center" vertical="center"/>
    </xf>
    <xf numFmtId="0" fontId="2" fillId="4" borderId="8" xfId="0" applyFont="1" applyFill="1" applyBorder="1" applyAlignment="1">
      <alignment horizontal="center" vertical="center"/>
    </xf>
    <xf numFmtId="1" fontId="2" fillId="4" borderId="7" xfId="0" applyNumberFormat="1" applyFont="1" applyFill="1" applyBorder="1" applyAlignment="1">
      <alignment horizontal="center"/>
    </xf>
    <xf numFmtId="1" fontId="2" fillId="4" borderId="0" xfId="0" applyNumberFormat="1" applyFont="1" applyFill="1" applyBorder="1" applyAlignment="1">
      <alignment horizontal="center"/>
    </xf>
    <xf numFmtId="0" fontId="3" fillId="4" borderId="3" xfId="0" applyFont="1" applyFill="1" applyBorder="1" applyAlignment="1">
      <alignment horizontal="center"/>
    </xf>
    <xf numFmtId="1" fontId="2" fillId="4" borderId="0" xfId="0" applyNumberFormat="1" applyFont="1" applyFill="1" applyAlignment="1">
      <alignment horizontal="center"/>
    </xf>
    <xf numFmtId="0" fontId="3" fillId="4" borderId="8" xfId="0" applyFont="1" applyFill="1" applyBorder="1" applyAlignment="1">
      <alignment horizontal="center"/>
    </xf>
    <xf numFmtId="1" fontId="2" fillId="5" borderId="0" xfId="0" applyNumberFormat="1" applyFont="1" applyFill="1" applyBorder="1" applyAlignment="1">
      <alignment horizontal="center"/>
    </xf>
    <xf numFmtId="1" fontId="2" fillId="5" borderId="8" xfId="0" applyNumberFormat="1" applyFont="1" applyFill="1" applyBorder="1" applyAlignment="1">
      <alignment horizontal="center"/>
    </xf>
    <xf numFmtId="0" fontId="3" fillId="5" borderId="2" xfId="0" applyFont="1" applyFill="1" applyBorder="1" applyAlignment="1">
      <alignment horizontal="center"/>
    </xf>
    <xf numFmtId="1" fontId="2" fillId="5" borderId="7" xfId="0" applyNumberFormat="1" applyFont="1" applyFill="1" applyBorder="1" applyAlignment="1">
      <alignment horizontal="center"/>
    </xf>
    <xf numFmtId="0" fontId="3" fillId="5" borderId="0" xfId="0" applyFont="1" applyFill="1" applyBorder="1" applyAlignment="1">
      <alignment horizontal="center"/>
    </xf>
    <xf numFmtId="0" fontId="3" fillId="5" borderId="3" xfId="0" applyFont="1" applyFill="1" applyBorder="1" applyAlignment="1">
      <alignment horizontal="center"/>
    </xf>
    <xf numFmtId="1" fontId="2" fillId="5" borderId="0" xfId="0" applyNumberFormat="1" applyFont="1" applyFill="1" applyAlignment="1">
      <alignment horizontal="center"/>
    </xf>
    <xf numFmtId="0" fontId="3" fillId="5" borderId="8" xfId="0" applyFont="1" applyFill="1" applyBorder="1" applyAlignment="1">
      <alignment horizontal="center"/>
    </xf>
    <xf numFmtId="0" fontId="3" fillId="5" borderId="1" xfId="0" applyFont="1" applyFill="1" applyBorder="1" applyAlignment="1">
      <alignment horizontal="center"/>
    </xf>
    <xf numFmtId="1" fontId="2" fillId="5" borderId="1" xfId="0" applyNumberFormat="1" applyFont="1" applyFill="1" applyBorder="1" applyAlignment="1">
      <alignment horizontal="center"/>
    </xf>
    <xf numFmtId="1" fontId="2" fillId="5" borderId="2" xfId="0" applyNumberFormat="1" applyFont="1" applyFill="1" applyBorder="1" applyAlignment="1">
      <alignment horizontal="center"/>
    </xf>
    <xf numFmtId="1" fontId="2" fillId="5" borderId="3" xfId="0" applyNumberFormat="1" applyFont="1" applyFill="1" applyBorder="1" applyAlignment="1">
      <alignment horizontal="center"/>
    </xf>
    <xf numFmtId="0" fontId="3" fillId="5" borderId="7" xfId="0" applyFont="1" applyFill="1" applyBorder="1" applyAlignment="1">
      <alignment horizontal="center"/>
    </xf>
    <xf numFmtId="1" fontId="2" fillId="5" borderId="0" xfId="0" applyNumberFormat="1" applyFont="1" applyFill="1" applyBorder="1" applyAlignment="1">
      <alignment horizontal="center" vertical="center"/>
    </xf>
    <xf numFmtId="164" fontId="2" fillId="5" borderId="0" xfId="0" applyNumberFormat="1" applyFont="1" applyFill="1" applyBorder="1" applyAlignment="1">
      <alignment horizontal="center" vertical="center"/>
    </xf>
    <xf numFmtId="0" fontId="2" fillId="5" borderId="8" xfId="0" applyFont="1" applyFill="1" applyBorder="1" applyAlignment="1">
      <alignment horizontal="center" vertical="center"/>
    </xf>
    <xf numFmtId="0" fontId="2" fillId="0" borderId="9" xfId="0" applyFont="1" applyBorder="1" applyAlignment="1">
      <alignment horizontal="center" vertical="center" wrapText="1"/>
    </xf>
    <xf numFmtId="0" fontId="3" fillId="0" borderId="9" xfId="0" applyFont="1" applyBorder="1" applyAlignment="1">
      <alignment horizontal="center" vertical="center" wrapText="1"/>
    </xf>
    <xf numFmtId="0" fontId="2" fillId="0" borderId="11" xfId="0" applyFont="1" applyBorder="1" applyAlignment="1">
      <alignment horizontal="center" vertical="center" wrapText="1"/>
    </xf>
    <xf numFmtId="0" fontId="3" fillId="4" borderId="12" xfId="0" applyFont="1" applyFill="1" applyBorder="1" applyAlignment="1">
      <alignment vertical="center" wrapText="1"/>
    </xf>
    <xf numFmtId="164" fontId="2" fillId="4" borderId="9" xfId="0" applyNumberFormat="1" applyFont="1" applyFill="1" applyBorder="1" applyAlignment="1">
      <alignment horizontal="center" vertical="center"/>
    </xf>
    <xf numFmtId="164" fontId="2" fillId="4" borderId="11" xfId="0" applyNumberFormat="1" applyFont="1" applyFill="1" applyBorder="1" applyAlignment="1">
      <alignment horizontal="center" vertical="center"/>
    </xf>
    <xf numFmtId="0" fontId="3" fillId="5" borderId="12" xfId="0" applyFont="1" applyFill="1" applyBorder="1" applyAlignment="1">
      <alignment vertical="center" wrapText="1"/>
    </xf>
    <xf numFmtId="164" fontId="2" fillId="5" borderId="9" xfId="0" applyNumberFormat="1" applyFont="1" applyFill="1" applyBorder="1" applyAlignment="1">
      <alignment horizontal="center" vertical="center"/>
    </xf>
    <xf numFmtId="164" fontId="2" fillId="5" borderId="11" xfId="0" applyNumberFormat="1" applyFont="1" applyFill="1" applyBorder="1" applyAlignment="1">
      <alignment horizontal="center" vertical="center"/>
    </xf>
    <xf numFmtId="0" fontId="3" fillId="4" borderId="10" xfId="0" applyFont="1" applyFill="1" applyBorder="1" applyAlignment="1">
      <alignment vertical="center" wrapText="1"/>
    </xf>
    <xf numFmtId="164" fontId="2" fillId="4" borderId="11" xfId="0" applyNumberFormat="1" applyFont="1" applyFill="1" applyBorder="1" applyAlignment="1">
      <alignment horizontal="center"/>
    </xf>
    <xf numFmtId="0" fontId="3" fillId="5" borderId="10" xfId="0" applyFont="1" applyFill="1" applyBorder="1" applyAlignment="1">
      <alignment vertical="center" wrapText="1"/>
    </xf>
    <xf numFmtId="164" fontId="2" fillId="5" borderId="11" xfId="0" applyNumberFormat="1" applyFont="1" applyFill="1" applyBorder="1" applyAlignment="1">
      <alignment horizontal="center"/>
    </xf>
    <xf numFmtId="2" fontId="2" fillId="4" borderId="9" xfId="0" applyNumberFormat="1" applyFont="1" applyFill="1" applyBorder="1" applyAlignment="1">
      <alignment horizontal="center"/>
    </xf>
    <xf numFmtId="2" fontId="2" fillId="4" borderId="11" xfId="0" applyNumberFormat="1" applyFont="1" applyFill="1" applyBorder="1" applyAlignment="1">
      <alignment horizontal="center"/>
    </xf>
    <xf numFmtId="2" fontId="2" fillId="5" borderId="9" xfId="0" applyNumberFormat="1" applyFont="1" applyFill="1" applyBorder="1" applyAlignment="1">
      <alignment horizontal="center"/>
    </xf>
    <xf numFmtId="2" fontId="2" fillId="5" borderId="11" xfId="0" applyNumberFormat="1" applyFont="1" applyFill="1" applyBorder="1" applyAlignment="1">
      <alignment horizontal="center"/>
    </xf>
    <xf numFmtId="2" fontId="2" fillId="4" borderId="10" xfId="0" applyNumberFormat="1" applyFont="1" applyFill="1" applyBorder="1" applyAlignment="1">
      <alignment horizontal="center"/>
    </xf>
    <xf numFmtId="2" fontId="2" fillId="5" borderId="10" xfId="0" applyNumberFormat="1" applyFont="1" applyFill="1" applyBorder="1" applyAlignment="1">
      <alignment horizontal="center"/>
    </xf>
    <xf numFmtId="0" fontId="2" fillId="4" borderId="13" xfId="0" applyFont="1" applyFill="1" applyBorder="1" applyAlignment="1">
      <alignment horizontal="center" vertical="center"/>
    </xf>
    <xf numFmtId="2" fontId="2" fillId="4" borderId="15" xfId="0" applyNumberFormat="1" applyFont="1" applyFill="1" applyBorder="1" applyAlignment="1">
      <alignment horizontal="center" vertical="center"/>
    </xf>
    <xf numFmtId="2" fontId="2" fillId="4" borderId="7" xfId="0" applyNumberFormat="1" applyFont="1" applyFill="1" applyBorder="1" applyAlignment="1">
      <alignment horizontal="center" vertical="center"/>
    </xf>
    <xf numFmtId="2" fontId="2" fillId="4" borderId="0" xfId="0" applyNumberFormat="1" applyFont="1" applyFill="1" applyBorder="1" applyAlignment="1">
      <alignment horizontal="center" vertical="center"/>
    </xf>
    <xf numFmtId="2" fontId="2" fillId="4" borderId="8" xfId="0" applyNumberFormat="1" applyFont="1" applyFill="1" applyBorder="1" applyAlignment="1">
      <alignment horizontal="center" vertical="center"/>
    </xf>
    <xf numFmtId="0" fontId="2" fillId="5" borderId="14" xfId="0" applyFont="1" applyFill="1" applyBorder="1" applyAlignment="1">
      <alignment horizontal="center" vertical="center"/>
    </xf>
    <xf numFmtId="2" fontId="2" fillId="5" borderId="14" xfId="0" applyNumberFormat="1" applyFont="1" applyFill="1" applyBorder="1" applyAlignment="1">
      <alignment horizontal="center" vertical="center"/>
    </xf>
    <xf numFmtId="2" fontId="2" fillId="5" borderId="4" xfId="0" applyNumberFormat="1" applyFont="1" applyFill="1" applyBorder="1" applyAlignment="1">
      <alignment horizontal="center" vertical="center"/>
    </xf>
    <xf numFmtId="2" fontId="2" fillId="5" borderId="5" xfId="0" applyNumberFormat="1" applyFont="1" applyFill="1" applyBorder="1" applyAlignment="1">
      <alignment horizontal="center" vertical="center"/>
    </xf>
    <xf numFmtId="2" fontId="2" fillId="5" borderId="6" xfId="0" applyNumberFormat="1" applyFont="1" applyFill="1" applyBorder="1" applyAlignment="1">
      <alignment horizontal="center" vertical="center"/>
    </xf>
    <xf numFmtId="0" fontId="3" fillId="2" borderId="10" xfId="0" applyFont="1" applyFill="1" applyBorder="1" applyAlignment="1"/>
    <xf numFmtId="0" fontId="3" fillId="2" borderId="9" xfId="0" applyFont="1" applyFill="1" applyBorder="1" applyAlignment="1"/>
    <xf numFmtId="0" fontId="3" fillId="2" borderId="11" xfId="0" applyFont="1" applyFill="1" applyBorder="1" applyAlignment="1"/>
    <xf numFmtId="0" fontId="3" fillId="3" borderId="10" xfId="0" applyFont="1" applyFill="1" applyBorder="1" applyAlignment="1">
      <alignment horizontal="center"/>
    </xf>
    <xf numFmtId="0" fontId="3" fillId="3" borderId="9" xfId="0" applyFont="1" applyFill="1" applyBorder="1" applyAlignment="1">
      <alignment horizontal="center"/>
    </xf>
    <xf numFmtId="0" fontId="3" fillId="3" borderId="11" xfId="0" applyFont="1" applyFill="1" applyBorder="1" applyAlignment="1">
      <alignment horizontal="center"/>
    </xf>
    <xf numFmtId="164" fontId="3" fillId="0" borderId="10" xfId="0" applyNumberFormat="1" applyFont="1" applyBorder="1" applyAlignment="1">
      <alignment horizontal="center"/>
    </xf>
    <xf numFmtId="164" fontId="3" fillId="0" borderId="9" xfId="0" applyNumberFormat="1" applyFont="1" applyBorder="1" applyAlignment="1">
      <alignment horizontal="center"/>
    </xf>
    <xf numFmtId="164" fontId="3" fillId="0" borderId="11" xfId="0" applyNumberFormat="1" applyFont="1" applyBorder="1" applyAlignment="1">
      <alignment horizontal="center"/>
    </xf>
    <xf numFmtId="0" fontId="3" fillId="4" borderId="13" xfId="0" applyFont="1" applyFill="1" applyBorder="1" applyAlignment="1">
      <alignment horizontal="center" vertical="center" wrapText="1"/>
    </xf>
    <xf numFmtId="0" fontId="3" fillId="4" borderId="15" xfId="0" applyFont="1" applyFill="1" applyBorder="1" applyAlignment="1">
      <alignment horizontal="center" vertical="center" wrapText="1"/>
    </xf>
    <xf numFmtId="0" fontId="3" fillId="4" borderId="14" xfId="0" applyFont="1" applyFill="1" applyBorder="1" applyAlignment="1">
      <alignment horizontal="center" vertical="center" wrapText="1"/>
    </xf>
    <xf numFmtId="0" fontId="3" fillId="5" borderId="13" xfId="0" applyFont="1" applyFill="1" applyBorder="1" applyAlignment="1">
      <alignment horizontal="center" vertical="center" wrapText="1"/>
    </xf>
    <xf numFmtId="0" fontId="3" fillId="5" borderId="15" xfId="0" applyFont="1" applyFill="1" applyBorder="1" applyAlignment="1">
      <alignment horizontal="center" vertical="center" wrapText="1"/>
    </xf>
    <xf numFmtId="0" fontId="3" fillId="5" borderId="14" xfId="0" applyFont="1" applyFill="1" applyBorder="1" applyAlignment="1">
      <alignment horizontal="center" vertical="center" wrapText="1"/>
    </xf>
    <xf numFmtId="0" fontId="4" fillId="0" borderId="1" xfId="0" applyFont="1" applyBorder="1" applyAlignment="1">
      <alignment horizontal="center" vertical="center"/>
    </xf>
    <xf numFmtId="0" fontId="4" fillId="0" borderId="3" xfId="0" applyFont="1" applyBorder="1" applyAlignment="1">
      <alignment horizontal="center" vertical="center"/>
    </xf>
    <xf numFmtId="0" fontId="4" fillId="0" borderId="4" xfId="0" applyFont="1" applyBorder="1" applyAlignment="1">
      <alignment horizontal="center" vertical="center"/>
    </xf>
    <xf numFmtId="0" fontId="4" fillId="0" borderId="6" xfId="0" applyFont="1" applyBorder="1" applyAlignment="1">
      <alignment horizontal="center" vertical="center"/>
    </xf>
    <xf numFmtId="165" fontId="2" fillId="0" borderId="1" xfId="0" applyNumberFormat="1" applyFont="1" applyBorder="1" applyAlignment="1">
      <alignment horizontal="center" vertical="center"/>
    </xf>
    <xf numFmtId="165" fontId="2" fillId="0" borderId="3" xfId="0" applyNumberFormat="1" applyFont="1" applyBorder="1" applyAlignment="1">
      <alignment horizontal="center" vertical="center"/>
    </xf>
    <xf numFmtId="165" fontId="2" fillId="0" borderId="4" xfId="0" applyNumberFormat="1" applyFont="1" applyBorder="1" applyAlignment="1">
      <alignment horizontal="center" vertical="center"/>
    </xf>
    <xf numFmtId="165" fontId="2" fillId="0" borderId="6" xfId="0" applyNumberFormat="1" applyFont="1" applyBorder="1" applyAlignment="1">
      <alignment horizontal="center" vertical="center"/>
    </xf>
    <xf numFmtId="0" fontId="3" fillId="0" borderId="9" xfId="0" applyFont="1" applyBorder="1" applyAlignment="1">
      <alignment horizontal="center" wrapText="1"/>
    </xf>
    <xf numFmtId="0" fontId="3" fillId="0" borderId="11" xfId="0" applyFont="1" applyBorder="1" applyAlignment="1">
      <alignment horizontal="center" wrapText="1"/>
    </xf>
    <xf numFmtId="0" fontId="4" fillId="0" borderId="2" xfId="0" applyFont="1" applyBorder="1" applyAlignment="1">
      <alignment horizontal="center" vertical="center"/>
    </xf>
    <xf numFmtId="0" fontId="4" fillId="0" borderId="7" xfId="0" applyFont="1" applyBorder="1" applyAlignment="1">
      <alignment horizontal="center" vertical="center"/>
    </xf>
    <xf numFmtId="0" fontId="4" fillId="0" borderId="0" xfId="0" applyFont="1" applyBorder="1" applyAlignment="1">
      <alignment horizontal="center" vertical="center"/>
    </xf>
    <xf numFmtId="0" fontId="4" fillId="0" borderId="8" xfId="0" applyFont="1" applyBorder="1" applyAlignment="1">
      <alignment horizontal="center" vertical="center"/>
    </xf>
    <xf numFmtId="0" fontId="3" fillId="5" borderId="1" xfId="0"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10" xfId="0" applyFont="1" applyBorder="1" applyAlignment="1">
      <alignment horizontal="center"/>
    </xf>
    <xf numFmtId="0" fontId="2" fillId="0" borderId="9" xfId="0" applyFont="1" applyBorder="1" applyAlignment="1">
      <alignment horizontal="center"/>
    </xf>
    <xf numFmtId="0" fontId="2" fillId="0" borderId="11" xfId="0" applyFont="1" applyBorder="1" applyAlignment="1">
      <alignment horizontal="center"/>
    </xf>
    <xf numFmtId="0" fontId="3" fillId="0" borderId="10" xfId="0" applyFont="1" applyFill="1" applyBorder="1" applyAlignment="1">
      <alignment horizontal="center"/>
    </xf>
    <xf numFmtId="0" fontId="3" fillId="0" borderId="9" xfId="0" applyFont="1" applyFill="1" applyBorder="1" applyAlignment="1">
      <alignment horizontal="center"/>
    </xf>
    <xf numFmtId="0" fontId="3" fillId="4" borderId="1" xfId="0" applyFont="1" applyFill="1" applyBorder="1" applyAlignment="1">
      <alignment horizontal="center" vertical="center" wrapText="1"/>
    </xf>
    <xf numFmtId="0" fontId="3" fillId="4" borderId="7" xfId="0" applyFont="1" applyFill="1" applyBorder="1" applyAlignment="1">
      <alignment horizontal="center" vertical="center" wrapText="1"/>
    </xf>
    <xf numFmtId="0" fontId="3" fillId="4" borderId="4" xfId="0" applyFont="1" applyFill="1" applyBorder="1" applyAlignment="1">
      <alignment horizontal="center" vertical="center" wrapText="1"/>
    </xf>
    <xf numFmtId="1" fontId="5" fillId="6" borderId="4" xfId="0" applyNumberFormat="1" applyFont="1" applyFill="1" applyBorder="1" applyAlignment="1">
      <alignment horizontal="center"/>
    </xf>
    <xf numFmtId="1" fontId="5" fillId="6" borderId="5" xfId="0" applyNumberFormat="1" applyFont="1" applyFill="1" applyBorder="1" applyAlignment="1">
      <alignment horizontal="center"/>
    </xf>
    <xf numFmtId="1" fontId="5" fillId="6" borderId="4" xfId="0" applyNumberFormat="1" applyFont="1" applyFill="1" applyBorder="1" applyAlignment="1">
      <alignment horizontal="center" vertical="center"/>
    </xf>
    <xf numFmtId="1" fontId="5" fillId="6" borderId="5" xfId="0" applyNumberFormat="1" applyFont="1" applyFill="1" applyBorder="1" applyAlignment="1">
      <alignment horizontal="center" vertical="center"/>
    </xf>
    <xf numFmtId="0" fontId="5" fillId="6" borderId="6" xfId="0" applyFont="1" applyFill="1" applyBorder="1" applyAlignment="1">
      <alignment horizontal="center" vertical="center"/>
    </xf>
    <xf numFmtId="0" fontId="5" fillId="6" borderId="10" xfId="0" applyFont="1" applyFill="1" applyBorder="1" applyAlignment="1">
      <alignment horizontal="center"/>
    </xf>
    <xf numFmtId="0" fontId="5" fillId="6" borderId="11" xfId="0" applyFont="1" applyFill="1" applyBorder="1" applyAlignment="1">
      <alignment horizontal="center"/>
    </xf>
    <xf numFmtId="1" fontId="5" fillId="6" borderId="6" xfId="0" applyNumberFormat="1" applyFont="1" applyFill="1" applyBorder="1" applyAlignment="1">
      <alignment horizontal="center"/>
    </xf>
    <xf numFmtId="164" fontId="5" fillId="6" borderId="9" xfId="0" applyNumberFormat="1" applyFont="1" applyFill="1" applyBorder="1" applyAlignment="1">
      <alignment horizontal="center"/>
    </xf>
    <xf numFmtId="2" fontId="5" fillId="6" borderId="9" xfId="0" applyNumberFormat="1" applyFont="1" applyFill="1" applyBorder="1" applyAlignment="1">
      <alignment horizontal="center"/>
    </xf>
    <xf numFmtId="2" fontId="5" fillId="6" borderId="11" xfId="0" applyNumberFormat="1" applyFont="1" applyFill="1" applyBorder="1" applyAlignment="1">
      <alignment horizontal="center"/>
    </xf>
  </cellXfs>
  <cellStyles count="1">
    <cellStyle name="Normal" xfId="0" builtinId="0"/>
  </cellStyles>
  <dxfs count="0"/>
  <tableStyles count="0" defaultTableStyle="TableStyleMedium9" defaultPivotStyle="PivotStyleLight16"/>
  <colors>
    <mruColors>
      <color rgb="FF00EA6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13.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14.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15.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16.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17.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18.xml.rels><?xml version="1.0" encoding="UTF-8" standalone="yes"?>
<Relationships xmlns="http://schemas.openxmlformats.org/package/2006/relationships"><Relationship Id="rId1" Type="http://schemas.openxmlformats.org/officeDocument/2006/relationships/chartUserShapes" Target="../drawings/drawing15.xml"/></Relationships>
</file>

<file path=xl/charts/_rels/chart19.xml.rels><?xml version="1.0" encoding="UTF-8" standalone="yes"?>
<Relationships xmlns="http://schemas.openxmlformats.org/package/2006/relationships"><Relationship Id="rId1" Type="http://schemas.openxmlformats.org/officeDocument/2006/relationships/chartUserShapes" Target="../drawings/drawing16.xml"/></Relationships>
</file>

<file path=xl/charts/_rels/chart20.xml.rels><?xml version="1.0" encoding="UTF-8" standalone="yes"?>
<Relationships xmlns="http://schemas.openxmlformats.org/package/2006/relationships"><Relationship Id="rId1" Type="http://schemas.openxmlformats.org/officeDocument/2006/relationships/chartUserShapes" Target="../drawings/drawing17.xml"/></Relationships>
</file>

<file path=xl/charts/_rels/chart21.xml.rels><?xml version="1.0" encoding="UTF-8" standalone="yes"?>
<Relationships xmlns="http://schemas.openxmlformats.org/package/2006/relationships"><Relationship Id="rId1" Type="http://schemas.openxmlformats.org/officeDocument/2006/relationships/chartUserShapes" Target="../drawings/drawing18.xml"/></Relationships>
</file>

<file path=xl/charts/_rels/chart22.xml.rels><?xml version="1.0" encoding="UTF-8" standalone="yes"?>
<Relationships xmlns="http://schemas.openxmlformats.org/package/2006/relationships"><Relationship Id="rId1" Type="http://schemas.openxmlformats.org/officeDocument/2006/relationships/chartUserShapes" Target="../drawings/drawing1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168091573203462"/>
          <c:y val="6.1209407647573454E-2"/>
          <c:w val="0.85195333653270766"/>
          <c:h val="0.78609932581956654"/>
        </c:manualLayout>
      </c:layout>
      <c:scatterChart>
        <c:scatterStyle val="smoothMarker"/>
        <c:varyColors val="0"/>
        <c:ser>
          <c:idx val="1"/>
          <c:order val="0"/>
          <c:tx>
            <c:v>Normative</c:v>
          </c:tx>
          <c:spPr>
            <a:ln>
              <a:solidFill>
                <a:schemeClr val="tx1"/>
              </a:solidFill>
            </a:ln>
          </c:spPr>
          <c:marker>
            <c:symbol val="none"/>
          </c:marker>
          <c:xVal>
            <c:numRef>
              <c:f>Normative!$A$2:$A$102</c:f>
              <c:numCache>
                <c:formatCode>General</c:formatCode>
                <c:ptCount val="101"/>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numCache>
            </c:numRef>
          </c:xVal>
          <c:yVal>
            <c:numRef>
              <c:f>Normative!$B$2:$B$102</c:f>
              <c:numCache>
                <c:formatCode>General</c:formatCode>
                <c:ptCount val="101"/>
                <c:pt idx="0">
                  <c:v>9.3799999999999937</c:v>
                </c:pt>
                <c:pt idx="1">
                  <c:v>9.3773999999999962</c:v>
                </c:pt>
                <c:pt idx="2">
                  <c:v>9.3747999999999987</c:v>
                </c:pt>
                <c:pt idx="3">
                  <c:v>9.3722000000000012</c:v>
                </c:pt>
                <c:pt idx="4">
                  <c:v>9.3698500000000013</c:v>
                </c:pt>
                <c:pt idx="5">
                  <c:v>9.3688749999999956</c:v>
                </c:pt>
                <c:pt idx="6">
                  <c:v>9.3678999999999899</c:v>
                </c:pt>
                <c:pt idx="7">
                  <c:v>9.3669249999999842</c:v>
                </c:pt>
                <c:pt idx="8">
                  <c:v>9.3663499999999793</c:v>
                </c:pt>
                <c:pt idx="9">
                  <c:v>9.3666749999999794</c:v>
                </c:pt>
                <c:pt idx="10">
                  <c:v>9.3669999999999796</c:v>
                </c:pt>
                <c:pt idx="11">
                  <c:v>9.3673249999999779</c:v>
                </c:pt>
                <c:pt idx="12">
                  <c:v>9.3680999999999806</c:v>
                </c:pt>
                <c:pt idx="13">
                  <c:v>9.3693999999999882</c:v>
                </c:pt>
                <c:pt idx="14">
                  <c:v>9.370699999999994</c:v>
                </c:pt>
                <c:pt idx="15">
                  <c:v>9.3719999999999999</c:v>
                </c:pt>
                <c:pt idx="16">
                  <c:v>9.3731000000000009</c:v>
                </c:pt>
                <c:pt idx="17">
                  <c:v>9.3740750000000013</c:v>
                </c:pt>
                <c:pt idx="18">
                  <c:v>9.3750499999999999</c:v>
                </c:pt>
                <c:pt idx="19">
                  <c:v>9.3760249999999985</c:v>
                </c:pt>
                <c:pt idx="20">
                  <c:v>9.3764999999999983</c:v>
                </c:pt>
                <c:pt idx="21">
                  <c:v>9.3768249999999984</c:v>
                </c:pt>
                <c:pt idx="22">
                  <c:v>9.3771499999999985</c:v>
                </c:pt>
                <c:pt idx="23">
                  <c:v>9.3774749999999969</c:v>
                </c:pt>
                <c:pt idx="24">
                  <c:v>9.3774999999999977</c:v>
                </c:pt>
                <c:pt idx="25">
                  <c:v>9.3774999999999977</c:v>
                </c:pt>
                <c:pt idx="26">
                  <c:v>9.3774999999999977</c:v>
                </c:pt>
                <c:pt idx="27">
                  <c:v>9.3775499999999976</c:v>
                </c:pt>
                <c:pt idx="28">
                  <c:v>9.378200000000005</c:v>
                </c:pt>
                <c:pt idx="29">
                  <c:v>9.3788500000000123</c:v>
                </c:pt>
                <c:pt idx="30">
                  <c:v>9.3795000000000179</c:v>
                </c:pt>
                <c:pt idx="31">
                  <c:v>9.3804500000000228</c:v>
                </c:pt>
                <c:pt idx="32">
                  <c:v>9.3824000000000218</c:v>
                </c:pt>
                <c:pt idx="33">
                  <c:v>9.3843500000000191</c:v>
                </c:pt>
                <c:pt idx="34">
                  <c:v>9.3863000000000181</c:v>
                </c:pt>
                <c:pt idx="35">
                  <c:v>9.3891250000000159</c:v>
                </c:pt>
                <c:pt idx="36">
                  <c:v>9.3933500000000123</c:v>
                </c:pt>
                <c:pt idx="37">
                  <c:v>9.3975750000000087</c:v>
                </c:pt>
                <c:pt idx="38">
                  <c:v>9.4018000000000033</c:v>
                </c:pt>
                <c:pt idx="39">
                  <c:v>9.407250000000003</c:v>
                </c:pt>
                <c:pt idx="40">
                  <c:v>9.4137500000000038</c:v>
                </c:pt>
                <c:pt idx="41">
                  <c:v>9.4202500000000065</c:v>
                </c:pt>
                <c:pt idx="42">
                  <c:v>9.4267500000000073</c:v>
                </c:pt>
                <c:pt idx="43">
                  <c:v>9.4343750000000028</c:v>
                </c:pt>
                <c:pt idx="44">
                  <c:v>9.4424999999999955</c:v>
                </c:pt>
                <c:pt idx="45">
                  <c:v>9.4506249999999881</c:v>
                </c:pt>
                <c:pt idx="46">
                  <c:v>9.4587499999999807</c:v>
                </c:pt>
                <c:pt idx="47">
                  <c:v>9.4679749999999778</c:v>
                </c:pt>
                <c:pt idx="48">
                  <c:v>9.4773999999999781</c:v>
                </c:pt>
                <c:pt idx="49">
                  <c:v>9.4868249999999765</c:v>
                </c:pt>
                <c:pt idx="50">
                  <c:v>9.496249999999975</c:v>
                </c:pt>
              </c:numCache>
            </c:numRef>
          </c:yVal>
          <c:smooth val="1"/>
          <c:extLst>
            <c:ext xmlns:c16="http://schemas.microsoft.com/office/drawing/2014/chart" uri="{C3380CC4-5D6E-409C-BE32-E72D297353CC}">
              <c16:uniqueId val="{00000002-8582-4461-BA36-C81F4E055828}"/>
            </c:ext>
          </c:extLst>
        </c:ser>
        <c:ser>
          <c:idx val="6"/>
          <c:order val="1"/>
          <c:tx>
            <c:v>Right 3</c:v>
          </c:tx>
          <c:spPr>
            <a:ln w="19050">
              <a:solidFill>
                <a:srgbClr val="00B050"/>
              </a:solidFill>
            </a:ln>
          </c:spPr>
          <c:marker>
            <c:symbol val="none"/>
          </c:marker>
          <c:xVal>
            <c:numRef>
              <c:f>'Right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3 Kin'!$B$2:$B$102</c:f>
              <c:numCache>
                <c:formatCode>General</c:formatCode>
                <c:ptCount val="101"/>
                <c:pt idx="0">
                  <c:v>9.3799999999999937</c:v>
                </c:pt>
                <c:pt idx="1">
                  <c:v>9.3773999999999962</c:v>
                </c:pt>
                <c:pt idx="2">
                  <c:v>9.3747999999999987</c:v>
                </c:pt>
                <c:pt idx="3">
                  <c:v>9.3722000000000012</c:v>
                </c:pt>
                <c:pt idx="4">
                  <c:v>9.3698500000000013</c:v>
                </c:pt>
                <c:pt idx="5">
                  <c:v>9.3688749999999956</c:v>
                </c:pt>
                <c:pt idx="6">
                  <c:v>9.3678999999999899</c:v>
                </c:pt>
                <c:pt idx="7">
                  <c:v>9.3669249999999842</c:v>
                </c:pt>
                <c:pt idx="8">
                  <c:v>9.3663499999999793</c:v>
                </c:pt>
                <c:pt idx="9">
                  <c:v>9.3666749999999794</c:v>
                </c:pt>
                <c:pt idx="10">
                  <c:v>9.3669999999999796</c:v>
                </c:pt>
                <c:pt idx="11">
                  <c:v>9.3673249999999779</c:v>
                </c:pt>
                <c:pt idx="12">
                  <c:v>9.3680999999999806</c:v>
                </c:pt>
                <c:pt idx="13">
                  <c:v>9.3693999999999882</c:v>
                </c:pt>
                <c:pt idx="14">
                  <c:v>9.370699999999994</c:v>
                </c:pt>
                <c:pt idx="15">
                  <c:v>9.3719999999999999</c:v>
                </c:pt>
                <c:pt idx="16">
                  <c:v>9.3731000000000009</c:v>
                </c:pt>
                <c:pt idx="17">
                  <c:v>9.3740750000000013</c:v>
                </c:pt>
                <c:pt idx="18">
                  <c:v>9.3750499999999999</c:v>
                </c:pt>
                <c:pt idx="19">
                  <c:v>9.3760249999999985</c:v>
                </c:pt>
                <c:pt idx="20">
                  <c:v>9.3764999999999983</c:v>
                </c:pt>
                <c:pt idx="21">
                  <c:v>9.3768249999999984</c:v>
                </c:pt>
                <c:pt idx="22">
                  <c:v>9.3771499999999985</c:v>
                </c:pt>
                <c:pt idx="23">
                  <c:v>9.3774749999999969</c:v>
                </c:pt>
                <c:pt idx="24">
                  <c:v>9.3774999999999977</c:v>
                </c:pt>
                <c:pt idx="25">
                  <c:v>9.3774999999999977</c:v>
                </c:pt>
                <c:pt idx="26">
                  <c:v>9.3774999999999977</c:v>
                </c:pt>
                <c:pt idx="27">
                  <c:v>9.3775499999999976</c:v>
                </c:pt>
                <c:pt idx="28">
                  <c:v>9.378200000000005</c:v>
                </c:pt>
                <c:pt idx="29">
                  <c:v>9.3788500000000123</c:v>
                </c:pt>
                <c:pt idx="30">
                  <c:v>9.3795000000000179</c:v>
                </c:pt>
                <c:pt idx="31">
                  <c:v>9.3804500000000228</c:v>
                </c:pt>
                <c:pt idx="32">
                  <c:v>9.3824000000000218</c:v>
                </c:pt>
                <c:pt idx="33">
                  <c:v>9.3843500000000191</c:v>
                </c:pt>
                <c:pt idx="34">
                  <c:v>9.3863000000000181</c:v>
                </c:pt>
                <c:pt idx="35">
                  <c:v>9.3891250000000159</c:v>
                </c:pt>
                <c:pt idx="36">
                  <c:v>9.3933500000000123</c:v>
                </c:pt>
                <c:pt idx="37">
                  <c:v>9.3975750000000087</c:v>
                </c:pt>
                <c:pt idx="38">
                  <c:v>9.4018000000000033</c:v>
                </c:pt>
                <c:pt idx="39">
                  <c:v>9.407250000000003</c:v>
                </c:pt>
                <c:pt idx="40">
                  <c:v>9.4137500000000038</c:v>
                </c:pt>
                <c:pt idx="41">
                  <c:v>9.4202500000000065</c:v>
                </c:pt>
                <c:pt idx="42">
                  <c:v>9.4267500000000073</c:v>
                </c:pt>
                <c:pt idx="43">
                  <c:v>9.4343750000000028</c:v>
                </c:pt>
                <c:pt idx="44">
                  <c:v>9.4424999999999955</c:v>
                </c:pt>
                <c:pt idx="45">
                  <c:v>9.4506249999999881</c:v>
                </c:pt>
                <c:pt idx="46">
                  <c:v>9.4587499999999807</c:v>
                </c:pt>
                <c:pt idx="47">
                  <c:v>9.4679749999999778</c:v>
                </c:pt>
                <c:pt idx="48">
                  <c:v>9.4773999999999781</c:v>
                </c:pt>
                <c:pt idx="49">
                  <c:v>9.4868249999999765</c:v>
                </c:pt>
                <c:pt idx="50">
                  <c:v>9.496249999999975</c:v>
                </c:pt>
                <c:pt idx="51">
                  <c:v>9.5066499999999792</c:v>
                </c:pt>
                <c:pt idx="52">
                  <c:v>9.5170499999999851</c:v>
                </c:pt>
                <c:pt idx="53">
                  <c:v>9.5274499999999893</c:v>
                </c:pt>
                <c:pt idx="54">
                  <c:v>9.537949999999995</c:v>
                </c:pt>
                <c:pt idx="55">
                  <c:v>9.5489999999999995</c:v>
                </c:pt>
                <c:pt idx="56">
                  <c:v>9.5600500000000039</c:v>
                </c:pt>
                <c:pt idx="57">
                  <c:v>9.5711000000000084</c:v>
                </c:pt>
                <c:pt idx="58">
                  <c:v>9.5819500000000115</c:v>
                </c:pt>
                <c:pt idx="59">
                  <c:v>9.5923500000000104</c:v>
                </c:pt>
                <c:pt idx="60">
                  <c:v>9.6027500000000074</c:v>
                </c:pt>
                <c:pt idx="61">
                  <c:v>9.6131500000000063</c:v>
                </c:pt>
                <c:pt idx="62">
                  <c:v>9.6234000000000055</c:v>
                </c:pt>
                <c:pt idx="63">
                  <c:v>9.6334750000000025</c:v>
                </c:pt>
                <c:pt idx="64">
                  <c:v>9.6435500000000012</c:v>
                </c:pt>
                <c:pt idx="65">
                  <c:v>9.6536249999999999</c:v>
                </c:pt>
                <c:pt idx="66">
                  <c:v>9.6634999999999973</c:v>
                </c:pt>
                <c:pt idx="67">
                  <c:v>9.6732499999999959</c:v>
                </c:pt>
                <c:pt idx="68">
                  <c:v>9.6829999999999945</c:v>
                </c:pt>
                <c:pt idx="69">
                  <c:v>9.6927499999999931</c:v>
                </c:pt>
                <c:pt idx="70">
                  <c:v>9.7014999999999922</c:v>
                </c:pt>
                <c:pt idx="71">
                  <c:v>9.7099499999999921</c:v>
                </c:pt>
                <c:pt idx="72">
                  <c:v>9.7183999999999919</c:v>
                </c:pt>
                <c:pt idx="73">
                  <c:v>9.7268499999999918</c:v>
                </c:pt>
                <c:pt idx="74">
                  <c:v>9.7346999999999984</c:v>
                </c:pt>
                <c:pt idx="75">
                  <c:v>9.7425000000000068</c:v>
                </c:pt>
                <c:pt idx="76">
                  <c:v>9.7503000000000153</c:v>
                </c:pt>
                <c:pt idx="77">
                  <c:v>9.7580000000000222</c:v>
                </c:pt>
                <c:pt idx="78">
                  <c:v>9.7645000000000231</c:v>
                </c:pt>
                <c:pt idx="79">
                  <c:v>9.7710000000000239</c:v>
                </c:pt>
                <c:pt idx="80">
                  <c:v>9.7775000000000265</c:v>
                </c:pt>
                <c:pt idx="81">
                  <c:v>9.7836250000000238</c:v>
                </c:pt>
                <c:pt idx="82">
                  <c:v>9.7885000000000133</c:v>
                </c:pt>
                <c:pt idx="83">
                  <c:v>9.7933750000000011</c:v>
                </c:pt>
                <c:pt idx="84">
                  <c:v>9.7982499999999888</c:v>
                </c:pt>
                <c:pt idx="85">
                  <c:v>9.8023749999999836</c:v>
                </c:pt>
                <c:pt idx="86">
                  <c:v>9.8052999999999884</c:v>
                </c:pt>
                <c:pt idx="87">
                  <c:v>9.8082249999999931</c:v>
                </c:pt>
                <c:pt idx="88">
                  <c:v>9.8111499999999978</c:v>
                </c:pt>
                <c:pt idx="89">
                  <c:v>9.812675000000004</c:v>
                </c:pt>
                <c:pt idx="90">
                  <c:v>9.8130000000000113</c:v>
                </c:pt>
                <c:pt idx="91">
                  <c:v>9.8133250000000185</c:v>
                </c:pt>
                <c:pt idx="92">
                  <c:v>9.8136500000000257</c:v>
                </c:pt>
                <c:pt idx="93">
                  <c:v>9.811950000000019</c:v>
                </c:pt>
                <c:pt idx="94">
                  <c:v>9.8093500000000056</c:v>
                </c:pt>
                <c:pt idx="95">
                  <c:v>9.8067499999999939</c:v>
                </c:pt>
                <c:pt idx="96">
                  <c:v>9.8041499999999822</c:v>
                </c:pt>
                <c:pt idx="97">
                  <c:v>9.7985249999999784</c:v>
                </c:pt>
                <c:pt idx="98">
                  <c:v>9.7923499999999759</c:v>
                </c:pt>
                <c:pt idx="99">
                  <c:v>9.7861749999999752</c:v>
                </c:pt>
                <c:pt idx="100">
                  <c:v>9.7799999999999727</c:v>
                </c:pt>
              </c:numCache>
            </c:numRef>
          </c:yVal>
          <c:smooth val="1"/>
          <c:extLst>
            <c:ext xmlns:c16="http://schemas.microsoft.com/office/drawing/2014/chart" uri="{C3380CC4-5D6E-409C-BE32-E72D297353CC}">
              <c16:uniqueId val="{00000004-CE4A-4B2E-91ED-2A83ACCA33A7}"/>
            </c:ext>
          </c:extLst>
        </c:ser>
        <c:ser>
          <c:idx val="5"/>
          <c:order val="2"/>
          <c:tx>
            <c:v>Right 2</c:v>
          </c:tx>
          <c:spPr>
            <a:ln w="19050">
              <a:solidFill>
                <a:srgbClr val="00B050"/>
              </a:solidFill>
            </a:ln>
          </c:spPr>
          <c:marker>
            <c:symbol val="none"/>
          </c:marker>
          <c:xVal>
            <c:numRef>
              <c:f>'Right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2 Kin'!$B$2:$B$102</c:f>
              <c:numCache>
                <c:formatCode>General</c:formatCode>
                <c:ptCount val="101"/>
                <c:pt idx="0">
                  <c:v>9.3462499999999977</c:v>
                </c:pt>
                <c:pt idx="1">
                  <c:v>9.3432124999999999</c:v>
                </c:pt>
                <c:pt idx="2">
                  <c:v>9.3401750000000039</c:v>
                </c:pt>
                <c:pt idx="3">
                  <c:v>9.3371375000000061</c:v>
                </c:pt>
                <c:pt idx="4">
                  <c:v>9.3340000000000085</c:v>
                </c:pt>
                <c:pt idx="5">
                  <c:v>9.3306250000000119</c:v>
                </c:pt>
                <c:pt idx="6">
                  <c:v>9.3272500000000154</c:v>
                </c:pt>
                <c:pt idx="7">
                  <c:v>9.3238750000000188</c:v>
                </c:pt>
                <c:pt idx="8">
                  <c:v>9.3211000000000155</c:v>
                </c:pt>
                <c:pt idx="9">
                  <c:v>9.3187375000000099</c:v>
                </c:pt>
                <c:pt idx="10">
                  <c:v>9.3163750000000043</c:v>
                </c:pt>
                <c:pt idx="11">
                  <c:v>9.3140124999999987</c:v>
                </c:pt>
                <c:pt idx="12">
                  <c:v>9.3122499999999935</c:v>
                </c:pt>
                <c:pt idx="13">
                  <c:v>9.3105624999999872</c:v>
                </c:pt>
                <c:pt idx="14">
                  <c:v>9.3088749999999809</c:v>
                </c:pt>
                <c:pt idx="15">
                  <c:v>9.307312499999977</c:v>
                </c:pt>
                <c:pt idx="16">
                  <c:v>9.3062999999999771</c:v>
                </c:pt>
                <c:pt idx="17">
                  <c:v>9.3052874999999773</c:v>
                </c:pt>
                <c:pt idx="18">
                  <c:v>9.3042749999999792</c:v>
                </c:pt>
                <c:pt idx="19">
                  <c:v>9.3039124999999832</c:v>
                </c:pt>
                <c:pt idx="20">
                  <c:v>9.3042499999999908</c:v>
                </c:pt>
                <c:pt idx="21">
                  <c:v>9.3045874999999985</c:v>
                </c:pt>
                <c:pt idx="22">
                  <c:v>9.3049250000000043</c:v>
                </c:pt>
                <c:pt idx="23">
                  <c:v>9.3060500000000062</c:v>
                </c:pt>
                <c:pt idx="24">
                  <c:v>9.3074000000000048</c:v>
                </c:pt>
                <c:pt idx="25">
                  <c:v>9.3087500000000034</c:v>
                </c:pt>
                <c:pt idx="26">
                  <c:v>9.3101250000000029</c:v>
                </c:pt>
                <c:pt idx="27">
                  <c:v>9.3118125000000003</c:v>
                </c:pt>
                <c:pt idx="28">
                  <c:v>9.3134999999999994</c:v>
                </c:pt>
                <c:pt idx="29">
                  <c:v>9.3151874999999968</c:v>
                </c:pt>
                <c:pt idx="30">
                  <c:v>9.3173749999999984</c:v>
                </c:pt>
                <c:pt idx="31">
                  <c:v>9.3204125000000033</c:v>
                </c:pt>
                <c:pt idx="32">
                  <c:v>9.3234500000000082</c:v>
                </c:pt>
                <c:pt idx="33">
                  <c:v>9.3264875000000131</c:v>
                </c:pt>
                <c:pt idx="34">
                  <c:v>9.330200000000012</c:v>
                </c:pt>
                <c:pt idx="35">
                  <c:v>9.3342500000000079</c:v>
                </c:pt>
                <c:pt idx="36">
                  <c:v>9.3383000000000056</c:v>
                </c:pt>
                <c:pt idx="37">
                  <c:v>9.3423500000000015</c:v>
                </c:pt>
                <c:pt idx="38">
                  <c:v>9.3467249999999975</c:v>
                </c:pt>
                <c:pt idx="39">
                  <c:v>9.3511124999999922</c:v>
                </c:pt>
                <c:pt idx="40">
                  <c:v>9.3554999999999886</c:v>
                </c:pt>
                <c:pt idx="41">
                  <c:v>9.3600624999999855</c:v>
                </c:pt>
                <c:pt idx="42">
                  <c:v>9.3651249999999884</c:v>
                </c:pt>
                <c:pt idx="43">
                  <c:v>9.370187499999993</c:v>
                </c:pt>
                <c:pt idx="44">
                  <c:v>9.3752499999999959</c:v>
                </c:pt>
                <c:pt idx="45">
                  <c:v>9.3804999999999996</c:v>
                </c:pt>
                <c:pt idx="46">
                  <c:v>9.3859000000000012</c:v>
                </c:pt>
                <c:pt idx="47">
                  <c:v>9.3913000000000046</c:v>
                </c:pt>
                <c:pt idx="48">
                  <c:v>9.396700000000008</c:v>
                </c:pt>
                <c:pt idx="49">
                  <c:v>9.4026750000000092</c:v>
                </c:pt>
                <c:pt idx="50">
                  <c:v>9.4087500000000119</c:v>
                </c:pt>
                <c:pt idx="51">
                  <c:v>9.4148250000000147</c:v>
                </c:pt>
                <c:pt idx="52">
                  <c:v>9.4210000000000154</c:v>
                </c:pt>
                <c:pt idx="53">
                  <c:v>9.4277500000000085</c:v>
                </c:pt>
                <c:pt idx="54">
                  <c:v>9.4345000000000034</c:v>
                </c:pt>
                <c:pt idx="55">
                  <c:v>9.4412499999999966</c:v>
                </c:pt>
                <c:pt idx="56">
                  <c:v>9.4481499999999929</c:v>
                </c:pt>
                <c:pt idx="57">
                  <c:v>9.4552374999999955</c:v>
                </c:pt>
                <c:pt idx="58">
                  <c:v>9.4623249999999963</c:v>
                </c:pt>
                <c:pt idx="59">
                  <c:v>9.4694124999999971</c:v>
                </c:pt>
                <c:pt idx="60">
                  <c:v>9.4767499999999991</c:v>
                </c:pt>
                <c:pt idx="61">
                  <c:v>9.4841749999999987</c:v>
                </c:pt>
                <c:pt idx="62">
                  <c:v>9.4916</c:v>
                </c:pt>
                <c:pt idx="63">
                  <c:v>9.4990000000000006</c:v>
                </c:pt>
                <c:pt idx="64">
                  <c:v>9.5057500000000026</c:v>
                </c:pt>
                <c:pt idx="65">
                  <c:v>9.5125000000000046</c:v>
                </c:pt>
                <c:pt idx="66">
                  <c:v>9.5192500000000067</c:v>
                </c:pt>
                <c:pt idx="67">
                  <c:v>9.5258875000000067</c:v>
                </c:pt>
                <c:pt idx="68">
                  <c:v>9.5323000000000082</c:v>
                </c:pt>
                <c:pt idx="69">
                  <c:v>9.5387125000000097</c:v>
                </c:pt>
                <c:pt idx="70">
                  <c:v>9.5451250000000112</c:v>
                </c:pt>
                <c:pt idx="71">
                  <c:v>9.5513250000000092</c:v>
                </c:pt>
                <c:pt idx="72">
                  <c:v>9.557400000000003</c:v>
                </c:pt>
                <c:pt idx="73">
                  <c:v>9.5634749999999986</c:v>
                </c:pt>
                <c:pt idx="74">
                  <c:v>9.5695499999999942</c:v>
                </c:pt>
                <c:pt idx="75">
                  <c:v>9.5749999999999886</c:v>
                </c:pt>
                <c:pt idx="76">
                  <c:v>9.5803999999999832</c:v>
                </c:pt>
                <c:pt idx="77">
                  <c:v>9.5857999999999794</c:v>
                </c:pt>
                <c:pt idx="78">
                  <c:v>9.5910499999999761</c:v>
                </c:pt>
                <c:pt idx="79">
                  <c:v>9.5957749999999784</c:v>
                </c:pt>
                <c:pt idx="80">
                  <c:v>9.6004999999999825</c:v>
                </c:pt>
                <c:pt idx="81">
                  <c:v>9.6052249999999866</c:v>
                </c:pt>
                <c:pt idx="82">
                  <c:v>9.6095999999999897</c:v>
                </c:pt>
                <c:pt idx="83">
                  <c:v>9.6136499999999945</c:v>
                </c:pt>
                <c:pt idx="84">
                  <c:v>9.6176999999999975</c:v>
                </c:pt>
                <c:pt idx="85">
                  <c:v>9.6217500000000022</c:v>
                </c:pt>
                <c:pt idx="86">
                  <c:v>9.6249750000000063</c:v>
                </c:pt>
                <c:pt idx="87">
                  <c:v>9.6280125000000112</c:v>
                </c:pt>
                <c:pt idx="88">
                  <c:v>9.6310500000000161</c:v>
                </c:pt>
                <c:pt idx="89">
                  <c:v>9.6339000000000201</c:v>
                </c:pt>
                <c:pt idx="90">
                  <c:v>9.6352500000000187</c:v>
                </c:pt>
                <c:pt idx="91">
                  <c:v>9.6366000000000174</c:v>
                </c:pt>
                <c:pt idx="92">
                  <c:v>9.637950000000016</c:v>
                </c:pt>
                <c:pt idx="93">
                  <c:v>9.6388875000000116</c:v>
                </c:pt>
                <c:pt idx="94">
                  <c:v>9.6392250000000033</c:v>
                </c:pt>
                <c:pt idx="95">
                  <c:v>9.6395624999999949</c:v>
                </c:pt>
                <c:pt idx="96">
                  <c:v>9.6398999999999866</c:v>
                </c:pt>
                <c:pt idx="97">
                  <c:v>9.6392874999999911</c:v>
                </c:pt>
                <c:pt idx="98">
                  <c:v>9.6382750000000001</c:v>
                </c:pt>
                <c:pt idx="99">
                  <c:v>9.6372625000000092</c:v>
                </c:pt>
                <c:pt idx="100">
                  <c:v>9.6362500000000182</c:v>
                </c:pt>
              </c:numCache>
            </c:numRef>
          </c:yVal>
          <c:smooth val="1"/>
          <c:extLst>
            <c:ext xmlns:c16="http://schemas.microsoft.com/office/drawing/2014/chart" uri="{C3380CC4-5D6E-409C-BE32-E72D297353CC}">
              <c16:uniqueId val="{00000003-CE4A-4B2E-91ED-2A83ACCA33A7}"/>
            </c:ext>
          </c:extLst>
        </c:ser>
        <c:ser>
          <c:idx val="4"/>
          <c:order val="3"/>
          <c:tx>
            <c:v>Right 1</c:v>
          </c:tx>
          <c:spPr>
            <a:ln w="19050">
              <a:solidFill>
                <a:srgbClr val="00B050"/>
              </a:solidFill>
            </a:ln>
          </c:spPr>
          <c:marker>
            <c:symbol val="none"/>
          </c:marker>
          <c:xVal>
            <c:numRef>
              <c:f>'Right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1 Kin'!$B$2:$B$102</c:f>
              <c:numCache>
                <c:formatCode>General</c:formatCode>
                <c:ptCount val="101"/>
                <c:pt idx="0">
                  <c:v>9.1612499999999937</c:v>
                </c:pt>
                <c:pt idx="1">
                  <c:v>9.1565374999999989</c:v>
                </c:pt>
                <c:pt idx="2">
                  <c:v>9.1518250000000041</c:v>
                </c:pt>
                <c:pt idx="3">
                  <c:v>9.1471125000000075</c:v>
                </c:pt>
                <c:pt idx="4">
                  <c:v>9.1424000000000127</c:v>
                </c:pt>
                <c:pt idx="5">
                  <c:v>9.1376875000000162</c:v>
                </c:pt>
                <c:pt idx="6">
                  <c:v>9.1329750000000214</c:v>
                </c:pt>
                <c:pt idx="7">
                  <c:v>9.128262500000023</c:v>
                </c:pt>
                <c:pt idx="8">
                  <c:v>9.1235500000000123</c:v>
                </c:pt>
                <c:pt idx="9">
                  <c:v>9.1188374999999997</c:v>
                </c:pt>
                <c:pt idx="10">
                  <c:v>9.1141249999999872</c:v>
                </c:pt>
                <c:pt idx="11">
                  <c:v>9.109887499999985</c:v>
                </c:pt>
                <c:pt idx="12">
                  <c:v>9.1058999999999877</c:v>
                </c:pt>
                <c:pt idx="13">
                  <c:v>9.1019124999999921</c:v>
                </c:pt>
                <c:pt idx="14">
                  <c:v>9.0980749999999944</c:v>
                </c:pt>
                <c:pt idx="15">
                  <c:v>9.094812499999998</c:v>
                </c:pt>
                <c:pt idx="16">
                  <c:v>9.0915500000000016</c:v>
                </c:pt>
                <c:pt idx="17">
                  <c:v>9.0882875000000052</c:v>
                </c:pt>
                <c:pt idx="18">
                  <c:v>9.0858500000000006</c:v>
                </c:pt>
                <c:pt idx="19">
                  <c:v>9.0836749999999942</c:v>
                </c:pt>
                <c:pt idx="20">
                  <c:v>9.0814999999999877</c:v>
                </c:pt>
                <c:pt idx="21">
                  <c:v>9.0797749999999837</c:v>
                </c:pt>
                <c:pt idx="22">
                  <c:v>9.0790499999999845</c:v>
                </c:pt>
                <c:pt idx="23">
                  <c:v>9.0783249999999835</c:v>
                </c:pt>
                <c:pt idx="24">
                  <c:v>9.0775999999999843</c:v>
                </c:pt>
                <c:pt idx="25">
                  <c:v>9.0774999999999917</c:v>
                </c:pt>
                <c:pt idx="26">
                  <c:v>9.0775000000000006</c:v>
                </c:pt>
                <c:pt idx="27">
                  <c:v>9.0775000000000095</c:v>
                </c:pt>
                <c:pt idx="28">
                  <c:v>9.0779500000000137</c:v>
                </c:pt>
                <c:pt idx="29">
                  <c:v>9.0790375000000125</c:v>
                </c:pt>
                <c:pt idx="30">
                  <c:v>9.0801250000000131</c:v>
                </c:pt>
                <c:pt idx="31">
                  <c:v>9.0812125000000119</c:v>
                </c:pt>
                <c:pt idx="32">
                  <c:v>9.0840500000000084</c:v>
                </c:pt>
                <c:pt idx="33">
                  <c:v>9.086950000000007</c:v>
                </c:pt>
                <c:pt idx="34">
                  <c:v>9.0898500000000038</c:v>
                </c:pt>
                <c:pt idx="35">
                  <c:v>9.0933124999999997</c:v>
                </c:pt>
                <c:pt idx="36">
                  <c:v>9.0972999999999971</c:v>
                </c:pt>
                <c:pt idx="37">
                  <c:v>9.1012874999999926</c:v>
                </c:pt>
                <c:pt idx="38">
                  <c:v>9.1053499999999907</c:v>
                </c:pt>
                <c:pt idx="39">
                  <c:v>9.110424999999994</c:v>
                </c:pt>
                <c:pt idx="40">
                  <c:v>9.1154999999999973</c:v>
                </c:pt>
                <c:pt idx="41">
                  <c:v>9.1205750000000005</c:v>
                </c:pt>
                <c:pt idx="42">
                  <c:v>9.1265500000000035</c:v>
                </c:pt>
                <c:pt idx="43">
                  <c:v>9.1330750000000052</c:v>
                </c:pt>
                <c:pt idx="44">
                  <c:v>9.1396000000000086</c:v>
                </c:pt>
                <c:pt idx="45">
                  <c:v>9.1463125000000094</c:v>
                </c:pt>
                <c:pt idx="46">
                  <c:v>9.153925000000001</c:v>
                </c:pt>
                <c:pt idx="47">
                  <c:v>9.1615374999999943</c:v>
                </c:pt>
                <c:pt idx="48">
                  <c:v>9.1691499999999859</c:v>
                </c:pt>
                <c:pt idx="49">
                  <c:v>9.177812499999991</c:v>
                </c:pt>
                <c:pt idx="50">
                  <c:v>9.1868750000000006</c:v>
                </c:pt>
                <c:pt idx="51">
                  <c:v>9.1959375000000083</c:v>
                </c:pt>
                <c:pt idx="52">
                  <c:v>9.2053000000000154</c:v>
                </c:pt>
                <c:pt idx="53">
                  <c:v>9.215450000000013</c:v>
                </c:pt>
                <c:pt idx="54">
                  <c:v>9.2256000000000125</c:v>
                </c:pt>
                <c:pt idx="55">
                  <c:v>9.2357500000000119</c:v>
                </c:pt>
                <c:pt idx="56">
                  <c:v>9.2465000000000028</c:v>
                </c:pt>
                <c:pt idx="57">
                  <c:v>9.2573749999999926</c:v>
                </c:pt>
                <c:pt idx="58">
                  <c:v>9.2682499999999823</c:v>
                </c:pt>
                <c:pt idx="59">
                  <c:v>9.2793999999999777</c:v>
                </c:pt>
                <c:pt idx="60">
                  <c:v>9.2909999999999844</c:v>
                </c:pt>
                <c:pt idx="61">
                  <c:v>9.3025999999999911</c:v>
                </c:pt>
                <c:pt idx="62">
                  <c:v>9.3141999999999978</c:v>
                </c:pt>
                <c:pt idx="63">
                  <c:v>9.325462500000004</c:v>
                </c:pt>
                <c:pt idx="64">
                  <c:v>9.3367000000000093</c:v>
                </c:pt>
                <c:pt idx="65">
                  <c:v>9.3479375000000164</c:v>
                </c:pt>
                <c:pt idx="66">
                  <c:v>9.3593500000000152</c:v>
                </c:pt>
                <c:pt idx="67">
                  <c:v>9.3709500000000041</c:v>
                </c:pt>
                <c:pt idx="68">
                  <c:v>9.3825499999999931</c:v>
                </c:pt>
                <c:pt idx="69">
                  <c:v>9.3941374999999834</c:v>
                </c:pt>
                <c:pt idx="70">
                  <c:v>9.4053749999999887</c:v>
                </c:pt>
                <c:pt idx="71">
                  <c:v>9.4166124999999941</c:v>
                </c:pt>
                <c:pt idx="72">
                  <c:v>9.4278500000000012</c:v>
                </c:pt>
                <c:pt idx="73">
                  <c:v>9.4384500000000031</c:v>
                </c:pt>
                <c:pt idx="74">
                  <c:v>9.4486000000000026</c:v>
                </c:pt>
                <c:pt idx="75">
                  <c:v>9.458750000000002</c:v>
                </c:pt>
                <c:pt idx="76">
                  <c:v>9.4687000000000019</c:v>
                </c:pt>
                <c:pt idx="77">
                  <c:v>9.4774000000000012</c:v>
                </c:pt>
                <c:pt idx="78">
                  <c:v>9.4861000000000022</c:v>
                </c:pt>
                <c:pt idx="79">
                  <c:v>9.4948000000000015</c:v>
                </c:pt>
                <c:pt idx="80">
                  <c:v>9.5022499999999983</c:v>
                </c:pt>
                <c:pt idx="81">
                  <c:v>9.5091374999999925</c:v>
                </c:pt>
                <c:pt idx="82">
                  <c:v>9.5160249999999849</c:v>
                </c:pt>
                <c:pt idx="83">
                  <c:v>9.5225624999999798</c:v>
                </c:pt>
                <c:pt idx="84">
                  <c:v>9.5279999999999738</c:v>
                </c:pt>
                <c:pt idx="85">
                  <c:v>9.5334374999999696</c:v>
                </c:pt>
                <c:pt idx="86">
                  <c:v>9.5388749999999654</c:v>
                </c:pt>
                <c:pt idx="87">
                  <c:v>9.5420124999999807</c:v>
                </c:pt>
                <c:pt idx="88">
                  <c:v>9.5445500000000028</c:v>
                </c:pt>
                <c:pt idx="89">
                  <c:v>9.5470875000000248</c:v>
                </c:pt>
                <c:pt idx="90">
                  <c:v>9.5486250000000368</c:v>
                </c:pt>
                <c:pt idx="91">
                  <c:v>9.5482625000000283</c:v>
                </c:pt>
                <c:pt idx="92">
                  <c:v>9.5479000000000198</c:v>
                </c:pt>
                <c:pt idx="93">
                  <c:v>9.5475375000000131</c:v>
                </c:pt>
                <c:pt idx="94">
                  <c:v>9.5445750000000071</c:v>
                </c:pt>
                <c:pt idx="95">
                  <c:v>9.5413125000000019</c:v>
                </c:pt>
                <c:pt idx="96">
                  <c:v>9.5380499999999966</c:v>
                </c:pt>
                <c:pt idx="97">
                  <c:v>9.5334874999999926</c:v>
                </c:pt>
                <c:pt idx="98">
                  <c:v>9.5273249999999905</c:v>
                </c:pt>
                <c:pt idx="99">
                  <c:v>9.5211624999999867</c:v>
                </c:pt>
                <c:pt idx="100">
                  <c:v>9.5149999999999846</c:v>
                </c:pt>
              </c:numCache>
            </c:numRef>
          </c:yVal>
          <c:smooth val="1"/>
          <c:extLst>
            <c:ext xmlns:c16="http://schemas.microsoft.com/office/drawing/2014/chart" uri="{C3380CC4-5D6E-409C-BE32-E72D297353CC}">
              <c16:uniqueId val="{00000002-CE4A-4B2E-91ED-2A83ACCA33A7}"/>
            </c:ext>
          </c:extLst>
        </c:ser>
        <c:ser>
          <c:idx val="3"/>
          <c:order val="4"/>
          <c:tx>
            <c:v>Left 3</c:v>
          </c:tx>
          <c:spPr>
            <a:ln w="19050">
              <a:solidFill>
                <a:srgbClr val="FF0000"/>
              </a:solidFill>
            </a:ln>
          </c:spPr>
          <c:marker>
            <c:symbol val="none"/>
          </c:marker>
          <c:xVal>
            <c:numRef>
              <c:f>'Left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3 Kin'!$B$2:$B$102</c:f>
              <c:numCache>
                <c:formatCode>General</c:formatCode>
                <c:ptCount val="101"/>
                <c:pt idx="0">
                  <c:v>9.4699999999999989</c:v>
                </c:pt>
                <c:pt idx="1">
                  <c:v>9.4631749999999979</c:v>
                </c:pt>
                <c:pt idx="2">
                  <c:v>9.4563499999999969</c:v>
                </c:pt>
                <c:pt idx="3">
                  <c:v>9.449524999999996</c:v>
                </c:pt>
                <c:pt idx="4">
                  <c:v>9.4428499999999946</c:v>
                </c:pt>
                <c:pt idx="5">
                  <c:v>9.4369999999999905</c:v>
                </c:pt>
                <c:pt idx="6">
                  <c:v>9.4311499999999882</c:v>
                </c:pt>
                <c:pt idx="7">
                  <c:v>9.4252999999999858</c:v>
                </c:pt>
                <c:pt idx="8">
                  <c:v>9.4200499999999856</c:v>
                </c:pt>
                <c:pt idx="9">
                  <c:v>9.4161499999999894</c:v>
                </c:pt>
                <c:pt idx="10">
                  <c:v>9.4122499999999931</c:v>
                </c:pt>
                <c:pt idx="11">
                  <c:v>9.4083499999999987</c:v>
                </c:pt>
                <c:pt idx="12">
                  <c:v>9.4053500000000003</c:v>
                </c:pt>
                <c:pt idx="13">
                  <c:v>9.4034000000000031</c:v>
                </c:pt>
                <c:pt idx="14">
                  <c:v>9.4014500000000041</c:v>
                </c:pt>
                <c:pt idx="15">
                  <c:v>9.3995000000000068</c:v>
                </c:pt>
                <c:pt idx="16">
                  <c:v>9.3985500000000073</c:v>
                </c:pt>
                <c:pt idx="17">
                  <c:v>9.3982250000000072</c:v>
                </c:pt>
                <c:pt idx="18">
                  <c:v>9.397900000000007</c:v>
                </c:pt>
                <c:pt idx="19">
                  <c:v>9.3975750000000087</c:v>
                </c:pt>
                <c:pt idx="20">
                  <c:v>9.3987500000000068</c:v>
                </c:pt>
                <c:pt idx="21">
                  <c:v>9.4003750000000057</c:v>
                </c:pt>
                <c:pt idx="22">
                  <c:v>9.4020000000000046</c:v>
                </c:pt>
                <c:pt idx="23">
                  <c:v>9.4036250000000017</c:v>
                </c:pt>
                <c:pt idx="24">
                  <c:v>9.4055499999999999</c:v>
                </c:pt>
                <c:pt idx="25">
                  <c:v>9.4074999999999989</c:v>
                </c:pt>
                <c:pt idx="26">
                  <c:v>9.4094499999999961</c:v>
                </c:pt>
                <c:pt idx="27">
                  <c:v>9.411474999999994</c:v>
                </c:pt>
                <c:pt idx="28">
                  <c:v>9.4143999999999917</c:v>
                </c:pt>
                <c:pt idx="29">
                  <c:v>9.4173249999999893</c:v>
                </c:pt>
                <c:pt idx="30">
                  <c:v>9.4202499999999869</c:v>
                </c:pt>
                <c:pt idx="31">
                  <c:v>9.4233999999999867</c:v>
                </c:pt>
                <c:pt idx="32">
                  <c:v>9.42729999999999</c:v>
                </c:pt>
                <c:pt idx="33">
                  <c:v>9.4311999999999934</c:v>
                </c:pt>
                <c:pt idx="34">
                  <c:v>9.4350999999999985</c:v>
                </c:pt>
                <c:pt idx="35">
                  <c:v>9.4392500000000013</c:v>
                </c:pt>
                <c:pt idx="36">
                  <c:v>9.4438000000000049</c:v>
                </c:pt>
                <c:pt idx="37">
                  <c:v>9.4483500000000085</c:v>
                </c:pt>
                <c:pt idx="38">
                  <c:v>9.4529000000000103</c:v>
                </c:pt>
                <c:pt idx="39">
                  <c:v>9.4578000000000131</c:v>
                </c:pt>
                <c:pt idx="40">
                  <c:v>9.4630000000000152</c:v>
                </c:pt>
                <c:pt idx="41">
                  <c:v>9.4682000000000173</c:v>
                </c:pt>
                <c:pt idx="42">
                  <c:v>9.4734000000000211</c:v>
                </c:pt>
                <c:pt idx="43">
                  <c:v>9.4792750000000172</c:v>
                </c:pt>
                <c:pt idx="44">
                  <c:v>9.4854500000000126</c:v>
                </c:pt>
                <c:pt idx="45">
                  <c:v>9.4916250000000062</c:v>
                </c:pt>
                <c:pt idx="46">
                  <c:v>9.4978000000000016</c:v>
                </c:pt>
                <c:pt idx="47">
                  <c:v>9.5047999999999959</c:v>
                </c:pt>
                <c:pt idx="48">
                  <c:v>9.5119499999999899</c:v>
                </c:pt>
                <c:pt idx="49">
                  <c:v>9.5190999999999821</c:v>
                </c:pt>
                <c:pt idx="50">
                  <c:v>9.5262499999999761</c:v>
                </c:pt>
                <c:pt idx="51">
                  <c:v>9.5330749999999771</c:v>
                </c:pt>
                <c:pt idx="52">
                  <c:v>9.5398999999999781</c:v>
                </c:pt>
                <c:pt idx="53">
                  <c:v>9.546724999999979</c:v>
                </c:pt>
                <c:pt idx="54">
                  <c:v>9.5536499999999815</c:v>
                </c:pt>
                <c:pt idx="55">
                  <c:v>9.5611249999999899</c:v>
                </c:pt>
                <c:pt idx="56">
                  <c:v>9.5685999999999982</c:v>
                </c:pt>
                <c:pt idx="57">
                  <c:v>9.5760750000000066</c:v>
                </c:pt>
                <c:pt idx="58">
                  <c:v>9.5837500000000109</c:v>
                </c:pt>
                <c:pt idx="59">
                  <c:v>9.5918750000000106</c:v>
                </c:pt>
                <c:pt idx="60">
                  <c:v>9.6000000000000121</c:v>
                </c:pt>
                <c:pt idx="61">
                  <c:v>9.6081250000000118</c:v>
                </c:pt>
                <c:pt idx="62">
                  <c:v>9.6159500000000122</c:v>
                </c:pt>
                <c:pt idx="63">
                  <c:v>9.6234250000000117</c:v>
                </c:pt>
                <c:pt idx="64">
                  <c:v>9.6309000000000111</c:v>
                </c:pt>
                <c:pt idx="65">
                  <c:v>9.6383750000000123</c:v>
                </c:pt>
                <c:pt idx="66">
                  <c:v>9.6456500000000087</c:v>
                </c:pt>
                <c:pt idx="67">
                  <c:v>9.6528000000000027</c:v>
                </c:pt>
                <c:pt idx="68">
                  <c:v>9.6599499999999967</c:v>
                </c:pt>
                <c:pt idx="69">
                  <c:v>9.6670999999999907</c:v>
                </c:pt>
                <c:pt idx="70">
                  <c:v>9.6742499999999829</c:v>
                </c:pt>
                <c:pt idx="71">
                  <c:v>9.6813999999999769</c:v>
                </c:pt>
                <c:pt idx="72">
                  <c:v>9.6885499999999709</c:v>
                </c:pt>
                <c:pt idx="73">
                  <c:v>9.6956999999999649</c:v>
                </c:pt>
                <c:pt idx="74">
                  <c:v>9.7022499999999781</c:v>
                </c:pt>
                <c:pt idx="75">
                  <c:v>9.7087499999999949</c:v>
                </c:pt>
                <c:pt idx="76">
                  <c:v>9.7152500000000117</c:v>
                </c:pt>
                <c:pt idx="77">
                  <c:v>9.7217500000000268</c:v>
                </c:pt>
                <c:pt idx="78">
                  <c:v>9.7282500000000276</c:v>
                </c:pt>
                <c:pt idx="79">
                  <c:v>9.7347500000000284</c:v>
                </c:pt>
                <c:pt idx="80">
                  <c:v>9.7412500000000293</c:v>
                </c:pt>
                <c:pt idx="81">
                  <c:v>9.7476750000000276</c:v>
                </c:pt>
                <c:pt idx="82">
                  <c:v>9.7538500000000141</c:v>
                </c:pt>
                <c:pt idx="83">
                  <c:v>9.7600250000000024</c:v>
                </c:pt>
                <c:pt idx="84">
                  <c:v>9.7661999999999889</c:v>
                </c:pt>
                <c:pt idx="85">
                  <c:v>9.7719999999999807</c:v>
                </c:pt>
                <c:pt idx="86">
                  <c:v>9.7771999999999757</c:v>
                </c:pt>
                <c:pt idx="87">
                  <c:v>9.7823999999999707</c:v>
                </c:pt>
                <c:pt idx="88">
                  <c:v>9.7875999999999657</c:v>
                </c:pt>
                <c:pt idx="89">
                  <c:v>9.7917499999999702</c:v>
                </c:pt>
                <c:pt idx="90">
                  <c:v>9.7949999999999822</c:v>
                </c:pt>
                <c:pt idx="91">
                  <c:v>9.7982499999999941</c:v>
                </c:pt>
                <c:pt idx="92">
                  <c:v>9.8015000000000061</c:v>
                </c:pt>
                <c:pt idx="93">
                  <c:v>9.8020500000000101</c:v>
                </c:pt>
                <c:pt idx="94">
                  <c:v>9.8014000000000099</c:v>
                </c:pt>
                <c:pt idx="95">
                  <c:v>9.8007500000000114</c:v>
                </c:pt>
                <c:pt idx="96">
                  <c:v>9.8001000000000111</c:v>
                </c:pt>
                <c:pt idx="97">
                  <c:v>9.7964250000000082</c:v>
                </c:pt>
                <c:pt idx="98">
                  <c:v>9.7922000000000047</c:v>
                </c:pt>
                <c:pt idx="99">
                  <c:v>9.7879750000000012</c:v>
                </c:pt>
                <c:pt idx="100">
                  <c:v>9.7837499999999977</c:v>
                </c:pt>
              </c:numCache>
            </c:numRef>
          </c:yVal>
          <c:smooth val="1"/>
          <c:extLst>
            <c:ext xmlns:c16="http://schemas.microsoft.com/office/drawing/2014/chart" uri="{C3380CC4-5D6E-409C-BE32-E72D297353CC}">
              <c16:uniqueId val="{00000001-CE4A-4B2E-91ED-2A83ACCA33A7}"/>
            </c:ext>
          </c:extLst>
        </c:ser>
        <c:ser>
          <c:idx val="2"/>
          <c:order val="5"/>
          <c:tx>
            <c:v>Left 2</c:v>
          </c:tx>
          <c:spPr>
            <a:ln w="19050">
              <a:solidFill>
                <a:srgbClr val="FF0000"/>
              </a:solidFill>
            </a:ln>
          </c:spPr>
          <c:marker>
            <c:symbol val="none"/>
          </c:marker>
          <c:xVal>
            <c:numRef>
              <c:f>'Left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2 Kin'!$B$2:$B$102</c:f>
              <c:numCache>
                <c:formatCode>General</c:formatCode>
                <c:ptCount val="101"/>
                <c:pt idx="0">
                  <c:v>9.3549999999999898</c:v>
                </c:pt>
                <c:pt idx="1">
                  <c:v>9.3540999999999901</c:v>
                </c:pt>
                <c:pt idx="2">
                  <c:v>9.3531999999999922</c:v>
                </c:pt>
                <c:pt idx="3">
                  <c:v>9.3522999999999925</c:v>
                </c:pt>
                <c:pt idx="4">
                  <c:v>9.3513999999999928</c:v>
                </c:pt>
                <c:pt idx="5">
                  <c:v>9.3512499999999932</c:v>
                </c:pt>
                <c:pt idx="6">
                  <c:v>9.3512499999999932</c:v>
                </c:pt>
                <c:pt idx="7">
                  <c:v>9.3512499999999932</c:v>
                </c:pt>
                <c:pt idx="8">
                  <c:v>9.3512499999999932</c:v>
                </c:pt>
                <c:pt idx="9">
                  <c:v>9.3518499999999971</c:v>
                </c:pt>
                <c:pt idx="10">
                  <c:v>9.3527500000000039</c:v>
                </c:pt>
                <c:pt idx="11">
                  <c:v>9.3536500000000089</c:v>
                </c:pt>
                <c:pt idx="12">
                  <c:v>9.3545500000000157</c:v>
                </c:pt>
                <c:pt idx="13">
                  <c:v>9.3557500000000182</c:v>
                </c:pt>
                <c:pt idx="14">
                  <c:v>9.3572500000000165</c:v>
                </c:pt>
                <c:pt idx="15">
                  <c:v>9.3587500000000148</c:v>
                </c:pt>
                <c:pt idx="16">
                  <c:v>9.3602500000000131</c:v>
                </c:pt>
                <c:pt idx="17">
                  <c:v>9.3620500000000124</c:v>
                </c:pt>
                <c:pt idx="18">
                  <c:v>9.3644500000000104</c:v>
                </c:pt>
                <c:pt idx="19">
                  <c:v>9.3668500000000066</c:v>
                </c:pt>
                <c:pt idx="20">
                  <c:v>9.3692500000000045</c:v>
                </c:pt>
                <c:pt idx="21">
                  <c:v>9.3718000000000021</c:v>
                </c:pt>
                <c:pt idx="22">
                  <c:v>9.3750999999999998</c:v>
                </c:pt>
                <c:pt idx="23">
                  <c:v>9.3783999999999974</c:v>
                </c:pt>
                <c:pt idx="24">
                  <c:v>9.3816999999999933</c:v>
                </c:pt>
                <c:pt idx="25">
                  <c:v>9.3849999999999909</c:v>
                </c:pt>
                <c:pt idx="26">
                  <c:v>9.3891999999999936</c:v>
                </c:pt>
                <c:pt idx="27">
                  <c:v>9.3933999999999962</c:v>
                </c:pt>
                <c:pt idx="28">
                  <c:v>9.3976000000000006</c:v>
                </c:pt>
                <c:pt idx="29">
                  <c:v>9.4018000000000033</c:v>
                </c:pt>
                <c:pt idx="30">
                  <c:v>9.40625</c:v>
                </c:pt>
                <c:pt idx="31">
                  <c:v>9.4107499999999948</c:v>
                </c:pt>
                <c:pt idx="32">
                  <c:v>9.4152499999999915</c:v>
                </c:pt>
                <c:pt idx="33">
                  <c:v>9.4197499999999863</c:v>
                </c:pt>
                <c:pt idx="34">
                  <c:v>9.4240499999999869</c:v>
                </c:pt>
                <c:pt idx="35">
                  <c:v>9.4282499999999896</c:v>
                </c:pt>
                <c:pt idx="36">
                  <c:v>9.432449999999994</c:v>
                </c:pt>
                <c:pt idx="37">
                  <c:v>9.4366499999999967</c:v>
                </c:pt>
                <c:pt idx="38">
                  <c:v>9.4410000000000007</c:v>
                </c:pt>
                <c:pt idx="39">
                  <c:v>9.4455000000000027</c:v>
                </c:pt>
                <c:pt idx="40">
                  <c:v>9.4500000000000064</c:v>
                </c:pt>
                <c:pt idx="41">
                  <c:v>9.4545000000000083</c:v>
                </c:pt>
                <c:pt idx="42">
                  <c:v>9.4590000000000085</c:v>
                </c:pt>
                <c:pt idx="43">
                  <c:v>9.4635000000000051</c:v>
                </c:pt>
                <c:pt idx="44">
                  <c:v>9.468</c:v>
                </c:pt>
                <c:pt idx="45">
                  <c:v>9.4724999999999966</c:v>
                </c:pt>
                <c:pt idx="46">
                  <c:v>9.4769999999999932</c:v>
                </c:pt>
                <c:pt idx="47">
                  <c:v>9.4814999999999952</c:v>
                </c:pt>
                <c:pt idx="48">
                  <c:v>9.4859999999999989</c:v>
                </c:pt>
                <c:pt idx="49">
                  <c:v>9.4905000000000008</c:v>
                </c:pt>
                <c:pt idx="50">
                  <c:v>9.4950000000000028</c:v>
                </c:pt>
                <c:pt idx="51">
                  <c:v>9.4992000000000001</c:v>
                </c:pt>
                <c:pt idx="52">
                  <c:v>9.5033999999999956</c:v>
                </c:pt>
                <c:pt idx="53">
                  <c:v>9.5075999999999929</c:v>
                </c:pt>
                <c:pt idx="54">
                  <c:v>9.5117999999999885</c:v>
                </c:pt>
                <c:pt idx="55">
                  <c:v>9.5159999999999911</c:v>
                </c:pt>
                <c:pt idx="56">
                  <c:v>9.5201999999999938</c:v>
                </c:pt>
                <c:pt idx="57">
                  <c:v>9.5243999999999964</c:v>
                </c:pt>
                <c:pt idx="58">
                  <c:v>9.5286000000000008</c:v>
                </c:pt>
                <c:pt idx="59">
                  <c:v>9.532600000000004</c:v>
                </c:pt>
                <c:pt idx="60">
                  <c:v>9.5365000000000073</c:v>
                </c:pt>
                <c:pt idx="61">
                  <c:v>9.5404000000000106</c:v>
                </c:pt>
                <c:pt idx="62">
                  <c:v>9.544300000000014</c:v>
                </c:pt>
                <c:pt idx="63">
                  <c:v>9.5477500000000131</c:v>
                </c:pt>
                <c:pt idx="64">
                  <c:v>9.5507500000000114</c:v>
                </c:pt>
                <c:pt idx="65">
                  <c:v>9.553750000000008</c:v>
                </c:pt>
                <c:pt idx="66">
                  <c:v>9.5567500000000045</c:v>
                </c:pt>
                <c:pt idx="67">
                  <c:v>9.5596500000000031</c:v>
                </c:pt>
                <c:pt idx="68">
                  <c:v>9.5623500000000003</c:v>
                </c:pt>
                <c:pt idx="69">
                  <c:v>9.5650499999999976</c:v>
                </c:pt>
                <c:pt idx="70">
                  <c:v>9.5677499999999949</c:v>
                </c:pt>
                <c:pt idx="71">
                  <c:v>9.5703499999999924</c:v>
                </c:pt>
                <c:pt idx="72">
                  <c:v>9.572449999999991</c:v>
                </c:pt>
                <c:pt idx="73">
                  <c:v>9.5745499999999897</c:v>
                </c:pt>
                <c:pt idx="74">
                  <c:v>9.5766499999999866</c:v>
                </c:pt>
                <c:pt idx="75">
                  <c:v>9.5787499999999852</c:v>
                </c:pt>
                <c:pt idx="76">
                  <c:v>9.5811499999999903</c:v>
                </c:pt>
                <c:pt idx="77">
                  <c:v>9.5835499999999936</c:v>
                </c:pt>
                <c:pt idx="78">
                  <c:v>9.5859499999999986</c:v>
                </c:pt>
                <c:pt idx="79">
                  <c:v>9.5883500000000019</c:v>
                </c:pt>
                <c:pt idx="80">
                  <c:v>9.5907500000000017</c:v>
                </c:pt>
                <c:pt idx="81">
                  <c:v>9.5931499999999996</c:v>
                </c:pt>
                <c:pt idx="82">
                  <c:v>9.5955499999999958</c:v>
                </c:pt>
                <c:pt idx="83">
                  <c:v>9.5979499999999938</c:v>
                </c:pt>
                <c:pt idx="84">
                  <c:v>9.5999499999999927</c:v>
                </c:pt>
                <c:pt idx="85">
                  <c:v>9.601749999999992</c:v>
                </c:pt>
                <c:pt idx="86">
                  <c:v>9.6035499999999896</c:v>
                </c:pt>
                <c:pt idx="87">
                  <c:v>9.605349999999989</c:v>
                </c:pt>
                <c:pt idx="88">
                  <c:v>9.6069999999999922</c:v>
                </c:pt>
                <c:pt idx="89">
                  <c:v>9.6084999999999976</c:v>
                </c:pt>
                <c:pt idx="90">
                  <c:v>9.610000000000003</c:v>
                </c:pt>
                <c:pt idx="91">
                  <c:v>9.6115000000000084</c:v>
                </c:pt>
                <c:pt idx="92">
                  <c:v>9.6127000000000109</c:v>
                </c:pt>
                <c:pt idx="93">
                  <c:v>9.6133000000000113</c:v>
                </c:pt>
                <c:pt idx="94">
                  <c:v>9.6139000000000099</c:v>
                </c:pt>
                <c:pt idx="95">
                  <c:v>9.6145000000000103</c:v>
                </c:pt>
                <c:pt idx="96">
                  <c:v>9.6150000000000091</c:v>
                </c:pt>
                <c:pt idx="97">
                  <c:v>9.6150000000000091</c:v>
                </c:pt>
                <c:pt idx="98">
                  <c:v>9.6150000000000091</c:v>
                </c:pt>
                <c:pt idx="99">
                  <c:v>9.6150000000000091</c:v>
                </c:pt>
                <c:pt idx="100">
                  <c:v>9.6150000000000091</c:v>
                </c:pt>
              </c:numCache>
            </c:numRef>
          </c:yVal>
          <c:smooth val="1"/>
          <c:extLst>
            <c:ext xmlns:c16="http://schemas.microsoft.com/office/drawing/2014/chart" uri="{C3380CC4-5D6E-409C-BE32-E72D297353CC}">
              <c16:uniqueId val="{00000000-CE4A-4B2E-91ED-2A83ACCA33A7}"/>
            </c:ext>
          </c:extLst>
        </c:ser>
        <c:ser>
          <c:idx val="0"/>
          <c:order val="6"/>
          <c:tx>
            <c:v>Left 1</c:v>
          </c:tx>
          <c:spPr>
            <a:ln w="19050">
              <a:solidFill>
                <a:srgbClr val="FF0000"/>
              </a:solidFill>
            </a:ln>
          </c:spPr>
          <c:marker>
            <c:symbol val="none"/>
          </c:marker>
          <c:xVal>
            <c:numRef>
              <c:f>'Left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1 Kin'!$B$2:$B$102</c:f>
              <c:numCache>
                <c:formatCode>General</c:formatCode>
                <c:ptCount val="101"/>
                <c:pt idx="0">
                  <c:v>9.4355000000000029</c:v>
                </c:pt>
                <c:pt idx="1">
                  <c:v>9.4299062500000037</c:v>
                </c:pt>
                <c:pt idx="2">
                  <c:v>9.4243125000000063</c:v>
                </c:pt>
                <c:pt idx="3">
                  <c:v>9.4187187500000071</c:v>
                </c:pt>
                <c:pt idx="4">
                  <c:v>9.413125000000008</c:v>
                </c:pt>
                <c:pt idx="5">
                  <c:v>9.4082500000000095</c:v>
                </c:pt>
                <c:pt idx="6">
                  <c:v>9.4033750000000111</c:v>
                </c:pt>
                <c:pt idx="7">
                  <c:v>9.3985000000000127</c:v>
                </c:pt>
                <c:pt idx="8">
                  <c:v>9.3936250000000143</c:v>
                </c:pt>
                <c:pt idx="9">
                  <c:v>9.3899062500000063</c:v>
                </c:pt>
                <c:pt idx="10">
                  <c:v>9.3861874999999984</c:v>
                </c:pt>
                <c:pt idx="11">
                  <c:v>9.3824687499999904</c:v>
                </c:pt>
                <c:pt idx="12">
                  <c:v>9.3787499999999824</c:v>
                </c:pt>
                <c:pt idx="13">
                  <c:v>9.3768749999999805</c:v>
                </c:pt>
                <c:pt idx="14">
                  <c:v>9.3749999999999787</c:v>
                </c:pt>
                <c:pt idx="15">
                  <c:v>9.3731249999999768</c:v>
                </c:pt>
                <c:pt idx="16">
                  <c:v>9.371249999999975</c:v>
                </c:pt>
                <c:pt idx="17">
                  <c:v>9.3712499999999821</c:v>
                </c:pt>
                <c:pt idx="18">
                  <c:v>9.3712499999999892</c:v>
                </c:pt>
                <c:pt idx="19">
                  <c:v>9.3712499999999963</c:v>
                </c:pt>
                <c:pt idx="20">
                  <c:v>9.3712500000000034</c:v>
                </c:pt>
                <c:pt idx="21">
                  <c:v>9.3725000000000023</c:v>
                </c:pt>
                <c:pt idx="22">
                  <c:v>9.3737500000000011</c:v>
                </c:pt>
                <c:pt idx="23">
                  <c:v>9.375</c:v>
                </c:pt>
                <c:pt idx="24">
                  <c:v>9.3762499999999989</c:v>
                </c:pt>
                <c:pt idx="25">
                  <c:v>9.3787500000000037</c:v>
                </c:pt>
                <c:pt idx="26">
                  <c:v>9.3812500000000085</c:v>
                </c:pt>
                <c:pt idx="27">
                  <c:v>9.3837500000000134</c:v>
                </c:pt>
                <c:pt idx="28">
                  <c:v>9.3862500000000182</c:v>
                </c:pt>
                <c:pt idx="29">
                  <c:v>9.3903125000000145</c:v>
                </c:pt>
                <c:pt idx="30">
                  <c:v>9.3943750000000108</c:v>
                </c:pt>
                <c:pt idx="31">
                  <c:v>9.3984375000000071</c:v>
                </c:pt>
                <c:pt idx="32">
                  <c:v>9.4025000000000034</c:v>
                </c:pt>
                <c:pt idx="33">
                  <c:v>9.4074999999999989</c:v>
                </c:pt>
                <c:pt idx="34">
                  <c:v>9.4124999999999943</c:v>
                </c:pt>
                <c:pt idx="35">
                  <c:v>9.4174999999999898</c:v>
                </c:pt>
                <c:pt idx="36">
                  <c:v>9.4224999999999852</c:v>
                </c:pt>
                <c:pt idx="37">
                  <c:v>9.428437499999994</c:v>
                </c:pt>
                <c:pt idx="38">
                  <c:v>9.4343750000000028</c:v>
                </c:pt>
                <c:pt idx="39">
                  <c:v>9.4403125000000117</c:v>
                </c:pt>
                <c:pt idx="40">
                  <c:v>9.4462500000000205</c:v>
                </c:pt>
                <c:pt idx="41">
                  <c:v>9.4528125000000145</c:v>
                </c:pt>
                <c:pt idx="42">
                  <c:v>9.4593750000000085</c:v>
                </c:pt>
                <c:pt idx="43">
                  <c:v>9.4659375000000026</c:v>
                </c:pt>
                <c:pt idx="44">
                  <c:v>9.4724999999999966</c:v>
                </c:pt>
                <c:pt idx="45">
                  <c:v>9.4790624999999977</c:v>
                </c:pt>
                <c:pt idx="46">
                  <c:v>9.4856249999999989</c:v>
                </c:pt>
                <c:pt idx="47">
                  <c:v>9.4921875</c:v>
                </c:pt>
                <c:pt idx="48">
                  <c:v>9.4987500000000011</c:v>
                </c:pt>
                <c:pt idx="49">
                  <c:v>9.505625000000002</c:v>
                </c:pt>
                <c:pt idx="50">
                  <c:v>9.5125000000000028</c:v>
                </c:pt>
                <c:pt idx="51">
                  <c:v>9.5193750000000019</c:v>
                </c:pt>
                <c:pt idx="52">
                  <c:v>9.5262500000000028</c:v>
                </c:pt>
                <c:pt idx="53">
                  <c:v>9.5328124999999968</c:v>
                </c:pt>
                <c:pt idx="54">
                  <c:v>9.5393749999999926</c:v>
                </c:pt>
                <c:pt idx="55">
                  <c:v>9.5459374999999866</c:v>
                </c:pt>
                <c:pt idx="56">
                  <c:v>9.5524999999999807</c:v>
                </c:pt>
                <c:pt idx="57">
                  <c:v>9.5590624999999889</c:v>
                </c:pt>
                <c:pt idx="58">
                  <c:v>9.5656249999999972</c:v>
                </c:pt>
                <c:pt idx="59">
                  <c:v>9.5721875000000036</c:v>
                </c:pt>
                <c:pt idx="60">
                  <c:v>9.5787500000000119</c:v>
                </c:pt>
                <c:pt idx="61">
                  <c:v>9.5850000000000133</c:v>
                </c:pt>
                <c:pt idx="62">
                  <c:v>9.5912500000000165</c:v>
                </c:pt>
                <c:pt idx="63">
                  <c:v>9.5975000000000179</c:v>
                </c:pt>
                <c:pt idx="64">
                  <c:v>9.6037500000000193</c:v>
                </c:pt>
                <c:pt idx="65">
                  <c:v>9.6090625000000145</c:v>
                </c:pt>
                <c:pt idx="66">
                  <c:v>9.6143750000000097</c:v>
                </c:pt>
                <c:pt idx="67">
                  <c:v>9.6196875000000048</c:v>
                </c:pt>
                <c:pt idx="68">
                  <c:v>9.625</c:v>
                </c:pt>
                <c:pt idx="69">
                  <c:v>9.6306249999999949</c:v>
                </c:pt>
                <c:pt idx="70">
                  <c:v>9.6362499999999898</c:v>
                </c:pt>
                <c:pt idx="71">
                  <c:v>9.6418749999999847</c:v>
                </c:pt>
                <c:pt idx="72">
                  <c:v>9.6474999999999795</c:v>
                </c:pt>
                <c:pt idx="73">
                  <c:v>9.6528124999999818</c:v>
                </c:pt>
                <c:pt idx="74">
                  <c:v>9.6581249999999841</c:v>
                </c:pt>
                <c:pt idx="75">
                  <c:v>9.6634374999999864</c:v>
                </c:pt>
                <c:pt idx="76">
                  <c:v>9.6687499999999886</c:v>
                </c:pt>
                <c:pt idx="77">
                  <c:v>9.6737499999999912</c:v>
                </c:pt>
                <c:pt idx="78">
                  <c:v>9.6787499999999937</c:v>
                </c:pt>
                <c:pt idx="79">
                  <c:v>9.6837499999999963</c:v>
                </c:pt>
                <c:pt idx="80">
                  <c:v>9.6887499999999989</c:v>
                </c:pt>
                <c:pt idx="81">
                  <c:v>9.6940625000000011</c:v>
                </c:pt>
                <c:pt idx="82">
                  <c:v>9.6993750000000034</c:v>
                </c:pt>
                <c:pt idx="83">
                  <c:v>9.7046875000000057</c:v>
                </c:pt>
                <c:pt idx="84">
                  <c:v>9.710000000000008</c:v>
                </c:pt>
                <c:pt idx="85">
                  <c:v>9.7153125000000102</c:v>
                </c:pt>
                <c:pt idx="86">
                  <c:v>9.7206250000000125</c:v>
                </c:pt>
                <c:pt idx="87">
                  <c:v>9.7259375000000148</c:v>
                </c:pt>
                <c:pt idx="88">
                  <c:v>9.7312500000000171</c:v>
                </c:pt>
                <c:pt idx="89">
                  <c:v>9.7356250000000131</c:v>
                </c:pt>
                <c:pt idx="90">
                  <c:v>9.7400000000000091</c:v>
                </c:pt>
                <c:pt idx="91">
                  <c:v>9.7443750000000051</c:v>
                </c:pt>
                <c:pt idx="92">
                  <c:v>9.7487500000000011</c:v>
                </c:pt>
                <c:pt idx="93">
                  <c:v>9.7506249999999994</c:v>
                </c:pt>
                <c:pt idx="94">
                  <c:v>9.7524999999999977</c:v>
                </c:pt>
                <c:pt idx="95">
                  <c:v>9.754374999999996</c:v>
                </c:pt>
                <c:pt idx="96">
                  <c:v>9.7562499999999943</c:v>
                </c:pt>
                <c:pt idx="97">
                  <c:v>9.7553124999999952</c:v>
                </c:pt>
                <c:pt idx="98">
                  <c:v>9.754374999999996</c:v>
                </c:pt>
                <c:pt idx="99">
                  <c:v>9.7534374999999969</c:v>
                </c:pt>
                <c:pt idx="100">
                  <c:v>9.7524999999999977</c:v>
                </c:pt>
              </c:numCache>
            </c:numRef>
          </c:yVal>
          <c:smooth val="1"/>
          <c:extLst>
            <c:ext xmlns:c16="http://schemas.microsoft.com/office/drawing/2014/chart" uri="{C3380CC4-5D6E-409C-BE32-E72D297353CC}">
              <c16:uniqueId val="{00000000-7618-41E5-A7BE-92B56388AD0D}"/>
            </c:ext>
          </c:extLst>
        </c:ser>
        <c:dLbls>
          <c:showLegendKey val="0"/>
          <c:showVal val="0"/>
          <c:showCatName val="0"/>
          <c:showSerName val="0"/>
          <c:showPercent val="0"/>
          <c:showBubbleSize val="0"/>
        </c:dLbls>
        <c:axId val="90649728"/>
        <c:axId val="90651264"/>
      </c:scatterChart>
      <c:valAx>
        <c:axId val="90649728"/>
        <c:scaling>
          <c:orientation val="minMax"/>
          <c:max val="100"/>
        </c:scaling>
        <c:delete val="0"/>
        <c:axPos val="b"/>
        <c:title>
          <c:tx>
            <c:rich>
              <a:bodyPr/>
              <a:lstStyle/>
              <a:p>
                <a:pPr>
                  <a:defRPr/>
                </a:pPr>
                <a:r>
                  <a:rPr lang="en-US"/>
                  <a:t>% gait cycle</a:t>
                </a:r>
              </a:p>
            </c:rich>
          </c:tx>
          <c:overlay val="0"/>
        </c:title>
        <c:numFmt formatCode="General" sourceLinked="1"/>
        <c:majorTickMark val="out"/>
        <c:minorTickMark val="none"/>
        <c:tickLblPos val="nextTo"/>
        <c:txPr>
          <a:bodyPr/>
          <a:lstStyle/>
          <a:p>
            <a:pPr>
              <a:defRPr lang="en-US" sz="800"/>
            </a:pPr>
            <a:endParaRPr lang="en-US"/>
          </a:p>
        </c:txPr>
        <c:crossAx val="90651264"/>
        <c:crosses val="autoZero"/>
        <c:crossBetween val="midCat"/>
        <c:majorUnit val="20"/>
      </c:valAx>
      <c:valAx>
        <c:axId val="90651264"/>
        <c:scaling>
          <c:orientation val="minMax"/>
          <c:max val="10.3"/>
          <c:min val="8.6999999999999993"/>
        </c:scaling>
        <c:delete val="0"/>
        <c:axPos val="l"/>
        <c:title>
          <c:tx>
            <c:rich>
              <a:bodyPr rot="-5400000" vert="horz"/>
              <a:lstStyle/>
              <a:p>
                <a:pPr>
                  <a:defRPr lang="en-AU"/>
                </a:pPr>
                <a:r>
                  <a:rPr lang="en-US"/>
                  <a:t>Velocity (m/s)</a:t>
                </a:r>
              </a:p>
            </c:rich>
          </c:tx>
          <c:layout>
            <c:manualLayout>
              <c:xMode val="edge"/>
              <c:yMode val="edge"/>
              <c:x val="3.5597596565367456E-4"/>
              <c:y val="0.34979725240870335"/>
            </c:manualLayout>
          </c:layout>
          <c:overlay val="0"/>
        </c:title>
        <c:numFmt formatCode="0.0" sourceLinked="0"/>
        <c:majorTickMark val="out"/>
        <c:minorTickMark val="none"/>
        <c:tickLblPos val="nextTo"/>
        <c:txPr>
          <a:bodyPr/>
          <a:lstStyle/>
          <a:p>
            <a:pPr>
              <a:defRPr lang="en-US" sz="800"/>
            </a:pPr>
            <a:endParaRPr lang="en-US"/>
          </a:p>
        </c:txPr>
        <c:crossAx val="90649728"/>
        <c:crosses val="autoZero"/>
        <c:crossBetween val="midCat"/>
      </c:valAx>
    </c:plotArea>
    <c:plotVisOnly val="1"/>
    <c:dispBlanksAs val="gap"/>
    <c:showDLblsOverMax val="0"/>
  </c:chart>
  <c:spPr>
    <a:ln>
      <a:solidFill>
        <a:schemeClr val="bg1">
          <a:lumMod val="50000"/>
        </a:schemeClr>
      </a:solidFill>
    </a:ln>
  </c:spPr>
  <c:printSettings>
    <c:headerFooter/>
    <c:pageMargins b="0.75000000000001421" l="0.70000000000000095" r="0.70000000000000095" t="0.75000000000001421" header="0.3000000000000001" footer="0.3000000000000001"/>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288690318204605"/>
          <c:y val="6.1209407647573454E-2"/>
          <c:w val="0.86527507184131625"/>
          <c:h val="0.78609932581956654"/>
        </c:manualLayout>
      </c:layout>
      <c:scatterChart>
        <c:scatterStyle val="smoothMarker"/>
        <c:varyColors val="0"/>
        <c:ser>
          <c:idx val="1"/>
          <c:order val="0"/>
          <c:tx>
            <c:v>Normative</c:v>
          </c:tx>
          <c:spPr>
            <a:ln>
              <a:solidFill>
                <a:schemeClr val="tx1"/>
              </a:solidFill>
            </a:ln>
          </c:spPr>
          <c:marker>
            <c:symbol val="none"/>
          </c:marker>
          <c:xVal>
            <c:numRef>
              <c:f>Normative!$A$2:$A$102</c:f>
              <c:numCache>
                <c:formatCode>General</c:formatCode>
                <c:ptCount val="101"/>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numCache>
            </c:numRef>
          </c:xVal>
          <c:yVal>
            <c:numRef>
              <c:f>Normative!$C$2:$C$102</c:f>
              <c:numCache>
                <c:formatCode>General</c:formatCode>
                <c:ptCount val="101"/>
                <c:pt idx="0">
                  <c:v>0.57220067342915626</c:v>
                </c:pt>
                <c:pt idx="1">
                  <c:v>0.57220067342915626</c:v>
                </c:pt>
                <c:pt idx="2">
                  <c:v>0.57043508177929092</c:v>
                </c:pt>
                <c:pt idx="3">
                  <c:v>0.57026754079452791</c:v>
                </c:pt>
                <c:pt idx="4">
                  <c:v>0.56856563101246749</c:v>
                </c:pt>
                <c:pt idx="5">
                  <c:v>0.56840562036066156</c:v>
                </c:pt>
                <c:pt idx="6">
                  <c:v>0.56682731762426797</c:v>
                </c:pt>
                <c:pt idx="7">
                  <c:v>0.56633398079812935</c:v>
                </c:pt>
                <c:pt idx="8">
                  <c:v>0.56525775349508856</c:v>
                </c:pt>
                <c:pt idx="9">
                  <c:v>0.56455504559876557</c:v>
                </c:pt>
                <c:pt idx="10">
                  <c:v>0.56743897385269026</c:v>
                </c:pt>
                <c:pt idx="11">
                  <c:v>0.56699265916621144</c:v>
                </c:pt>
                <c:pt idx="12">
                  <c:v>0.56643999766977993</c:v>
                </c:pt>
                <c:pt idx="13">
                  <c:v>0.56596707240063571</c:v>
                </c:pt>
                <c:pt idx="14">
                  <c:v>0.5656154582458276</c:v>
                </c:pt>
                <c:pt idx="15">
                  <c:v>0.56537476988503754</c:v>
                </c:pt>
                <c:pt idx="16">
                  <c:v>0.56518917124777812</c:v>
                </c:pt>
                <c:pt idx="17">
                  <c:v>0.56508484741824128</c:v>
                </c:pt>
                <c:pt idx="18">
                  <c:v>0.56512014939251709</c:v>
                </c:pt>
                <c:pt idx="19">
                  <c:v>0.56521032738428689</c:v>
                </c:pt>
                <c:pt idx="20">
                  <c:v>0.56544265728327381</c:v>
                </c:pt>
                <c:pt idx="21">
                  <c:v>0.56564449901273617</c:v>
                </c:pt>
                <c:pt idx="22">
                  <c:v>0.56610100396615892</c:v>
                </c:pt>
                <c:pt idx="23">
                  <c:v>0.56639462522071571</c:v>
                </c:pt>
                <c:pt idx="24">
                  <c:v>0.56704147047164555</c:v>
                </c:pt>
                <c:pt idx="25">
                  <c:v>0.56791188743167853</c:v>
                </c:pt>
                <c:pt idx="26">
                  <c:v>0.56860776340358099</c:v>
                </c:pt>
                <c:pt idx="27">
                  <c:v>0.56946046821343876</c:v>
                </c:pt>
                <c:pt idx="28">
                  <c:v>0.5700133729848651</c:v>
                </c:pt>
                <c:pt idx="29">
                  <c:v>0.57110044495414469</c:v>
                </c:pt>
                <c:pt idx="30">
                  <c:v>0.57184578486122706</c:v>
                </c:pt>
                <c:pt idx="31">
                  <c:v>0.57292226272512514</c:v>
                </c:pt>
                <c:pt idx="32">
                  <c:v>0.57366071041957423</c:v>
                </c:pt>
                <c:pt idx="33">
                  <c:v>0.57525237397562567</c:v>
                </c:pt>
                <c:pt idx="34">
                  <c:v>0.57606799276674836</c:v>
                </c:pt>
                <c:pt idx="35">
                  <c:v>0.57728876354508729</c:v>
                </c:pt>
                <c:pt idx="36">
                  <c:v>0.57802979377081809</c:v>
                </c:pt>
                <c:pt idx="37">
                  <c:v>0.57931571303251861</c:v>
                </c:pt>
                <c:pt idx="38">
                  <c:v>0.58053442926822985</c:v>
                </c:pt>
                <c:pt idx="39">
                  <c:v>0.58141730637152733</c:v>
                </c:pt>
                <c:pt idx="40">
                  <c:v>0.58323707991448814</c:v>
                </c:pt>
                <c:pt idx="41">
                  <c:v>0.58416098984596987</c:v>
                </c:pt>
                <c:pt idx="42">
                  <c:v>0.58529320800369189</c:v>
                </c:pt>
                <c:pt idx="43">
                  <c:v>0.58799159345210394</c:v>
                </c:pt>
                <c:pt idx="44">
                  <c:v>0.58877108504934694</c:v>
                </c:pt>
                <c:pt idx="45">
                  <c:v>0.59032296472742918</c:v>
                </c:pt>
                <c:pt idx="46">
                  <c:v>0.59071237465480619</c:v>
                </c:pt>
                <c:pt idx="47">
                  <c:v>0.59225357208738827</c:v>
                </c:pt>
                <c:pt idx="48">
                  <c:v>0.59247581994291865</c:v>
                </c:pt>
                <c:pt idx="49">
                  <c:v>0.59384144394948868</c:v>
                </c:pt>
                <c:pt idx="50">
                  <c:v>0.59516750371602678</c:v>
                </c:pt>
              </c:numCache>
            </c:numRef>
          </c:yVal>
          <c:smooth val="1"/>
          <c:extLst>
            <c:ext xmlns:c16="http://schemas.microsoft.com/office/drawing/2014/chart" uri="{C3380CC4-5D6E-409C-BE32-E72D297353CC}">
              <c16:uniqueId val="{00000002-344A-4806-B5AD-A1F4E3F658BB}"/>
            </c:ext>
          </c:extLst>
        </c:ser>
        <c:ser>
          <c:idx val="6"/>
          <c:order val="1"/>
          <c:tx>
            <c:v>Right 3</c:v>
          </c:tx>
          <c:spPr>
            <a:ln w="19050">
              <a:solidFill>
                <a:srgbClr val="00B050"/>
              </a:solidFill>
            </a:ln>
          </c:spPr>
          <c:marker>
            <c:symbol val="none"/>
          </c:marker>
          <c:xVal>
            <c:numRef>
              <c:f>'Right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3 Kin'!$C$2:$C$102</c:f>
              <c:numCache>
                <c:formatCode>General</c:formatCode>
                <c:ptCount val="101"/>
                <c:pt idx="0">
                  <c:v>0.55475274725274726</c:v>
                </c:pt>
                <c:pt idx="1">
                  <c:v>0.55429131868131865</c:v>
                </c:pt>
                <c:pt idx="2">
                  <c:v>0.55382989010989003</c:v>
                </c:pt>
                <c:pt idx="3">
                  <c:v>0.55336846153846153</c:v>
                </c:pt>
                <c:pt idx="4">
                  <c:v>0.55290879120879111</c:v>
                </c:pt>
                <c:pt idx="5">
                  <c:v>0.55245879120879116</c:v>
                </c:pt>
                <c:pt idx="6">
                  <c:v>0.55200879120879121</c:v>
                </c:pt>
                <c:pt idx="7">
                  <c:v>0.55155879120879114</c:v>
                </c:pt>
                <c:pt idx="8">
                  <c:v>0.55111494505494507</c:v>
                </c:pt>
                <c:pt idx="9">
                  <c:v>0.55068494505494503</c:v>
                </c:pt>
                <c:pt idx="10">
                  <c:v>0.5502549450549451</c:v>
                </c:pt>
                <c:pt idx="11">
                  <c:v>0.54982494505494506</c:v>
                </c:pt>
                <c:pt idx="12">
                  <c:v>0.54940760439560443</c:v>
                </c:pt>
                <c:pt idx="13">
                  <c:v>0.54900503296703296</c:v>
                </c:pt>
                <c:pt idx="14">
                  <c:v>0.54860246153846159</c:v>
                </c:pt>
                <c:pt idx="15">
                  <c:v>0.54819989010989012</c:v>
                </c:pt>
                <c:pt idx="16">
                  <c:v>0.54781885714285716</c:v>
                </c:pt>
                <c:pt idx="17">
                  <c:v>0.5474512857142857</c:v>
                </c:pt>
                <c:pt idx="18">
                  <c:v>0.54708371428571423</c:v>
                </c:pt>
                <c:pt idx="19">
                  <c:v>0.54671614285714287</c:v>
                </c:pt>
                <c:pt idx="20">
                  <c:v>0.54638010989010988</c:v>
                </c:pt>
                <c:pt idx="21">
                  <c:v>0.54605353846153848</c:v>
                </c:pt>
                <c:pt idx="22">
                  <c:v>0.54572696703296697</c:v>
                </c:pt>
                <c:pt idx="23">
                  <c:v>0.54540039560439557</c:v>
                </c:pt>
                <c:pt idx="24">
                  <c:v>0.54511575824175817</c:v>
                </c:pt>
                <c:pt idx="25">
                  <c:v>0.54483461538461531</c:v>
                </c:pt>
                <c:pt idx="26">
                  <c:v>0.54455347252747255</c:v>
                </c:pt>
                <c:pt idx="27">
                  <c:v>0.54427607692307689</c:v>
                </c:pt>
                <c:pt idx="28">
                  <c:v>0.54404364835164831</c:v>
                </c:pt>
                <c:pt idx="29">
                  <c:v>0.54381121978021973</c:v>
                </c:pt>
                <c:pt idx="30">
                  <c:v>0.54357879120879116</c:v>
                </c:pt>
                <c:pt idx="31">
                  <c:v>0.54335800000000001</c:v>
                </c:pt>
                <c:pt idx="32">
                  <c:v>0.54317599999999999</c:v>
                </c:pt>
                <c:pt idx="33">
                  <c:v>0.54299400000000009</c:v>
                </c:pt>
                <c:pt idx="34">
                  <c:v>0.54281200000000007</c:v>
                </c:pt>
                <c:pt idx="35">
                  <c:v>0.54265000000000008</c:v>
                </c:pt>
                <c:pt idx="36">
                  <c:v>0.54252</c:v>
                </c:pt>
                <c:pt idx="37">
                  <c:v>0.54239000000000004</c:v>
                </c:pt>
                <c:pt idx="38">
                  <c:v>0.54226000000000008</c:v>
                </c:pt>
                <c:pt idx="39">
                  <c:v>0.54215876923076922</c:v>
                </c:pt>
                <c:pt idx="40">
                  <c:v>0.5420821978021978</c:v>
                </c:pt>
                <c:pt idx="41">
                  <c:v>0.54200562637362637</c:v>
                </c:pt>
                <c:pt idx="42">
                  <c:v>0.54192905494505494</c:v>
                </c:pt>
                <c:pt idx="43">
                  <c:v>0.54189006593406597</c:v>
                </c:pt>
                <c:pt idx="44">
                  <c:v>0.54186778021978022</c:v>
                </c:pt>
                <c:pt idx="45">
                  <c:v>0.54184549450549446</c:v>
                </c:pt>
                <c:pt idx="46">
                  <c:v>0.54182320879120871</c:v>
                </c:pt>
                <c:pt idx="47">
                  <c:v>0.54184697802197801</c:v>
                </c:pt>
                <c:pt idx="48">
                  <c:v>0.54187912087912082</c:v>
                </c:pt>
                <c:pt idx="49">
                  <c:v>0.54191126373626375</c:v>
                </c:pt>
                <c:pt idx="50">
                  <c:v>0.54194340659340656</c:v>
                </c:pt>
                <c:pt idx="51">
                  <c:v>0.54202840659340656</c:v>
                </c:pt>
                <c:pt idx="52">
                  <c:v>0.54211340659340657</c:v>
                </c:pt>
                <c:pt idx="53">
                  <c:v>0.54219840659340668</c:v>
                </c:pt>
                <c:pt idx="54">
                  <c:v>0.54229096703296709</c:v>
                </c:pt>
                <c:pt idx="55">
                  <c:v>0.54242510989010995</c:v>
                </c:pt>
                <c:pt idx="56">
                  <c:v>0.54255925274725281</c:v>
                </c:pt>
                <c:pt idx="57">
                  <c:v>0.54269339560439556</c:v>
                </c:pt>
                <c:pt idx="58">
                  <c:v>0.54284085714285712</c:v>
                </c:pt>
                <c:pt idx="59">
                  <c:v>0.54301828571428568</c:v>
                </c:pt>
                <c:pt idx="60">
                  <c:v>0.54319571428571423</c:v>
                </c:pt>
                <c:pt idx="61">
                  <c:v>0.54337314285714289</c:v>
                </c:pt>
                <c:pt idx="62">
                  <c:v>0.54356712087912085</c:v>
                </c:pt>
                <c:pt idx="63">
                  <c:v>0.54378040659340654</c:v>
                </c:pt>
                <c:pt idx="64">
                  <c:v>0.54399369230769223</c:v>
                </c:pt>
                <c:pt idx="65">
                  <c:v>0.54420697802197793</c:v>
                </c:pt>
                <c:pt idx="66">
                  <c:v>0.54443714285714284</c:v>
                </c:pt>
                <c:pt idx="67">
                  <c:v>0.5446778571428571</c:v>
                </c:pt>
                <c:pt idx="68">
                  <c:v>0.54491857142857136</c:v>
                </c:pt>
                <c:pt idx="69">
                  <c:v>0.54515928571428574</c:v>
                </c:pt>
                <c:pt idx="70">
                  <c:v>0.54541461538461533</c:v>
                </c:pt>
                <c:pt idx="71">
                  <c:v>0.54567432967032969</c:v>
                </c:pt>
                <c:pt idx="72">
                  <c:v>0.54593404395604395</c:v>
                </c:pt>
                <c:pt idx="73">
                  <c:v>0.5461937582417582</c:v>
                </c:pt>
                <c:pt idx="74">
                  <c:v>0.54646415384615388</c:v>
                </c:pt>
                <c:pt idx="75">
                  <c:v>0.54673543956043957</c:v>
                </c:pt>
                <c:pt idx="76">
                  <c:v>0.54700672527472527</c:v>
                </c:pt>
                <c:pt idx="77">
                  <c:v>0.5472783516483517</c:v>
                </c:pt>
                <c:pt idx="78">
                  <c:v>0.54755406593406597</c:v>
                </c:pt>
                <c:pt idx="79">
                  <c:v>0.54782978021978024</c:v>
                </c:pt>
                <c:pt idx="80">
                  <c:v>0.54810549450549451</c:v>
                </c:pt>
                <c:pt idx="81">
                  <c:v>0.5483808131868132</c:v>
                </c:pt>
                <c:pt idx="82">
                  <c:v>0.5486548131868132</c:v>
                </c:pt>
                <c:pt idx="83">
                  <c:v>0.54892881318681319</c:v>
                </c:pt>
                <c:pt idx="84">
                  <c:v>0.54920281318681319</c:v>
                </c:pt>
                <c:pt idx="85">
                  <c:v>0.5494738461538462</c:v>
                </c:pt>
                <c:pt idx="86">
                  <c:v>0.54974013186813186</c:v>
                </c:pt>
                <c:pt idx="87">
                  <c:v>0.55000641758241764</c:v>
                </c:pt>
                <c:pt idx="88">
                  <c:v>0.5502727032967033</c:v>
                </c:pt>
                <c:pt idx="89">
                  <c:v>0.55053175824175826</c:v>
                </c:pt>
                <c:pt idx="90">
                  <c:v>0.55078461538461543</c:v>
                </c:pt>
                <c:pt idx="91">
                  <c:v>0.55103747252747248</c:v>
                </c:pt>
                <c:pt idx="92">
                  <c:v>0.55129032967032965</c:v>
                </c:pt>
                <c:pt idx="93">
                  <c:v>0.55153131868131866</c:v>
                </c:pt>
                <c:pt idx="94">
                  <c:v>0.551767032967033</c:v>
                </c:pt>
                <c:pt idx="95">
                  <c:v>0.55200274725274723</c:v>
                </c:pt>
                <c:pt idx="96">
                  <c:v>0.55223846153846157</c:v>
                </c:pt>
                <c:pt idx="97">
                  <c:v>0.55245846153846156</c:v>
                </c:pt>
                <c:pt idx="98">
                  <c:v>0.55267560439560437</c:v>
                </c:pt>
                <c:pt idx="99">
                  <c:v>0.55289274725274729</c:v>
                </c:pt>
                <c:pt idx="100">
                  <c:v>0.55310989010989009</c:v>
                </c:pt>
              </c:numCache>
            </c:numRef>
          </c:yVal>
          <c:smooth val="1"/>
          <c:extLst>
            <c:ext xmlns:c16="http://schemas.microsoft.com/office/drawing/2014/chart" uri="{C3380CC4-5D6E-409C-BE32-E72D297353CC}">
              <c16:uniqueId val="{00000004-E531-4617-BBCD-28AD60F5AEF7}"/>
            </c:ext>
          </c:extLst>
        </c:ser>
        <c:ser>
          <c:idx val="5"/>
          <c:order val="2"/>
          <c:tx>
            <c:v>Right 2</c:v>
          </c:tx>
          <c:spPr>
            <a:ln w="19050">
              <a:solidFill>
                <a:srgbClr val="00B050"/>
              </a:solidFill>
            </a:ln>
          </c:spPr>
          <c:marker>
            <c:symbol val="none"/>
          </c:marker>
          <c:xVal>
            <c:numRef>
              <c:f>'Right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2 Kin'!$C$2:$C$102</c:f>
              <c:numCache>
                <c:formatCode>General</c:formatCode>
                <c:ptCount val="101"/>
                <c:pt idx="0">
                  <c:v>0.55588461538461542</c:v>
                </c:pt>
                <c:pt idx="1">
                  <c:v>0.55530159340659346</c:v>
                </c:pt>
                <c:pt idx="2">
                  <c:v>0.55471857142857139</c:v>
                </c:pt>
                <c:pt idx="3">
                  <c:v>0.55413554945054944</c:v>
                </c:pt>
                <c:pt idx="4">
                  <c:v>0.55355824175824175</c:v>
                </c:pt>
                <c:pt idx="5">
                  <c:v>0.55299450549450546</c:v>
                </c:pt>
                <c:pt idx="6">
                  <c:v>0.55243076923076917</c:v>
                </c:pt>
                <c:pt idx="7">
                  <c:v>0.55186703296703299</c:v>
                </c:pt>
                <c:pt idx="8">
                  <c:v>0.55131736263736264</c:v>
                </c:pt>
                <c:pt idx="9">
                  <c:v>0.55077736263736266</c:v>
                </c:pt>
                <c:pt idx="10">
                  <c:v>0.55023736263736267</c:v>
                </c:pt>
                <c:pt idx="11">
                  <c:v>0.54969736263736257</c:v>
                </c:pt>
                <c:pt idx="12">
                  <c:v>0.54918703296703297</c:v>
                </c:pt>
                <c:pt idx="13">
                  <c:v>0.54868041208791207</c:v>
                </c:pt>
                <c:pt idx="14">
                  <c:v>0.54817379120879117</c:v>
                </c:pt>
                <c:pt idx="15">
                  <c:v>0.54767439560439557</c:v>
                </c:pt>
                <c:pt idx="16">
                  <c:v>0.54720679120879123</c:v>
                </c:pt>
                <c:pt idx="17">
                  <c:v>0.54673918681318689</c:v>
                </c:pt>
                <c:pt idx="18">
                  <c:v>0.54627158241758245</c:v>
                </c:pt>
                <c:pt idx="19">
                  <c:v>0.54582576373626379</c:v>
                </c:pt>
                <c:pt idx="20">
                  <c:v>0.54540340659340669</c:v>
                </c:pt>
                <c:pt idx="21">
                  <c:v>0.54498104945054948</c:v>
                </c:pt>
                <c:pt idx="22">
                  <c:v>0.54455869230769238</c:v>
                </c:pt>
                <c:pt idx="23">
                  <c:v>0.54417510439560446</c:v>
                </c:pt>
                <c:pt idx="24">
                  <c:v>0.54380259340659343</c:v>
                </c:pt>
                <c:pt idx="25">
                  <c:v>0.54343008241758239</c:v>
                </c:pt>
                <c:pt idx="26">
                  <c:v>0.54306154945054941</c:v>
                </c:pt>
                <c:pt idx="27">
                  <c:v>0.54274274175824178</c:v>
                </c:pt>
                <c:pt idx="28">
                  <c:v>0.54242393406593403</c:v>
                </c:pt>
                <c:pt idx="29">
                  <c:v>0.5421051263736264</c:v>
                </c:pt>
                <c:pt idx="30">
                  <c:v>0.54180719780219777</c:v>
                </c:pt>
                <c:pt idx="31">
                  <c:v>0.54154476373626381</c:v>
                </c:pt>
                <c:pt idx="32">
                  <c:v>0.54128232967032974</c:v>
                </c:pt>
                <c:pt idx="33">
                  <c:v>0.54101989560439567</c:v>
                </c:pt>
                <c:pt idx="34">
                  <c:v>0.54079603296703305</c:v>
                </c:pt>
                <c:pt idx="35">
                  <c:v>0.54059145604395609</c:v>
                </c:pt>
                <c:pt idx="36">
                  <c:v>0.54038687912087913</c:v>
                </c:pt>
                <c:pt idx="37">
                  <c:v>0.54018230219780228</c:v>
                </c:pt>
                <c:pt idx="38">
                  <c:v>0.54003372527472526</c:v>
                </c:pt>
                <c:pt idx="39">
                  <c:v>0.53988730219780223</c:v>
                </c:pt>
                <c:pt idx="40">
                  <c:v>0.53974087912087909</c:v>
                </c:pt>
                <c:pt idx="41">
                  <c:v>0.53960930219780212</c:v>
                </c:pt>
                <c:pt idx="42">
                  <c:v>0.53952014285714278</c:v>
                </c:pt>
                <c:pt idx="43">
                  <c:v>0.53943098351648344</c:v>
                </c:pt>
                <c:pt idx="44">
                  <c:v>0.53934182417582421</c:v>
                </c:pt>
                <c:pt idx="45">
                  <c:v>0.53928357142857142</c:v>
                </c:pt>
                <c:pt idx="46">
                  <c:v>0.53925004395604392</c:v>
                </c:pt>
                <c:pt idx="47">
                  <c:v>0.53921651648351654</c:v>
                </c:pt>
                <c:pt idx="48">
                  <c:v>0.53918298901098904</c:v>
                </c:pt>
                <c:pt idx="49">
                  <c:v>0.53919457692307693</c:v>
                </c:pt>
                <c:pt idx="50">
                  <c:v>0.53921401098901101</c:v>
                </c:pt>
                <c:pt idx="51">
                  <c:v>0.53923344505494508</c:v>
                </c:pt>
                <c:pt idx="52">
                  <c:v>0.53926017582417585</c:v>
                </c:pt>
                <c:pt idx="53">
                  <c:v>0.53932886263736268</c:v>
                </c:pt>
                <c:pt idx="54">
                  <c:v>0.53939754945054952</c:v>
                </c:pt>
                <c:pt idx="55">
                  <c:v>0.53946623626373635</c:v>
                </c:pt>
                <c:pt idx="56">
                  <c:v>0.53955490109890114</c:v>
                </c:pt>
                <c:pt idx="57">
                  <c:v>0.53966853846153851</c:v>
                </c:pt>
                <c:pt idx="58">
                  <c:v>0.53978217582417587</c:v>
                </c:pt>
                <c:pt idx="59">
                  <c:v>0.53989581318681323</c:v>
                </c:pt>
                <c:pt idx="60">
                  <c:v>0.54003890109890107</c:v>
                </c:pt>
                <c:pt idx="61">
                  <c:v>0.54019229670329671</c:v>
                </c:pt>
                <c:pt idx="62">
                  <c:v>0.54034569230769236</c:v>
                </c:pt>
                <c:pt idx="63">
                  <c:v>0.54050037912087912</c:v>
                </c:pt>
                <c:pt idx="64">
                  <c:v>0.54068863736263739</c:v>
                </c:pt>
                <c:pt idx="65">
                  <c:v>0.54087689560439567</c:v>
                </c:pt>
                <c:pt idx="66">
                  <c:v>0.54106515384615383</c:v>
                </c:pt>
                <c:pt idx="67">
                  <c:v>0.54126340109890114</c:v>
                </c:pt>
                <c:pt idx="68">
                  <c:v>0.5414816263736264</c:v>
                </c:pt>
                <c:pt idx="69">
                  <c:v>0.54169985164835166</c:v>
                </c:pt>
                <c:pt idx="70">
                  <c:v>0.54191807692307692</c:v>
                </c:pt>
                <c:pt idx="71">
                  <c:v>0.54215227472527472</c:v>
                </c:pt>
                <c:pt idx="72">
                  <c:v>0.54239586813186813</c:v>
                </c:pt>
                <c:pt idx="73">
                  <c:v>0.54263946153846154</c:v>
                </c:pt>
                <c:pt idx="74">
                  <c:v>0.54288305494505495</c:v>
                </c:pt>
                <c:pt idx="75">
                  <c:v>0.54314615384615395</c:v>
                </c:pt>
                <c:pt idx="76">
                  <c:v>0.54341081318681328</c:v>
                </c:pt>
                <c:pt idx="77">
                  <c:v>0.54367547252747261</c:v>
                </c:pt>
                <c:pt idx="78">
                  <c:v>0.5439438571428572</c:v>
                </c:pt>
                <c:pt idx="79">
                  <c:v>0.54422528021978023</c:v>
                </c:pt>
                <c:pt idx="80">
                  <c:v>0.54450670329670325</c:v>
                </c:pt>
                <c:pt idx="81">
                  <c:v>0.54478812637362639</c:v>
                </c:pt>
                <c:pt idx="82">
                  <c:v>0.54507562637362639</c:v>
                </c:pt>
                <c:pt idx="83">
                  <c:v>0.54536876923076916</c:v>
                </c:pt>
                <c:pt idx="84">
                  <c:v>0.54566191208791204</c:v>
                </c:pt>
                <c:pt idx="85">
                  <c:v>0.54595505494505492</c:v>
                </c:pt>
                <c:pt idx="86">
                  <c:v>0.54625351648351639</c:v>
                </c:pt>
                <c:pt idx="87">
                  <c:v>0.54655318681318676</c:v>
                </c:pt>
                <c:pt idx="88">
                  <c:v>0.54685285714285714</c:v>
                </c:pt>
                <c:pt idx="89">
                  <c:v>0.54715262637362638</c:v>
                </c:pt>
                <c:pt idx="90">
                  <c:v>0.54745318681318678</c:v>
                </c:pt>
                <c:pt idx="91">
                  <c:v>0.54775374725274728</c:v>
                </c:pt>
                <c:pt idx="92">
                  <c:v>0.54805430769230767</c:v>
                </c:pt>
                <c:pt idx="93">
                  <c:v>0.54835317582417586</c:v>
                </c:pt>
                <c:pt idx="94">
                  <c:v>0.54864958241758244</c:v>
                </c:pt>
                <c:pt idx="95">
                  <c:v>0.54894598901098901</c:v>
                </c:pt>
                <c:pt idx="96">
                  <c:v>0.54924239560439558</c:v>
                </c:pt>
                <c:pt idx="97">
                  <c:v>0.54953264285714287</c:v>
                </c:pt>
                <c:pt idx="98">
                  <c:v>0.54982029670329668</c:v>
                </c:pt>
                <c:pt idx="99">
                  <c:v>0.55010795054945061</c:v>
                </c:pt>
                <c:pt idx="100">
                  <c:v>0.55039560439560442</c:v>
                </c:pt>
              </c:numCache>
            </c:numRef>
          </c:yVal>
          <c:smooth val="1"/>
          <c:extLst>
            <c:ext xmlns:c16="http://schemas.microsoft.com/office/drawing/2014/chart" uri="{C3380CC4-5D6E-409C-BE32-E72D297353CC}">
              <c16:uniqueId val="{00000003-E531-4617-BBCD-28AD60F5AEF7}"/>
            </c:ext>
          </c:extLst>
        </c:ser>
        <c:ser>
          <c:idx val="4"/>
          <c:order val="3"/>
          <c:tx>
            <c:v>Right 1</c:v>
          </c:tx>
          <c:spPr>
            <a:ln w="19050">
              <a:solidFill>
                <a:srgbClr val="00B050"/>
              </a:solidFill>
            </a:ln>
          </c:spPr>
          <c:marker>
            <c:symbol val="none"/>
          </c:marker>
          <c:xVal>
            <c:numRef>
              <c:f>'Right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1 Kin'!$C$2:$C$102</c:f>
              <c:numCache>
                <c:formatCode>General</c:formatCode>
                <c:ptCount val="101"/>
                <c:pt idx="0">
                  <c:v>0.54745329670329668</c:v>
                </c:pt>
                <c:pt idx="1">
                  <c:v>0.54683330219780224</c:v>
                </c:pt>
                <c:pt idx="2">
                  <c:v>0.54621330769230769</c:v>
                </c:pt>
                <c:pt idx="3">
                  <c:v>0.54559331318681326</c:v>
                </c:pt>
                <c:pt idx="4">
                  <c:v>0.5449830769230769</c:v>
                </c:pt>
                <c:pt idx="5">
                  <c:v>0.54438076923076928</c:v>
                </c:pt>
                <c:pt idx="6">
                  <c:v>0.54377846153846154</c:v>
                </c:pt>
                <c:pt idx="7">
                  <c:v>0.54317908791208791</c:v>
                </c:pt>
                <c:pt idx="8">
                  <c:v>0.5426051428571429</c:v>
                </c:pt>
                <c:pt idx="9">
                  <c:v>0.54203119780219777</c:v>
                </c:pt>
                <c:pt idx="10">
                  <c:v>0.54145725274725276</c:v>
                </c:pt>
                <c:pt idx="11">
                  <c:v>0.54090867582417579</c:v>
                </c:pt>
                <c:pt idx="12">
                  <c:v>0.54037345054945052</c:v>
                </c:pt>
                <c:pt idx="13">
                  <c:v>0.53983822527472525</c:v>
                </c:pt>
                <c:pt idx="14">
                  <c:v>0.53931305494505488</c:v>
                </c:pt>
                <c:pt idx="15">
                  <c:v>0.5388264285714286</c:v>
                </c:pt>
                <c:pt idx="16">
                  <c:v>0.5383398021978022</c:v>
                </c:pt>
                <c:pt idx="17">
                  <c:v>0.5378531758241758</c:v>
                </c:pt>
                <c:pt idx="18">
                  <c:v>0.53740982417582417</c:v>
                </c:pt>
                <c:pt idx="19">
                  <c:v>0.53698024175824177</c:v>
                </c:pt>
                <c:pt idx="20">
                  <c:v>0.53655065934065937</c:v>
                </c:pt>
                <c:pt idx="21">
                  <c:v>0.5361410054945055</c:v>
                </c:pt>
                <c:pt idx="22">
                  <c:v>0.53577563736263734</c:v>
                </c:pt>
                <c:pt idx="23">
                  <c:v>0.53541026923076929</c:v>
                </c:pt>
                <c:pt idx="24">
                  <c:v>0.53504490109890113</c:v>
                </c:pt>
                <c:pt idx="25">
                  <c:v>0.5347395604395605</c:v>
                </c:pt>
                <c:pt idx="26">
                  <c:v>0.53444382417582414</c:v>
                </c:pt>
                <c:pt idx="27">
                  <c:v>0.5341480879120879</c:v>
                </c:pt>
                <c:pt idx="28">
                  <c:v>0.53388254945054936</c:v>
                </c:pt>
                <c:pt idx="29">
                  <c:v>0.53365979120879115</c:v>
                </c:pt>
                <c:pt idx="30">
                  <c:v>0.53343703296703293</c:v>
                </c:pt>
                <c:pt idx="31">
                  <c:v>0.53321427472527472</c:v>
                </c:pt>
                <c:pt idx="32">
                  <c:v>0.53306336263736265</c:v>
                </c:pt>
                <c:pt idx="33">
                  <c:v>0.53291501648351647</c:v>
                </c:pt>
                <c:pt idx="34">
                  <c:v>0.5327666703296704</c:v>
                </c:pt>
                <c:pt idx="35">
                  <c:v>0.53265631868131869</c:v>
                </c:pt>
                <c:pt idx="36">
                  <c:v>0.53258142857142854</c:v>
                </c:pt>
                <c:pt idx="37">
                  <c:v>0.53250653846153839</c:v>
                </c:pt>
                <c:pt idx="38">
                  <c:v>0.53243656043956034</c:v>
                </c:pt>
                <c:pt idx="39">
                  <c:v>0.53243289560439555</c:v>
                </c:pt>
                <c:pt idx="40">
                  <c:v>0.53242923076923077</c:v>
                </c:pt>
                <c:pt idx="41">
                  <c:v>0.53242556593406587</c:v>
                </c:pt>
                <c:pt idx="42">
                  <c:v>0.53246334065934064</c:v>
                </c:pt>
                <c:pt idx="43">
                  <c:v>0.53252643956043955</c:v>
                </c:pt>
                <c:pt idx="44">
                  <c:v>0.53258953846153845</c:v>
                </c:pt>
                <c:pt idx="45">
                  <c:v>0.53266321428571439</c:v>
                </c:pt>
                <c:pt idx="46">
                  <c:v>0.53278765934065941</c:v>
                </c:pt>
                <c:pt idx="47">
                  <c:v>0.53291210439560444</c:v>
                </c:pt>
                <c:pt idx="48">
                  <c:v>0.53303654945054946</c:v>
                </c:pt>
                <c:pt idx="49">
                  <c:v>0.53320057142857147</c:v>
                </c:pt>
                <c:pt idx="50">
                  <c:v>0.53337967032967037</c:v>
                </c:pt>
                <c:pt idx="51">
                  <c:v>0.53355876923076917</c:v>
                </c:pt>
                <c:pt idx="52">
                  <c:v>0.53375096703296698</c:v>
                </c:pt>
                <c:pt idx="53">
                  <c:v>0.53397754945054943</c:v>
                </c:pt>
                <c:pt idx="54">
                  <c:v>0.53420413186813187</c:v>
                </c:pt>
                <c:pt idx="55">
                  <c:v>0.53443071428571431</c:v>
                </c:pt>
                <c:pt idx="56">
                  <c:v>0.53469026373626372</c:v>
                </c:pt>
                <c:pt idx="57">
                  <c:v>0.53495668131868135</c:v>
                </c:pt>
                <c:pt idx="58">
                  <c:v>0.53522309890109887</c:v>
                </c:pt>
                <c:pt idx="59">
                  <c:v>0.53550178571428575</c:v>
                </c:pt>
                <c:pt idx="60">
                  <c:v>0.53580054945054945</c:v>
                </c:pt>
                <c:pt idx="61">
                  <c:v>0.53609931318681314</c:v>
                </c:pt>
                <c:pt idx="62">
                  <c:v>0.53639807692307695</c:v>
                </c:pt>
                <c:pt idx="63">
                  <c:v>0.53671983516483512</c:v>
                </c:pt>
                <c:pt idx="64">
                  <c:v>0.53704329670329676</c:v>
                </c:pt>
                <c:pt idx="65">
                  <c:v>0.53736675824175828</c:v>
                </c:pt>
                <c:pt idx="66">
                  <c:v>0.537698989010989</c:v>
                </c:pt>
                <c:pt idx="67">
                  <c:v>0.53804061538461534</c:v>
                </c:pt>
                <c:pt idx="68">
                  <c:v>0.53838224175824179</c:v>
                </c:pt>
                <c:pt idx="69">
                  <c:v>0.53872428571428577</c:v>
                </c:pt>
                <c:pt idx="70">
                  <c:v>0.53907802197802202</c:v>
                </c:pt>
                <c:pt idx="71">
                  <c:v>0.53943175824175826</c:v>
                </c:pt>
                <c:pt idx="72">
                  <c:v>0.53978549450549451</c:v>
                </c:pt>
                <c:pt idx="73">
                  <c:v>0.54014334065934066</c:v>
                </c:pt>
                <c:pt idx="74">
                  <c:v>0.54050408791208793</c:v>
                </c:pt>
                <c:pt idx="75">
                  <c:v>0.54086483516483519</c:v>
                </c:pt>
                <c:pt idx="76">
                  <c:v>0.54122595604395607</c:v>
                </c:pt>
                <c:pt idx="77">
                  <c:v>0.54158941208791211</c:v>
                </c:pt>
                <c:pt idx="78">
                  <c:v>0.54195286813186816</c:v>
                </c:pt>
                <c:pt idx="79">
                  <c:v>0.5423163241758242</c:v>
                </c:pt>
                <c:pt idx="80">
                  <c:v>0.54267912087912085</c:v>
                </c:pt>
                <c:pt idx="81">
                  <c:v>0.54304162087912089</c:v>
                </c:pt>
                <c:pt idx="82">
                  <c:v>0.54340412087912082</c:v>
                </c:pt>
                <c:pt idx="83">
                  <c:v>0.54376550549450542</c:v>
                </c:pt>
                <c:pt idx="84">
                  <c:v>0.54412338461538456</c:v>
                </c:pt>
                <c:pt idx="85">
                  <c:v>0.54448126373626371</c:v>
                </c:pt>
                <c:pt idx="86">
                  <c:v>0.54483914285714286</c:v>
                </c:pt>
                <c:pt idx="87">
                  <c:v>0.54519070329670327</c:v>
                </c:pt>
                <c:pt idx="88">
                  <c:v>0.5455406153846154</c:v>
                </c:pt>
                <c:pt idx="89">
                  <c:v>0.54589052747252753</c:v>
                </c:pt>
                <c:pt idx="90">
                  <c:v>0.54623653846153852</c:v>
                </c:pt>
                <c:pt idx="91">
                  <c:v>0.54657513736263741</c:v>
                </c:pt>
                <c:pt idx="92">
                  <c:v>0.54691373626373629</c:v>
                </c:pt>
                <c:pt idx="93">
                  <c:v>0.54725233516483518</c:v>
                </c:pt>
                <c:pt idx="94">
                  <c:v>0.5475783626373627</c:v>
                </c:pt>
                <c:pt idx="95">
                  <c:v>0.54790293956043956</c:v>
                </c:pt>
                <c:pt idx="96">
                  <c:v>0.54822751648351642</c:v>
                </c:pt>
                <c:pt idx="97">
                  <c:v>0.5485451648351648</c:v>
                </c:pt>
                <c:pt idx="98">
                  <c:v>0.54885428571428574</c:v>
                </c:pt>
                <c:pt idx="99">
                  <c:v>0.54916340659340657</c:v>
                </c:pt>
                <c:pt idx="100">
                  <c:v>0.54947252747252751</c:v>
                </c:pt>
              </c:numCache>
            </c:numRef>
          </c:yVal>
          <c:smooth val="1"/>
          <c:extLst>
            <c:ext xmlns:c16="http://schemas.microsoft.com/office/drawing/2014/chart" uri="{C3380CC4-5D6E-409C-BE32-E72D297353CC}">
              <c16:uniqueId val="{00000002-E531-4617-BBCD-28AD60F5AEF7}"/>
            </c:ext>
          </c:extLst>
        </c:ser>
        <c:ser>
          <c:idx val="3"/>
          <c:order val="4"/>
          <c:tx>
            <c:v>Left 3</c:v>
          </c:tx>
          <c:spPr>
            <a:ln w="19050">
              <a:solidFill>
                <a:srgbClr val="FF0000"/>
              </a:solidFill>
            </a:ln>
          </c:spPr>
          <c:marker>
            <c:symbol val="none"/>
          </c:marker>
          <c:xVal>
            <c:numRef>
              <c:f>'Left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3 Kin'!$C$2:$C$102</c:f>
              <c:numCache>
                <c:formatCode>General</c:formatCode>
                <c:ptCount val="101"/>
                <c:pt idx="0">
                  <c:v>0.55685714285714283</c:v>
                </c:pt>
                <c:pt idx="1">
                  <c:v>0.55633428571428567</c:v>
                </c:pt>
                <c:pt idx="2">
                  <c:v>0.55581142857142862</c:v>
                </c:pt>
                <c:pt idx="3">
                  <c:v>0.55528857142857146</c:v>
                </c:pt>
                <c:pt idx="4">
                  <c:v>0.55476615384615391</c:v>
                </c:pt>
                <c:pt idx="5">
                  <c:v>0.55424615384615383</c:v>
                </c:pt>
                <c:pt idx="6">
                  <c:v>0.55372615384615387</c:v>
                </c:pt>
                <c:pt idx="7">
                  <c:v>0.55320615384615379</c:v>
                </c:pt>
                <c:pt idx="8">
                  <c:v>0.55268923076923071</c:v>
                </c:pt>
                <c:pt idx="9">
                  <c:v>0.5521792307692307</c:v>
                </c:pt>
                <c:pt idx="10">
                  <c:v>0.5516692307692308</c:v>
                </c:pt>
                <c:pt idx="11">
                  <c:v>0.55115923076923079</c:v>
                </c:pt>
                <c:pt idx="12">
                  <c:v>0.55065945054945054</c:v>
                </c:pt>
                <c:pt idx="13">
                  <c:v>0.5501715934065935</c:v>
                </c:pt>
                <c:pt idx="14">
                  <c:v>0.54968373626373634</c:v>
                </c:pt>
                <c:pt idx="15">
                  <c:v>0.54919587912087919</c:v>
                </c:pt>
                <c:pt idx="16">
                  <c:v>0.54872604395604396</c:v>
                </c:pt>
                <c:pt idx="17">
                  <c:v>0.54826747252747254</c:v>
                </c:pt>
                <c:pt idx="18">
                  <c:v>0.54780890109890112</c:v>
                </c:pt>
                <c:pt idx="19">
                  <c:v>0.5473503296703297</c:v>
                </c:pt>
                <c:pt idx="20">
                  <c:v>0.54692142857142856</c:v>
                </c:pt>
                <c:pt idx="21">
                  <c:v>0.54650142857142858</c:v>
                </c:pt>
                <c:pt idx="22">
                  <c:v>0.54608142857142861</c:v>
                </c:pt>
                <c:pt idx="23">
                  <c:v>0.54566142857142852</c:v>
                </c:pt>
                <c:pt idx="24">
                  <c:v>0.54528336263736266</c:v>
                </c:pt>
                <c:pt idx="25">
                  <c:v>0.54490879120879121</c:v>
                </c:pt>
                <c:pt idx="26">
                  <c:v>0.54453421978021976</c:v>
                </c:pt>
                <c:pt idx="27">
                  <c:v>0.54416353846153853</c:v>
                </c:pt>
                <c:pt idx="28">
                  <c:v>0.54383953846153843</c:v>
                </c:pt>
                <c:pt idx="29">
                  <c:v>0.54351553846153844</c:v>
                </c:pt>
                <c:pt idx="30">
                  <c:v>0.54319153846153845</c:v>
                </c:pt>
                <c:pt idx="31">
                  <c:v>0.54287986813186806</c:v>
                </c:pt>
                <c:pt idx="32">
                  <c:v>0.54260929670329672</c:v>
                </c:pt>
                <c:pt idx="33">
                  <c:v>0.54233872527472526</c:v>
                </c:pt>
                <c:pt idx="34">
                  <c:v>0.54206815384615381</c:v>
                </c:pt>
                <c:pt idx="35">
                  <c:v>0.54181846153846147</c:v>
                </c:pt>
                <c:pt idx="36">
                  <c:v>0.5416021758241758</c:v>
                </c:pt>
                <c:pt idx="37">
                  <c:v>0.54138589010989013</c:v>
                </c:pt>
                <c:pt idx="38">
                  <c:v>0.54116960439560446</c:v>
                </c:pt>
                <c:pt idx="39">
                  <c:v>0.54098239560439565</c:v>
                </c:pt>
                <c:pt idx="40">
                  <c:v>0.54082010989010987</c:v>
                </c:pt>
                <c:pt idx="41">
                  <c:v>0.5406578241758242</c:v>
                </c:pt>
                <c:pt idx="42">
                  <c:v>0.54049553846153853</c:v>
                </c:pt>
                <c:pt idx="43">
                  <c:v>0.54036994505494507</c:v>
                </c:pt>
                <c:pt idx="44">
                  <c:v>0.54026065934065937</c:v>
                </c:pt>
                <c:pt idx="45">
                  <c:v>0.54015137362637367</c:v>
                </c:pt>
                <c:pt idx="46">
                  <c:v>0.54004208791208796</c:v>
                </c:pt>
                <c:pt idx="47">
                  <c:v>0.53997631868131868</c:v>
                </c:pt>
                <c:pt idx="48">
                  <c:v>0.53991846153846157</c:v>
                </c:pt>
                <c:pt idx="49">
                  <c:v>0.53986060439560435</c:v>
                </c:pt>
                <c:pt idx="50">
                  <c:v>0.53980274725274724</c:v>
                </c:pt>
                <c:pt idx="51">
                  <c:v>0.53979474725274723</c:v>
                </c:pt>
                <c:pt idx="52">
                  <c:v>0.53978674725274722</c:v>
                </c:pt>
                <c:pt idx="53">
                  <c:v>0.53977874725274733</c:v>
                </c:pt>
                <c:pt idx="54">
                  <c:v>0.53977808791208792</c:v>
                </c:pt>
                <c:pt idx="55">
                  <c:v>0.53981780219780218</c:v>
                </c:pt>
                <c:pt idx="56">
                  <c:v>0.53985751648351643</c:v>
                </c:pt>
                <c:pt idx="57">
                  <c:v>0.5398972307692308</c:v>
                </c:pt>
                <c:pt idx="58">
                  <c:v>0.53995070329670325</c:v>
                </c:pt>
                <c:pt idx="59">
                  <c:v>0.54003513186813179</c:v>
                </c:pt>
                <c:pt idx="60">
                  <c:v>0.54011956043956044</c:v>
                </c:pt>
                <c:pt idx="61">
                  <c:v>0.54020398901098898</c:v>
                </c:pt>
                <c:pt idx="62">
                  <c:v>0.54030707692307689</c:v>
                </c:pt>
                <c:pt idx="63">
                  <c:v>0.54043193406593404</c:v>
                </c:pt>
                <c:pt idx="64">
                  <c:v>0.54055679120879119</c:v>
                </c:pt>
                <c:pt idx="65">
                  <c:v>0.54068164835164834</c:v>
                </c:pt>
                <c:pt idx="66">
                  <c:v>0.540828043956044</c:v>
                </c:pt>
                <c:pt idx="67">
                  <c:v>0.54098790109890116</c:v>
                </c:pt>
                <c:pt idx="68">
                  <c:v>0.54114775824175831</c:v>
                </c:pt>
                <c:pt idx="69">
                  <c:v>0.54130761538461536</c:v>
                </c:pt>
                <c:pt idx="70">
                  <c:v>0.54149000000000003</c:v>
                </c:pt>
                <c:pt idx="71">
                  <c:v>0.54167914285714291</c:v>
                </c:pt>
                <c:pt idx="72">
                  <c:v>0.54186828571428569</c:v>
                </c:pt>
                <c:pt idx="73">
                  <c:v>0.54205742857142858</c:v>
                </c:pt>
                <c:pt idx="74">
                  <c:v>0.54226832967032967</c:v>
                </c:pt>
                <c:pt idx="75">
                  <c:v>0.54248104395604402</c:v>
                </c:pt>
                <c:pt idx="76">
                  <c:v>0.54269375824175825</c:v>
                </c:pt>
                <c:pt idx="77">
                  <c:v>0.54290791208791211</c:v>
                </c:pt>
                <c:pt idx="78">
                  <c:v>0.54313934065934066</c:v>
                </c:pt>
                <c:pt idx="79">
                  <c:v>0.54337076923076921</c:v>
                </c:pt>
                <c:pt idx="80">
                  <c:v>0.54360219780219776</c:v>
                </c:pt>
                <c:pt idx="81">
                  <c:v>0.54383662637362629</c:v>
                </c:pt>
                <c:pt idx="82">
                  <c:v>0.54408105494505488</c:v>
                </c:pt>
                <c:pt idx="83">
                  <c:v>0.54432548351648347</c:v>
                </c:pt>
                <c:pt idx="84">
                  <c:v>0.54456991208791206</c:v>
                </c:pt>
                <c:pt idx="85">
                  <c:v>0.54481659340659339</c:v>
                </c:pt>
                <c:pt idx="86">
                  <c:v>0.54506687912087914</c:v>
                </c:pt>
                <c:pt idx="87">
                  <c:v>0.54531716483516479</c:v>
                </c:pt>
                <c:pt idx="88">
                  <c:v>0.54556745054945055</c:v>
                </c:pt>
                <c:pt idx="89">
                  <c:v>0.54581619780219781</c:v>
                </c:pt>
                <c:pt idx="90">
                  <c:v>0.54606362637362638</c:v>
                </c:pt>
                <c:pt idx="91">
                  <c:v>0.54631105494505494</c:v>
                </c:pt>
                <c:pt idx="92">
                  <c:v>0.54655848351648351</c:v>
                </c:pt>
                <c:pt idx="93">
                  <c:v>0.54679809890109887</c:v>
                </c:pt>
                <c:pt idx="94">
                  <c:v>0.54703424175824167</c:v>
                </c:pt>
                <c:pt idx="95">
                  <c:v>0.54727038461538458</c:v>
                </c:pt>
                <c:pt idx="96">
                  <c:v>0.54750652747252748</c:v>
                </c:pt>
                <c:pt idx="97">
                  <c:v>0.54772731868131863</c:v>
                </c:pt>
                <c:pt idx="98">
                  <c:v>0.54794531868131868</c:v>
                </c:pt>
                <c:pt idx="99">
                  <c:v>0.54816331868131862</c:v>
                </c:pt>
                <c:pt idx="100">
                  <c:v>0.54838131868131867</c:v>
                </c:pt>
              </c:numCache>
            </c:numRef>
          </c:yVal>
          <c:smooth val="1"/>
          <c:extLst>
            <c:ext xmlns:c16="http://schemas.microsoft.com/office/drawing/2014/chart" uri="{C3380CC4-5D6E-409C-BE32-E72D297353CC}">
              <c16:uniqueId val="{00000001-E531-4617-BBCD-28AD60F5AEF7}"/>
            </c:ext>
          </c:extLst>
        </c:ser>
        <c:ser>
          <c:idx val="2"/>
          <c:order val="5"/>
          <c:tx>
            <c:v>Left 2</c:v>
          </c:tx>
          <c:spPr>
            <a:ln w="19050">
              <a:solidFill>
                <a:srgbClr val="FF0000"/>
              </a:solidFill>
            </a:ln>
          </c:spPr>
          <c:marker>
            <c:symbol val="none"/>
          </c:marker>
          <c:xVal>
            <c:numRef>
              <c:f>'Left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2 Kin'!$C$2:$C$102</c:f>
              <c:numCache>
                <c:formatCode>General</c:formatCode>
                <c:ptCount val="101"/>
                <c:pt idx="0">
                  <c:v>0.55966483516483523</c:v>
                </c:pt>
                <c:pt idx="1">
                  <c:v>0.55924153846153846</c:v>
                </c:pt>
                <c:pt idx="2">
                  <c:v>0.5588182417582418</c:v>
                </c:pt>
                <c:pt idx="3">
                  <c:v>0.55839494505494502</c:v>
                </c:pt>
                <c:pt idx="4">
                  <c:v>0.55797164835164825</c:v>
                </c:pt>
                <c:pt idx="5">
                  <c:v>0.55756263736263734</c:v>
                </c:pt>
                <c:pt idx="6">
                  <c:v>0.5571564835164835</c:v>
                </c:pt>
                <c:pt idx="7">
                  <c:v>0.55675032967032967</c:v>
                </c:pt>
                <c:pt idx="8">
                  <c:v>0.55634417582417584</c:v>
                </c:pt>
                <c:pt idx="9">
                  <c:v>0.55595120879120874</c:v>
                </c:pt>
                <c:pt idx="10">
                  <c:v>0.55556483516483512</c:v>
                </c:pt>
                <c:pt idx="11">
                  <c:v>0.55517846153846151</c:v>
                </c:pt>
                <c:pt idx="12">
                  <c:v>0.55479208791208789</c:v>
                </c:pt>
                <c:pt idx="13">
                  <c:v>0.55441890109890113</c:v>
                </c:pt>
                <c:pt idx="14">
                  <c:v>0.5540589010989011</c:v>
                </c:pt>
                <c:pt idx="15">
                  <c:v>0.55369890109890108</c:v>
                </c:pt>
                <c:pt idx="16">
                  <c:v>0.55333890109890116</c:v>
                </c:pt>
                <c:pt idx="17">
                  <c:v>0.5529876923076924</c:v>
                </c:pt>
                <c:pt idx="18">
                  <c:v>0.55265406593406596</c:v>
                </c:pt>
                <c:pt idx="19">
                  <c:v>0.55232043956043964</c:v>
                </c:pt>
                <c:pt idx="20">
                  <c:v>0.5519868131868132</c:v>
                </c:pt>
                <c:pt idx="21">
                  <c:v>0.55165868131868134</c:v>
                </c:pt>
                <c:pt idx="22">
                  <c:v>0.55135802197802197</c:v>
                </c:pt>
                <c:pt idx="23">
                  <c:v>0.55105736263736271</c:v>
                </c:pt>
                <c:pt idx="24">
                  <c:v>0.55075670329670334</c:v>
                </c:pt>
                <c:pt idx="25">
                  <c:v>0.55045604395604397</c:v>
                </c:pt>
                <c:pt idx="26">
                  <c:v>0.55019098901098906</c:v>
                </c:pt>
                <c:pt idx="27">
                  <c:v>0.54992593406593415</c:v>
                </c:pt>
                <c:pt idx="28">
                  <c:v>0.54966087912087913</c:v>
                </c:pt>
                <c:pt idx="29">
                  <c:v>0.54939582417582422</c:v>
                </c:pt>
                <c:pt idx="30">
                  <c:v>0.54916395604395607</c:v>
                </c:pt>
                <c:pt idx="31">
                  <c:v>0.54893872527472531</c:v>
                </c:pt>
                <c:pt idx="32">
                  <c:v>0.54871349450549456</c:v>
                </c:pt>
                <c:pt idx="33">
                  <c:v>0.5484882637362638</c:v>
                </c:pt>
                <c:pt idx="34">
                  <c:v>0.54829239560439558</c:v>
                </c:pt>
                <c:pt idx="35">
                  <c:v>0.54811120879120878</c:v>
                </c:pt>
                <c:pt idx="36">
                  <c:v>0.54793002197802199</c:v>
                </c:pt>
                <c:pt idx="37">
                  <c:v>0.54774883516483519</c:v>
                </c:pt>
                <c:pt idx="38">
                  <c:v>0.54759079120879117</c:v>
                </c:pt>
                <c:pt idx="39">
                  <c:v>0.54745589010989004</c:v>
                </c:pt>
                <c:pt idx="40">
                  <c:v>0.54732098901098902</c:v>
                </c:pt>
                <c:pt idx="41">
                  <c:v>0.54718608791208789</c:v>
                </c:pt>
                <c:pt idx="42">
                  <c:v>0.54706692307692306</c:v>
                </c:pt>
                <c:pt idx="43">
                  <c:v>0.54697923076923072</c:v>
                </c:pt>
                <c:pt idx="44">
                  <c:v>0.54689153846153848</c:v>
                </c:pt>
                <c:pt idx="45">
                  <c:v>0.54680384615384614</c:v>
                </c:pt>
                <c:pt idx="46">
                  <c:v>0.54672384615384617</c:v>
                </c:pt>
                <c:pt idx="47">
                  <c:v>0.54668230769230775</c:v>
                </c:pt>
                <c:pt idx="48">
                  <c:v>0.54664076923076921</c:v>
                </c:pt>
                <c:pt idx="49">
                  <c:v>0.54659923076923078</c:v>
                </c:pt>
                <c:pt idx="50">
                  <c:v>0.54655769230769236</c:v>
                </c:pt>
                <c:pt idx="51">
                  <c:v>0.54656072527472532</c:v>
                </c:pt>
                <c:pt idx="52">
                  <c:v>0.54656375824175829</c:v>
                </c:pt>
                <c:pt idx="53">
                  <c:v>0.54656679120879126</c:v>
                </c:pt>
                <c:pt idx="54">
                  <c:v>0.54656982417582423</c:v>
                </c:pt>
                <c:pt idx="55">
                  <c:v>0.54660813186813184</c:v>
                </c:pt>
                <c:pt idx="56">
                  <c:v>0.5466534945054945</c:v>
                </c:pt>
                <c:pt idx="57">
                  <c:v>0.54669885714285715</c:v>
                </c:pt>
                <c:pt idx="58">
                  <c:v>0.5467442197802197</c:v>
                </c:pt>
                <c:pt idx="59">
                  <c:v>0.54681621978021977</c:v>
                </c:pt>
                <c:pt idx="60">
                  <c:v>0.54690153846153844</c:v>
                </c:pt>
                <c:pt idx="61">
                  <c:v>0.54698685714285711</c:v>
                </c:pt>
                <c:pt idx="62">
                  <c:v>0.54707217582417578</c:v>
                </c:pt>
                <c:pt idx="63">
                  <c:v>0.54717595604395608</c:v>
                </c:pt>
                <c:pt idx="64">
                  <c:v>0.54729819780219779</c:v>
                </c:pt>
                <c:pt idx="65">
                  <c:v>0.54742043956043962</c:v>
                </c:pt>
                <c:pt idx="66">
                  <c:v>0.54754268131868133</c:v>
                </c:pt>
                <c:pt idx="67">
                  <c:v>0.54767608791208799</c:v>
                </c:pt>
                <c:pt idx="68">
                  <c:v>0.54783182417582421</c:v>
                </c:pt>
                <c:pt idx="69">
                  <c:v>0.54798756043956043</c:v>
                </c:pt>
                <c:pt idx="70">
                  <c:v>0.54814329670329676</c:v>
                </c:pt>
                <c:pt idx="71">
                  <c:v>0.54830402197802197</c:v>
                </c:pt>
                <c:pt idx="72">
                  <c:v>0.54848969230769229</c:v>
                </c:pt>
                <c:pt idx="73">
                  <c:v>0.54867536263736261</c:v>
                </c:pt>
                <c:pt idx="74">
                  <c:v>0.54886103296703292</c:v>
                </c:pt>
                <c:pt idx="75">
                  <c:v>0.54904670329670324</c:v>
                </c:pt>
                <c:pt idx="76">
                  <c:v>0.54925703296703299</c:v>
                </c:pt>
                <c:pt idx="77">
                  <c:v>0.54946736263736262</c:v>
                </c:pt>
                <c:pt idx="78">
                  <c:v>0.54967769230769237</c:v>
                </c:pt>
                <c:pt idx="79">
                  <c:v>0.549888021978022</c:v>
                </c:pt>
                <c:pt idx="80">
                  <c:v>0.55011538461538467</c:v>
                </c:pt>
                <c:pt idx="81">
                  <c:v>0.55034615384615393</c:v>
                </c:pt>
                <c:pt idx="82">
                  <c:v>0.55057692307692307</c:v>
                </c:pt>
                <c:pt idx="83">
                  <c:v>0.55080769230769233</c:v>
                </c:pt>
                <c:pt idx="84">
                  <c:v>0.55104813186813195</c:v>
                </c:pt>
                <c:pt idx="85">
                  <c:v>0.55129340659340664</c:v>
                </c:pt>
                <c:pt idx="86">
                  <c:v>0.55153868131868133</c:v>
                </c:pt>
                <c:pt idx="87">
                  <c:v>0.55178395604395603</c:v>
                </c:pt>
                <c:pt idx="88">
                  <c:v>0.55203186813186811</c:v>
                </c:pt>
                <c:pt idx="89">
                  <c:v>0.55228241758241758</c:v>
                </c:pt>
                <c:pt idx="90">
                  <c:v>0.55253296703296706</c:v>
                </c:pt>
                <c:pt idx="91">
                  <c:v>0.55278351648351653</c:v>
                </c:pt>
                <c:pt idx="92">
                  <c:v>0.5530345054945055</c:v>
                </c:pt>
                <c:pt idx="93">
                  <c:v>0.55328637362637356</c:v>
                </c:pt>
                <c:pt idx="94">
                  <c:v>0.55353824175824173</c:v>
                </c:pt>
                <c:pt idx="95">
                  <c:v>0.55379010989010979</c:v>
                </c:pt>
                <c:pt idx="96">
                  <c:v>0.55404087912087907</c:v>
                </c:pt>
                <c:pt idx="97">
                  <c:v>0.55428615384615376</c:v>
                </c:pt>
                <c:pt idx="98">
                  <c:v>0.55453142857142856</c:v>
                </c:pt>
                <c:pt idx="99">
                  <c:v>0.55477670329670326</c:v>
                </c:pt>
                <c:pt idx="100">
                  <c:v>0.55502197802197806</c:v>
                </c:pt>
              </c:numCache>
            </c:numRef>
          </c:yVal>
          <c:smooth val="1"/>
          <c:extLst>
            <c:ext xmlns:c16="http://schemas.microsoft.com/office/drawing/2014/chart" uri="{C3380CC4-5D6E-409C-BE32-E72D297353CC}">
              <c16:uniqueId val="{00000000-E531-4617-BBCD-28AD60F5AEF7}"/>
            </c:ext>
          </c:extLst>
        </c:ser>
        <c:ser>
          <c:idx val="0"/>
          <c:order val="6"/>
          <c:tx>
            <c:v>Left 1</c:v>
          </c:tx>
          <c:spPr>
            <a:ln w="19050">
              <a:solidFill>
                <a:srgbClr val="FF0000"/>
              </a:solidFill>
            </a:ln>
          </c:spPr>
          <c:marker>
            <c:symbol val="none"/>
          </c:marker>
          <c:xVal>
            <c:numRef>
              <c:f>'Left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1 Kin'!$C$2:$C$102</c:f>
              <c:numCache>
                <c:formatCode>General</c:formatCode>
                <c:ptCount val="101"/>
                <c:pt idx="0">
                  <c:v>0.55906593406593408</c:v>
                </c:pt>
                <c:pt idx="1">
                  <c:v>0.55856868131868131</c:v>
                </c:pt>
                <c:pt idx="2">
                  <c:v>0.55807142857142855</c:v>
                </c:pt>
                <c:pt idx="3">
                  <c:v>0.55757417582417579</c:v>
                </c:pt>
                <c:pt idx="4">
                  <c:v>0.55707692307692303</c:v>
                </c:pt>
                <c:pt idx="5">
                  <c:v>0.55658653846153838</c:v>
                </c:pt>
                <c:pt idx="6">
                  <c:v>0.55609615384615385</c:v>
                </c:pt>
                <c:pt idx="7">
                  <c:v>0.55560576923076921</c:v>
                </c:pt>
                <c:pt idx="8">
                  <c:v>0.55511538461538457</c:v>
                </c:pt>
                <c:pt idx="9">
                  <c:v>0.55464148351648346</c:v>
                </c:pt>
                <c:pt idx="10">
                  <c:v>0.55416758241758235</c:v>
                </c:pt>
                <c:pt idx="11">
                  <c:v>0.55369368131868135</c:v>
                </c:pt>
                <c:pt idx="12">
                  <c:v>0.55321978021978024</c:v>
                </c:pt>
                <c:pt idx="13">
                  <c:v>0.55277335164835173</c:v>
                </c:pt>
                <c:pt idx="14">
                  <c:v>0.5523269230769231</c:v>
                </c:pt>
                <c:pt idx="15">
                  <c:v>0.55188049450549448</c:v>
                </c:pt>
                <c:pt idx="16">
                  <c:v>0.55143406593406596</c:v>
                </c:pt>
                <c:pt idx="17">
                  <c:v>0.55102197802197805</c:v>
                </c:pt>
                <c:pt idx="18">
                  <c:v>0.55060989010989014</c:v>
                </c:pt>
                <c:pt idx="19">
                  <c:v>0.55019780219780223</c:v>
                </c:pt>
                <c:pt idx="20">
                  <c:v>0.54978571428571432</c:v>
                </c:pt>
                <c:pt idx="21">
                  <c:v>0.54941840659340668</c:v>
                </c:pt>
                <c:pt idx="22">
                  <c:v>0.54905109890109893</c:v>
                </c:pt>
                <c:pt idx="23">
                  <c:v>0.54868379120879118</c:v>
                </c:pt>
                <c:pt idx="24">
                  <c:v>0.54831648351648354</c:v>
                </c:pt>
                <c:pt idx="25">
                  <c:v>0.54799903846153852</c:v>
                </c:pt>
                <c:pt idx="26">
                  <c:v>0.5476815934065935</c:v>
                </c:pt>
                <c:pt idx="27">
                  <c:v>0.54736414835164837</c:v>
                </c:pt>
                <c:pt idx="28">
                  <c:v>0.54704670329670335</c:v>
                </c:pt>
                <c:pt idx="29">
                  <c:v>0.54678392857142855</c:v>
                </c:pt>
                <c:pt idx="30">
                  <c:v>0.54652115384615385</c:v>
                </c:pt>
                <c:pt idx="31">
                  <c:v>0.54625837912087905</c:v>
                </c:pt>
                <c:pt idx="32">
                  <c:v>0.54599560439560435</c:v>
                </c:pt>
                <c:pt idx="33">
                  <c:v>0.54579065934065929</c:v>
                </c:pt>
                <c:pt idx="34">
                  <c:v>0.54558571428571434</c:v>
                </c:pt>
                <c:pt idx="35">
                  <c:v>0.54538076923076928</c:v>
                </c:pt>
                <c:pt idx="36">
                  <c:v>0.54517582417582422</c:v>
                </c:pt>
                <c:pt idx="37">
                  <c:v>0.54502980769230769</c:v>
                </c:pt>
                <c:pt idx="38">
                  <c:v>0.54488379120879127</c:v>
                </c:pt>
                <c:pt idx="39">
                  <c:v>0.54473777472527485</c:v>
                </c:pt>
                <c:pt idx="40">
                  <c:v>0.54459175824175832</c:v>
                </c:pt>
                <c:pt idx="41">
                  <c:v>0.5445048076923078</c:v>
                </c:pt>
                <c:pt idx="42">
                  <c:v>0.54441785714285718</c:v>
                </c:pt>
                <c:pt idx="43">
                  <c:v>0.54433090659340666</c:v>
                </c:pt>
                <c:pt idx="44">
                  <c:v>0.54424395604395603</c:v>
                </c:pt>
                <c:pt idx="45">
                  <c:v>0.54421483516483515</c:v>
                </c:pt>
                <c:pt idx="46">
                  <c:v>0.54418571428571427</c:v>
                </c:pt>
                <c:pt idx="47">
                  <c:v>0.54415659340659339</c:v>
                </c:pt>
                <c:pt idx="48">
                  <c:v>0.54412747252747251</c:v>
                </c:pt>
                <c:pt idx="49">
                  <c:v>0.54415370879120883</c:v>
                </c:pt>
                <c:pt idx="50">
                  <c:v>0.54417994505494505</c:v>
                </c:pt>
                <c:pt idx="51">
                  <c:v>0.54420618131868137</c:v>
                </c:pt>
                <c:pt idx="52">
                  <c:v>0.54423241758241758</c:v>
                </c:pt>
                <c:pt idx="53">
                  <c:v>0.54431085164835169</c:v>
                </c:pt>
                <c:pt idx="54">
                  <c:v>0.54438928571428569</c:v>
                </c:pt>
                <c:pt idx="55">
                  <c:v>0.54446771978021979</c:v>
                </c:pt>
                <c:pt idx="56">
                  <c:v>0.54454615384615379</c:v>
                </c:pt>
                <c:pt idx="57">
                  <c:v>0.54467225274725273</c:v>
                </c:pt>
                <c:pt idx="58">
                  <c:v>0.54479835164835166</c:v>
                </c:pt>
                <c:pt idx="59">
                  <c:v>0.54492445054945049</c:v>
                </c:pt>
                <c:pt idx="60">
                  <c:v>0.54505054945054943</c:v>
                </c:pt>
                <c:pt idx="61">
                  <c:v>0.54521909340659336</c:v>
                </c:pt>
                <c:pt idx="62">
                  <c:v>0.5453876373626374</c:v>
                </c:pt>
                <c:pt idx="63">
                  <c:v>0.54555618131868133</c:v>
                </c:pt>
                <c:pt idx="64">
                  <c:v>0.54572472527472526</c:v>
                </c:pt>
                <c:pt idx="65">
                  <c:v>0.54592912087912082</c:v>
                </c:pt>
                <c:pt idx="66">
                  <c:v>0.54613351648351649</c:v>
                </c:pt>
                <c:pt idx="67">
                  <c:v>0.54633791208791216</c:v>
                </c:pt>
                <c:pt idx="68">
                  <c:v>0.54654230769230772</c:v>
                </c:pt>
                <c:pt idx="69">
                  <c:v>0.54677582417582427</c:v>
                </c:pt>
                <c:pt idx="70">
                  <c:v>0.5470093406593407</c:v>
                </c:pt>
                <c:pt idx="71">
                  <c:v>0.54724285714285725</c:v>
                </c:pt>
                <c:pt idx="72">
                  <c:v>0.54747637362637369</c:v>
                </c:pt>
                <c:pt idx="73">
                  <c:v>0.54773200549450551</c:v>
                </c:pt>
                <c:pt idx="74">
                  <c:v>0.54798763736263745</c:v>
                </c:pt>
                <c:pt idx="75">
                  <c:v>0.54824326923076927</c:v>
                </c:pt>
                <c:pt idx="76">
                  <c:v>0.54849890109890109</c:v>
                </c:pt>
                <c:pt idx="77">
                  <c:v>0.54876978021978018</c:v>
                </c:pt>
                <c:pt idx="78">
                  <c:v>0.54904065934065938</c:v>
                </c:pt>
                <c:pt idx="79">
                  <c:v>0.54931153846153846</c:v>
                </c:pt>
                <c:pt idx="80">
                  <c:v>0.54958241758241755</c:v>
                </c:pt>
                <c:pt idx="81">
                  <c:v>0.54986401098901094</c:v>
                </c:pt>
                <c:pt idx="82">
                  <c:v>0.55014560439560434</c:v>
                </c:pt>
                <c:pt idx="83">
                  <c:v>0.55042719780219784</c:v>
                </c:pt>
                <c:pt idx="84">
                  <c:v>0.55070879120879124</c:v>
                </c:pt>
                <c:pt idx="85">
                  <c:v>0.55099450549450557</c:v>
                </c:pt>
                <c:pt idx="86">
                  <c:v>0.55128021978021979</c:v>
                </c:pt>
                <c:pt idx="87">
                  <c:v>0.55156593406593402</c:v>
                </c:pt>
                <c:pt idx="88">
                  <c:v>0.55185164835164835</c:v>
                </c:pt>
                <c:pt idx="89">
                  <c:v>0.55213461538461539</c:v>
                </c:pt>
                <c:pt idx="90">
                  <c:v>0.55241758241758232</c:v>
                </c:pt>
                <c:pt idx="91">
                  <c:v>0.55270054945054936</c:v>
                </c:pt>
                <c:pt idx="92">
                  <c:v>0.5529835164835164</c:v>
                </c:pt>
                <c:pt idx="93">
                  <c:v>0.55325686813186803</c:v>
                </c:pt>
                <c:pt idx="94">
                  <c:v>0.55353021978021977</c:v>
                </c:pt>
                <c:pt idx="95">
                  <c:v>0.5538035714285714</c:v>
                </c:pt>
                <c:pt idx="96">
                  <c:v>0.55407692307692302</c:v>
                </c:pt>
                <c:pt idx="97">
                  <c:v>0.55433379120879123</c:v>
                </c:pt>
                <c:pt idx="98">
                  <c:v>0.55459065934065932</c:v>
                </c:pt>
                <c:pt idx="99">
                  <c:v>0.55484752747252752</c:v>
                </c:pt>
                <c:pt idx="100">
                  <c:v>0.55510439560439562</c:v>
                </c:pt>
              </c:numCache>
            </c:numRef>
          </c:yVal>
          <c:smooth val="1"/>
          <c:extLst>
            <c:ext xmlns:c16="http://schemas.microsoft.com/office/drawing/2014/chart" uri="{C3380CC4-5D6E-409C-BE32-E72D297353CC}">
              <c16:uniqueId val="{00000000-B4CD-4267-A18E-F4B7FD032BAB}"/>
            </c:ext>
          </c:extLst>
        </c:ser>
        <c:dLbls>
          <c:showLegendKey val="0"/>
          <c:showVal val="0"/>
          <c:showCatName val="0"/>
          <c:showSerName val="0"/>
          <c:showPercent val="0"/>
          <c:showBubbleSize val="0"/>
        </c:dLbls>
        <c:axId val="90649728"/>
        <c:axId val="90651264"/>
      </c:scatterChart>
      <c:valAx>
        <c:axId val="90649728"/>
        <c:scaling>
          <c:orientation val="minMax"/>
          <c:max val="100"/>
          <c:min val="0"/>
        </c:scaling>
        <c:delete val="0"/>
        <c:axPos val="b"/>
        <c:title>
          <c:tx>
            <c:rich>
              <a:bodyPr/>
              <a:lstStyle/>
              <a:p>
                <a:pPr>
                  <a:defRPr/>
                </a:pPr>
                <a:r>
                  <a:rPr lang="en-AU"/>
                  <a:t>% gait cycle</a:t>
                </a:r>
              </a:p>
            </c:rich>
          </c:tx>
          <c:overlay val="0"/>
        </c:title>
        <c:numFmt formatCode="General" sourceLinked="1"/>
        <c:majorTickMark val="out"/>
        <c:minorTickMark val="none"/>
        <c:tickLblPos val="nextTo"/>
        <c:txPr>
          <a:bodyPr/>
          <a:lstStyle/>
          <a:p>
            <a:pPr>
              <a:defRPr lang="en-US" sz="800"/>
            </a:pPr>
            <a:endParaRPr lang="en-US"/>
          </a:p>
        </c:txPr>
        <c:crossAx val="90651264"/>
        <c:crosses val="autoZero"/>
        <c:crossBetween val="midCat"/>
        <c:majorUnit val="20"/>
      </c:valAx>
      <c:valAx>
        <c:axId val="90651264"/>
        <c:scaling>
          <c:orientation val="minMax"/>
          <c:max val="0.6"/>
          <c:min val="0.5"/>
        </c:scaling>
        <c:delete val="0"/>
        <c:axPos val="l"/>
        <c:title>
          <c:tx>
            <c:rich>
              <a:bodyPr rot="-5400000" vert="horz"/>
              <a:lstStyle/>
              <a:p>
                <a:pPr>
                  <a:defRPr lang="en-AU"/>
                </a:pPr>
                <a:r>
                  <a:rPr lang="en-US"/>
                  <a:t>CoM</a:t>
                </a:r>
                <a:r>
                  <a:rPr lang="en-US" baseline="0"/>
                  <a:t> height (per  BH)</a:t>
                </a:r>
              </a:p>
            </c:rich>
          </c:tx>
          <c:layout>
            <c:manualLayout>
              <c:xMode val="edge"/>
              <c:yMode val="edge"/>
              <c:x val="1.2477510348022907E-3"/>
              <c:y val="0.33886815898991079"/>
            </c:manualLayout>
          </c:layout>
          <c:overlay val="0"/>
        </c:title>
        <c:numFmt formatCode="0.0" sourceLinked="0"/>
        <c:majorTickMark val="out"/>
        <c:minorTickMark val="none"/>
        <c:tickLblPos val="nextTo"/>
        <c:txPr>
          <a:bodyPr/>
          <a:lstStyle/>
          <a:p>
            <a:pPr>
              <a:defRPr lang="en-US" sz="800"/>
            </a:pPr>
            <a:endParaRPr lang="en-US"/>
          </a:p>
        </c:txPr>
        <c:crossAx val="90649728"/>
        <c:crosses val="autoZero"/>
        <c:crossBetween val="midCat"/>
      </c:valAx>
      <c:spPr>
        <a:noFill/>
        <a:ln w="25400">
          <a:noFill/>
        </a:ln>
      </c:spPr>
    </c:plotArea>
    <c:plotVisOnly val="1"/>
    <c:dispBlanksAs val="gap"/>
    <c:showDLblsOverMax val="0"/>
  </c:chart>
  <c:spPr>
    <a:ln>
      <a:solidFill>
        <a:schemeClr val="bg1">
          <a:lumMod val="50000"/>
        </a:schemeClr>
      </a:solidFill>
    </a:ln>
  </c:spPr>
  <c:printSettings>
    <c:headerFooter/>
    <c:pageMargins b="0.75000000000001421" l="0.70000000000000095" r="0.70000000000000095" t="0.75000000000001421" header="0.3000000000000001" footer="0.3000000000000001"/>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US" sz="1200"/>
              <a:t>Vertical</a:t>
            </a:r>
          </a:p>
        </c:rich>
      </c:tx>
      <c:overlay val="0"/>
    </c:title>
    <c:autoTitleDeleted val="0"/>
    <c:plotArea>
      <c:layout>
        <c:manualLayout>
          <c:layoutTarget val="inner"/>
          <c:xMode val="edge"/>
          <c:yMode val="edge"/>
          <c:x val="0.11192534722222222"/>
          <c:y val="3.2729365079365094E-2"/>
          <c:w val="0.84808903769841271"/>
          <c:h val="0.81073174603174591"/>
        </c:manualLayout>
      </c:layout>
      <c:scatterChart>
        <c:scatterStyle val="smoothMarker"/>
        <c:varyColors val="0"/>
        <c:ser>
          <c:idx val="7"/>
          <c:order val="0"/>
          <c:tx>
            <c:v>Normative</c:v>
          </c:tx>
          <c:spPr>
            <a:ln>
              <a:solidFill>
                <a:schemeClr val="tx1"/>
              </a:solidFill>
            </a:ln>
          </c:spPr>
          <c:marker>
            <c:symbol val="none"/>
          </c:marker>
          <c:xVal>
            <c:numRef>
              <c:f>Normative!$A$2:$A$102</c:f>
              <c:numCache>
                <c:formatCode>General</c:formatCode>
                <c:ptCount val="101"/>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numCache>
            </c:numRef>
          </c:xVal>
          <c:yVal>
            <c:numRef>
              <c:f>Normative!$F$2:$F$102</c:f>
              <c:numCache>
                <c:formatCode>General</c:formatCode>
                <c:ptCount val="101"/>
                <c:pt idx="0">
                  <c:v>0</c:v>
                </c:pt>
                <c:pt idx="1">
                  <c:v>0.20241514283908019</c:v>
                </c:pt>
                <c:pt idx="2">
                  <c:v>0.74190975130581793</c:v>
                </c:pt>
                <c:pt idx="3">
                  <c:v>1.4614800216369126</c:v>
                </c:pt>
                <c:pt idx="4">
                  <c:v>1.7688125484030877</c:v>
                </c:pt>
                <c:pt idx="5">
                  <c:v>1.7843469392006335</c:v>
                </c:pt>
                <c:pt idx="6">
                  <c:v>2.0232862499260458</c:v>
                </c:pt>
                <c:pt idx="7">
                  <c:v>2.3174766050424669</c:v>
                </c:pt>
                <c:pt idx="8">
                  <c:v>2.5991625418097568</c:v>
                </c:pt>
                <c:pt idx="9">
                  <c:v>2.7893880259763133</c:v>
                </c:pt>
                <c:pt idx="10">
                  <c:v>3.0671712241285949</c:v>
                </c:pt>
                <c:pt idx="11">
                  <c:v>3.3640212381849337</c:v>
                </c:pt>
                <c:pt idx="12">
                  <c:v>3.6053863680476055</c:v>
                </c:pt>
                <c:pt idx="13">
                  <c:v>3.8012417979825548</c:v>
                </c:pt>
                <c:pt idx="14">
                  <c:v>3.893891072075955</c:v>
                </c:pt>
                <c:pt idx="15">
                  <c:v>3.9058014372354748</c:v>
                </c:pt>
                <c:pt idx="16">
                  <c:v>3.8991534841350535</c:v>
                </c:pt>
                <c:pt idx="17">
                  <c:v>3.8657507837310137</c:v>
                </c:pt>
                <c:pt idx="18">
                  <c:v>3.8251505784528037</c:v>
                </c:pt>
                <c:pt idx="19">
                  <c:v>3.7744348491563913</c:v>
                </c:pt>
                <c:pt idx="20">
                  <c:v>3.724238139976046</c:v>
                </c:pt>
                <c:pt idx="21">
                  <c:v>3.6776511613214091</c:v>
                </c:pt>
                <c:pt idx="22">
                  <c:v>3.6384317431416564</c:v>
                </c:pt>
                <c:pt idx="23">
                  <c:v>3.5994984765885314</c:v>
                </c:pt>
                <c:pt idx="24">
                  <c:v>3.5578259405271595</c:v>
                </c:pt>
                <c:pt idx="25">
                  <c:v>3.4942613549353227</c:v>
                </c:pt>
                <c:pt idx="26">
                  <c:v>3.4056494254014202</c:v>
                </c:pt>
                <c:pt idx="27">
                  <c:v>3.3180701922247957</c:v>
                </c:pt>
                <c:pt idx="28">
                  <c:v>3.2216565405498345</c:v>
                </c:pt>
                <c:pt idx="29">
                  <c:v>3.0997600060433168</c:v>
                </c:pt>
                <c:pt idx="30">
                  <c:v>2.9865529204180605</c:v>
                </c:pt>
                <c:pt idx="31">
                  <c:v>2.8813823933073932</c:v>
                </c:pt>
                <c:pt idx="32">
                  <c:v>2.7483629258527191</c:v>
                </c:pt>
                <c:pt idx="33">
                  <c:v>2.6046744576446339</c:v>
                </c:pt>
                <c:pt idx="34">
                  <c:v>2.4243584362479029</c:v>
                </c:pt>
                <c:pt idx="35">
                  <c:v>2.2571765755107114</c:v>
                </c:pt>
                <c:pt idx="36">
                  <c:v>2.0498043864914228</c:v>
                </c:pt>
                <c:pt idx="37">
                  <c:v>1.8668165927711566</c:v>
                </c:pt>
                <c:pt idx="38">
                  <c:v>1.6572722157876736</c:v>
                </c:pt>
                <c:pt idx="39">
                  <c:v>1.462409866634822</c:v>
                </c:pt>
                <c:pt idx="40">
                  <c:v>1.2901418254918464</c:v>
                </c:pt>
                <c:pt idx="41">
                  <c:v>1.0982092441590148</c:v>
                </c:pt>
                <c:pt idx="42">
                  <c:v>0.90853423537647249</c:v>
                </c:pt>
                <c:pt idx="43">
                  <c:v>0.72088680449600928</c:v>
                </c:pt>
                <c:pt idx="44">
                  <c:v>0.58409903754546266</c:v>
                </c:pt>
                <c:pt idx="45">
                  <c:v>0.46257789843708058</c:v>
                </c:pt>
                <c:pt idx="46">
                  <c:v>0.36729548060769801</c:v>
                </c:pt>
                <c:pt idx="47">
                  <c:v>0.28323788907759689</c:v>
                </c:pt>
                <c:pt idx="48">
                  <c:v>0.20174399897226936</c:v>
                </c:pt>
                <c:pt idx="49">
                  <c:v>0.13438143746610676</c:v>
                </c:pt>
                <c:pt idx="50">
                  <c:v>7.0034436967654476E-2</c:v>
                </c:pt>
              </c:numCache>
            </c:numRef>
          </c:yVal>
          <c:smooth val="1"/>
          <c:extLst>
            <c:ext xmlns:c16="http://schemas.microsoft.com/office/drawing/2014/chart" uri="{C3380CC4-5D6E-409C-BE32-E72D297353CC}">
              <c16:uniqueId val="{00000000-1949-4F4B-B86C-EC5BA7E61B75}"/>
            </c:ext>
          </c:extLst>
        </c:ser>
        <c:ser>
          <c:idx val="6"/>
          <c:order val="1"/>
          <c:tx>
            <c:v>Right 3</c:v>
          </c:tx>
          <c:spPr>
            <a:ln w="19050">
              <a:solidFill>
                <a:srgbClr val="00B050"/>
              </a:solidFill>
            </a:ln>
          </c:spPr>
          <c:marker>
            <c:symbol val="none"/>
          </c:marker>
          <c:xVal>
            <c:numRef>
              <c:f>'Right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3 Kin'!$F$2:$F$102</c:f>
              <c:numCache>
                <c:formatCode>General</c:formatCode>
                <c:ptCount val="101"/>
                <c:pt idx="0">
                  <c:v>0.46935874568191038</c:v>
                </c:pt>
                <c:pt idx="1">
                  <c:v>0.70069681574761333</c:v>
                </c:pt>
                <c:pt idx="2">
                  <c:v>1.0577271941868389</c:v>
                </c:pt>
                <c:pt idx="3">
                  <c:v>1.487169550626771</c:v>
                </c:pt>
                <c:pt idx="4">
                  <c:v>1.610980102162654</c:v>
                </c:pt>
                <c:pt idx="5">
                  <c:v>1.502096977374797</c:v>
                </c:pt>
                <c:pt idx="6">
                  <c:v>1.5996113564525469</c:v>
                </c:pt>
                <c:pt idx="7">
                  <c:v>1.929960478437492</c:v>
                </c:pt>
                <c:pt idx="8">
                  <c:v>2.2378077331952801</c:v>
                </c:pt>
                <c:pt idx="9">
                  <c:v>2.3616622041075148</c:v>
                </c:pt>
                <c:pt idx="10">
                  <c:v>2.37126572643374</c:v>
                </c:pt>
                <c:pt idx="11">
                  <c:v>2.2955471915126142</c:v>
                </c:pt>
                <c:pt idx="12">
                  <c:v>2.2574230292277431</c:v>
                </c:pt>
                <c:pt idx="13">
                  <c:v>2.3046211121448801</c:v>
                </c:pt>
                <c:pt idx="14">
                  <c:v>2.454758596194782</c:v>
                </c:pt>
                <c:pt idx="15">
                  <c:v>2.544059102433621</c:v>
                </c:pt>
                <c:pt idx="16">
                  <c:v>2.623858616771956</c:v>
                </c:pt>
                <c:pt idx="17">
                  <c:v>2.7227801970534031</c:v>
                </c:pt>
                <c:pt idx="18">
                  <c:v>2.8545915219184961</c:v>
                </c:pt>
                <c:pt idx="19">
                  <c:v>2.978696705838034</c:v>
                </c:pt>
                <c:pt idx="20">
                  <c:v>3.075477691412384</c:v>
                </c:pt>
                <c:pt idx="21">
                  <c:v>3.1429041042581169</c:v>
                </c:pt>
                <c:pt idx="22">
                  <c:v>3.187909382841152</c:v>
                </c:pt>
                <c:pt idx="23">
                  <c:v>3.242353581879255</c:v>
                </c:pt>
                <c:pt idx="24">
                  <c:v>3.308557129239198</c:v>
                </c:pt>
                <c:pt idx="25">
                  <c:v>3.3701169203307622</c:v>
                </c:pt>
                <c:pt idx="26">
                  <c:v>3.4219007488196089</c:v>
                </c:pt>
                <c:pt idx="27">
                  <c:v>3.4791642677158419</c:v>
                </c:pt>
                <c:pt idx="28">
                  <c:v>3.5463876431232322</c:v>
                </c:pt>
                <c:pt idx="29">
                  <c:v>3.5974933265680149</c:v>
                </c:pt>
                <c:pt idx="30">
                  <c:v>3.632171540929976</c:v>
                </c:pt>
                <c:pt idx="31">
                  <c:v>3.654082181061983</c:v>
                </c:pt>
                <c:pt idx="32">
                  <c:v>3.6685970374756161</c:v>
                </c:pt>
                <c:pt idx="33">
                  <c:v>3.672904331703315</c:v>
                </c:pt>
                <c:pt idx="34">
                  <c:v>3.673400323159838</c:v>
                </c:pt>
                <c:pt idx="35">
                  <c:v>3.670577522659908</c:v>
                </c:pt>
                <c:pt idx="36">
                  <c:v>3.6649284410182479</c:v>
                </c:pt>
                <c:pt idx="37">
                  <c:v>3.6578557768803242</c:v>
                </c:pt>
                <c:pt idx="38">
                  <c:v>3.6497418207371841</c:v>
                </c:pt>
                <c:pt idx="39">
                  <c:v>3.6435201735193981</c:v>
                </c:pt>
                <c:pt idx="40">
                  <c:v>3.646233333802622</c:v>
                </c:pt>
                <c:pt idx="41">
                  <c:v>3.6453150244743462</c:v>
                </c:pt>
                <c:pt idx="42">
                  <c:v>3.6452158261830419</c:v>
                </c:pt>
                <c:pt idx="43">
                  <c:v>3.6429522487990038</c:v>
                </c:pt>
                <c:pt idx="44">
                  <c:v>3.640193260065411</c:v>
                </c:pt>
                <c:pt idx="45">
                  <c:v>3.6324818981571569</c:v>
                </c:pt>
                <c:pt idx="46">
                  <c:v>3.6181155491269958</c:v>
                </c:pt>
                <c:pt idx="47">
                  <c:v>3.5970205393901602</c:v>
                </c:pt>
                <c:pt idx="48">
                  <c:v>3.572408921221228</c:v>
                </c:pt>
                <c:pt idx="49">
                  <c:v>3.541067482131687</c:v>
                </c:pt>
                <c:pt idx="50">
                  <c:v>3.5005974798142612</c:v>
                </c:pt>
                <c:pt idx="51">
                  <c:v>3.4666200346680638</c:v>
                </c:pt>
                <c:pt idx="52">
                  <c:v>3.4255664447421439</c:v>
                </c:pt>
                <c:pt idx="53">
                  <c:v>3.3848116099040708</c:v>
                </c:pt>
                <c:pt idx="54">
                  <c:v>3.341696899925489</c:v>
                </c:pt>
                <c:pt idx="55">
                  <c:v>3.2935834082149098</c:v>
                </c:pt>
                <c:pt idx="56">
                  <c:v>3.2442052833169401</c:v>
                </c:pt>
                <c:pt idx="57">
                  <c:v>3.1911585619616019</c:v>
                </c:pt>
                <c:pt idx="58">
                  <c:v>3.137948250441656</c:v>
                </c:pt>
                <c:pt idx="59">
                  <c:v>3.0887041302529918</c:v>
                </c:pt>
                <c:pt idx="60">
                  <c:v>3.0312880432245191</c:v>
                </c:pt>
                <c:pt idx="61">
                  <c:v>2.9923210980577939</c:v>
                </c:pt>
                <c:pt idx="62">
                  <c:v>2.900143261264156</c:v>
                </c:pt>
                <c:pt idx="63">
                  <c:v>2.8389359037182822</c:v>
                </c:pt>
                <c:pt idx="64">
                  <c:v>2.755320397024053</c:v>
                </c:pt>
                <c:pt idx="65">
                  <c:v>2.6834406984910628</c:v>
                </c:pt>
                <c:pt idx="66">
                  <c:v>2.6064670969265342</c:v>
                </c:pt>
                <c:pt idx="67">
                  <c:v>2.515653729149149</c:v>
                </c:pt>
                <c:pt idx="68">
                  <c:v>2.412236442858505</c:v>
                </c:pt>
                <c:pt idx="69">
                  <c:v>2.2937014518342251</c:v>
                </c:pt>
                <c:pt idx="70">
                  <c:v>2.1844691976739399</c:v>
                </c:pt>
                <c:pt idx="71">
                  <c:v>2.0681125048289508</c:v>
                </c:pt>
                <c:pt idx="72">
                  <c:v>1.9393615800951001</c:v>
                </c:pt>
                <c:pt idx="73">
                  <c:v>1.8178596065809829</c:v>
                </c:pt>
                <c:pt idx="74">
                  <c:v>1.7050695298250671</c:v>
                </c:pt>
                <c:pt idx="75">
                  <c:v>1.5564872792547311</c:v>
                </c:pt>
                <c:pt idx="76">
                  <c:v>1.449874717382982</c:v>
                </c:pt>
                <c:pt idx="77">
                  <c:v>1.3130577367967891</c:v>
                </c:pt>
                <c:pt idx="78">
                  <c:v>1.166808066289986</c:v>
                </c:pt>
                <c:pt idx="79">
                  <c:v>1.04841472202574</c:v>
                </c:pt>
                <c:pt idx="80">
                  <c:v>0.92163076348939477</c:v>
                </c:pt>
                <c:pt idx="81">
                  <c:v>0.81079553194398279</c:v>
                </c:pt>
                <c:pt idx="82">
                  <c:v>0.69559665475416022</c:v>
                </c:pt>
                <c:pt idx="83">
                  <c:v>0.59105467302943249</c:v>
                </c:pt>
                <c:pt idx="84">
                  <c:v>0.49456793203723232</c:v>
                </c:pt>
                <c:pt idx="85">
                  <c:v>0.41081261028231802</c:v>
                </c:pt>
                <c:pt idx="86">
                  <c:v>0.35098037773756829</c:v>
                </c:pt>
                <c:pt idx="87">
                  <c:v>0.32596900785788852</c:v>
                </c:pt>
                <c:pt idx="88">
                  <c:v>0.27879760986121971</c:v>
                </c:pt>
                <c:pt idx="89">
                  <c:v>0.24874052759593829</c:v>
                </c:pt>
                <c:pt idx="90">
                  <c:v>0.26006050290120503</c:v>
                </c:pt>
                <c:pt idx="91">
                  <c:v>0.16872382120927301</c:v>
                </c:pt>
                <c:pt idx="92">
                  <c:v>0.14544370515778379</c:v>
                </c:pt>
                <c:pt idx="93">
                  <c:v>0.1109267257261458</c:v>
                </c:pt>
                <c:pt idx="94">
                  <c:v>8.5074490798243835E-2</c:v>
                </c:pt>
                <c:pt idx="95">
                  <c:v>2.8095218514621351E-2</c:v>
                </c:pt>
                <c:pt idx="96">
                  <c:v>0</c:v>
                </c:pt>
                <c:pt idx="97">
                  <c:v>0</c:v>
                </c:pt>
                <c:pt idx="98">
                  <c:v>6.5935311699614474E-2</c:v>
                </c:pt>
                <c:pt idx="99">
                  <c:v>4.0956741067830711E-2</c:v>
                </c:pt>
                <c:pt idx="100">
                  <c:v>4.9799282555789338E-2</c:v>
                </c:pt>
              </c:numCache>
            </c:numRef>
          </c:yVal>
          <c:smooth val="1"/>
          <c:extLst>
            <c:ext xmlns:c16="http://schemas.microsoft.com/office/drawing/2014/chart" uri="{C3380CC4-5D6E-409C-BE32-E72D297353CC}">
              <c16:uniqueId val="{00000004-8F65-4921-8199-C75ED954C0BF}"/>
            </c:ext>
          </c:extLst>
        </c:ser>
        <c:ser>
          <c:idx val="5"/>
          <c:order val="2"/>
          <c:tx>
            <c:v>Right 2</c:v>
          </c:tx>
          <c:spPr>
            <a:ln w="19050">
              <a:solidFill>
                <a:srgbClr val="00B050"/>
              </a:solidFill>
            </a:ln>
          </c:spPr>
          <c:marker>
            <c:symbol val="none"/>
          </c:marker>
          <c:xVal>
            <c:numRef>
              <c:f>'Right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2 Kin'!$F$2:$F$102</c:f>
              <c:numCache>
                <c:formatCode>General</c:formatCode>
                <c:ptCount val="101"/>
                <c:pt idx="0">
                  <c:v>0.13285885302019931</c:v>
                </c:pt>
                <c:pt idx="1">
                  <c:v>1.1459853742637729</c:v>
                </c:pt>
                <c:pt idx="2">
                  <c:v>1.296256023318147</c:v>
                </c:pt>
                <c:pt idx="3">
                  <c:v>1.568791593345533</c:v>
                </c:pt>
                <c:pt idx="4">
                  <c:v>1.6421362388440379</c:v>
                </c:pt>
                <c:pt idx="5">
                  <c:v>1.648696985674851</c:v>
                </c:pt>
                <c:pt idx="6">
                  <c:v>1.7278923618253439</c:v>
                </c:pt>
                <c:pt idx="7">
                  <c:v>2.1138876254566838</c:v>
                </c:pt>
                <c:pt idx="8">
                  <c:v>2.483662450464823</c:v>
                </c:pt>
                <c:pt idx="9">
                  <c:v>2.678380477195144</c:v>
                </c:pt>
                <c:pt idx="10">
                  <c:v>2.5972441401432951</c:v>
                </c:pt>
                <c:pt idx="11">
                  <c:v>2.4887726185354939</c:v>
                </c:pt>
                <c:pt idx="12">
                  <c:v>2.4623162297568619</c:v>
                </c:pt>
                <c:pt idx="13">
                  <c:v>2.5796351773532811</c:v>
                </c:pt>
                <c:pt idx="14">
                  <c:v>2.7085350903792809</c:v>
                </c:pt>
                <c:pt idx="15">
                  <c:v>2.819742611081586</c:v>
                </c:pt>
                <c:pt idx="16">
                  <c:v>2.9404160272129078</c:v>
                </c:pt>
                <c:pt idx="17">
                  <c:v>3.0945553791725442</c:v>
                </c:pt>
                <c:pt idx="18">
                  <c:v>3.248851360013187</c:v>
                </c:pt>
                <c:pt idx="19">
                  <c:v>3.3957575032318652</c:v>
                </c:pt>
                <c:pt idx="20">
                  <c:v>3.4910199137941529</c:v>
                </c:pt>
                <c:pt idx="21">
                  <c:v>3.5702197425556701</c:v>
                </c:pt>
                <c:pt idx="22">
                  <c:v>3.6430804524386442</c:v>
                </c:pt>
                <c:pt idx="23">
                  <c:v>3.7177171598001499</c:v>
                </c:pt>
                <c:pt idx="24">
                  <c:v>3.7873663975155099</c:v>
                </c:pt>
                <c:pt idx="25">
                  <c:v>3.8516455850401909</c:v>
                </c:pt>
                <c:pt idx="26">
                  <c:v>3.9179072881235451</c:v>
                </c:pt>
                <c:pt idx="27">
                  <c:v>3.9798643074605509</c:v>
                </c:pt>
                <c:pt idx="28">
                  <c:v>4.0242374144766329</c:v>
                </c:pt>
                <c:pt idx="29">
                  <c:v>4.0573332420601966</c:v>
                </c:pt>
                <c:pt idx="30">
                  <c:v>4.0723117489669596</c:v>
                </c:pt>
                <c:pt idx="31">
                  <c:v>4.0712817690475953</c:v>
                </c:pt>
                <c:pt idx="32">
                  <c:v>4.063688748960546</c:v>
                </c:pt>
                <c:pt idx="33">
                  <c:v>4.0473693248002709</c:v>
                </c:pt>
                <c:pt idx="34">
                  <c:v>4.0303645042588476</c:v>
                </c:pt>
                <c:pt idx="35">
                  <c:v>4.0089466649950456</c:v>
                </c:pt>
                <c:pt idx="36">
                  <c:v>3.9792768041300319</c:v>
                </c:pt>
                <c:pt idx="37">
                  <c:v>3.958778144354957</c:v>
                </c:pt>
                <c:pt idx="38">
                  <c:v>3.9345772419184439</c:v>
                </c:pt>
                <c:pt idx="39">
                  <c:v>3.919149587192718</c:v>
                </c:pt>
                <c:pt idx="40">
                  <c:v>3.906150260229571</c:v>
                </c:pt>
                <c:pt idx="41">
                  <c:v>3.8899256835583498</c:v>
                </c:pt>
                <c:pt idx="42">
                  <c:v>3.8737994350179838</c:v>
                </c:pt>
                <c:pt idx="43">
                  <c:v>3.85280695918751</c:v>
                </c:pt>
                <c:pt idx="44">
                  <c:v>3.8248326059593989</c:v>
                </c:pt>
                <c:pt idx="45">
                  <c:v>3.799421455363623</c:v>
                </c:pt>
                <c:pt idx="46">
                  <c:v>3.759289510381036</c:v>
                </c:pt>
                <c:pt idx="47">
                  <c:v>3.724736164043656</c:v>
                </c:pt>
                <c:pt idx="48">
                  <c:v>3.68448036622368</c:v>
                </c:pt>
                <c:pt idx="49">
                  <c:v>3.642566042585929</c:v>
                </c:pt>
                <c:pt idx="50">
                  <c:v>3.599868284489657</c:v>
                </c:pt>
                <c:pt idx="51">
                  <c:v>3.556206243588</c:v>
                </c:pt>
                <c:pt idx="52">
                  <c:v>3.5121926578645271</c:v>
                </c:pt>
                <c:pt idx="53">
                  <c:v>3.4626573239785818</c:v>
                </c:pt>
                <c:pt idx="54">
                  <c:v>3.408462860989641</c:v>
                </c:pt>
                <c:pt idx="55">
                  <c:v>3.3666964646283959</c:v>
                </c:pt>
                <c:pt idx="56">
                  <c:v>3.319503167593735</c:v>
                </c:pt>
                <c:pt idx="57">
                  <c:v>3.2674601763175168</c:v>
                </c:pt>
                <c:pt idx="58">
                  <c:v>3.2170153797345402</c:v>
                </c:pt>
                <c:pt idx="59">
                  <c:v>3.1576605752233782</c:v>
                </c:pt>
                <c:pt idx="60">
                  <c:v>3.0939221924183982</c:v>
                </c:pt>
                <c:pt idx="61">
                  <c:v>3.0335432090575392</c:v>
                </c:pt>
                <c:pt idx="62">
                  <c:v>2.9907636909754358</c:v>
                </c:pt>
                <c:pt idx="63">
                  <c:v>2.9080750561333382</c:v>
                </c:pt>
                <c:pt idx="64">
                  <c:v>2.8275867670159061</c:v>
                </c:pt>
                <c:pt idx="65">
                  <c:v>2.7160136611628718</c:v>
                </c:pt>
                <c:pt idx="66">
                  <c:v>2.6377371146966029</c:v>
                </c:pt>
                <c:pt idx="67">
                  <c:v>2.54549828893713</c:v>
                </c:pt>
                <c:pt idx="68">
                  <c:v>2.440191437337031</c:v>
                </c:pt>
                <c:pt idx="69">
                  <c:v>2.3416789342758748</c:v>
                </c:pt>
                <c:pt idx="70">
                  <c:v>2.2237479693337669</c:v>
                </c:pt>
                <c:pt idx="71">
                  <c:v>2.110784854994221</c:v>
                </c:pt>
                <c:pt idx="72">
                  <c:v>1.998039041270026</c:v>
                </c:pt>
                <c:pt idx="73">
                  <c:v>1.870880626340671</c:v>
                </c:pt>
                <c:pt idx="74">
                  <c:v>1.719580433476847</c:v>
                </c:pt>
                <c:pt idx="75">
                  <c:v>1.6078918106044759</c:v>
                </c:pt>
                <c:pt idx="76">
                  <c:v>1.4515404327970589</c:v>
                </c:pt>
                <c:pt idx="77">
                  <c:v>1.317552613480715</c:v>
                </c:pt>
                <c:pt idx="78">
                  <c:v>1.188640184401814</c:v>
                </c:pt>
                <c:pt idx="79">
                  <c:v>1.0488064241330619</c:v>
                </c:pt>
                <c:pt idx="80">
                  <c:v>0.90390759930463349</c:v>
                </c:pt>
                <c:pt idx="81">
                  <c:v>0.79388513841558239</c:v>
                </c:pt>
                <c:pt idx="82">
                  <c:v>0.67341351761206836</c:v>
                </c:pt>
                <c:pt idx="83">
                  <c:v>0.58415260367370547</c:v>
                </c:pt>
                <c:pt idx="84">
                  <c:v>0.49890063495007242</c:v>
                </c:pt>
                <c:pt idx="85">
                  <c:v>0.42225072437135258</c:v>
                </c:pt>
                <c:pt idx="86">
                  <c:v>0.36830611345296632</c:v>
                </c:pt>
                <c:pt idx="87">
                  <c:v>0.34444935947444483</c:v>
                </c:pt>
                <c:pt idx="88">
                  <c:v>0.32676416047713502</c:v>
                </c:pt>
                <c:pt idx="89">
                  <c:v>0.30510340142103087</c:v>
                </c:pt>
                <c:pt idx="90">
                  <c:v>0.2409800596329538</c:v>
                </c:pt>
                <c:pt idx="91">
                  <c:v>0.1940183267967216</c:v>
                </c:pt>
                <c:pt idx="92">
                  <c:v>0.15235916030773511</c:v>
                </c:pt>
                <c:pt idx="93">
                  <c:v>0.12649480259449719</c:v>
                </c:pt>
                <c:pt idx="94">
                  <c:v>9.9068892644569584E-2</c:v>
                </c:pt>
                <c:pt idx="95">
                  <c:v>8.0435616129988549E-2</c:v>
                </c:pt>
                <c:pt idx="96">
                  <c:v>6.5234896349098431E-2</c:v>
                </c:pt>
                <c:pt idx="97">
                  <c:v>6.2933142125582806E-2</c:v>
                </c:pt>
                <c:pt idx="98">
                  <c:v>4.6991785277640918E-2</c:v>
                </c:pt>
                <c:pt idx="99">
                  <c:v>6.3632033245043712E-2</c:v>
                </c:pt>
                <c:pt idx="100">
                  <c:v>5.1330184840893051E-2</c:v>
                </c:pt>
              </c:numCache>
            </c:numRef>
          </c:yVal>
          <c:smooth val="1"/>
          <c:extLst>
            <c:ext xmlns:c16="http://schemas.microsoft.com/office/drawing/2014/chart" uri="{C3380CC4-5D6E-409C-BE32-E72D297353CC}">
              <c16:uniqueId val="{00000003-8F65-4921-8199-C75ED954C0BF}"/>
            </c:ext>
          </c:extLst>
        </c:ser>
        <c:ser>
          <c:idx val="4"/>
          <c:order val="3"/>
          <c:tx>
            <c:v>Right 1</c:v>
          </c:tx>
          <c:spPr>
            <a:ln w="19050">
              <a:solidFill>
                <a:srgbClr val="00B050"/>
              </a:solidFill>
            </a:ln>
          </c:spPr>
          <c:marker>
            <c:symbol val="none"/>
          </c:marker>
          <c:xVal>
            <c:numRef>
              <c:f>'Right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1 Kin'!$F$2:$F$102</c:f>
              <c:numCache>
                <c:formatCode>General</c:formatCode>
                <c:ptCount val="101"/>
                <c:pt idx="0">
                  <c:v>0.56181909456832757</c:v>
                </c:pt>
                <c:pt idx="1">
                  <c:v>0.85100599979950653</c:v>
                </c:pt>
                <c:pt idx="2">
                  <c:v>0.9582353378374302</c:v>
                </c:pt>
                <c:pt idx="3">
                  <c:v>1.585368625374465</c:v>
                </c:pt>
                <c:pt idx="4">
                  <c:v>1.584060151589247</c:v>
                </c:pt>
                <c:pt idx="5">
                  <c:v>1.418450637125128</c:v>
                </c:pt>
                <c:pt idx="6">
                  <c:v>1.778865063289403</c:v>
                </c:pt>
                <c:pt idx="7">
                  <c:v>2.2028177117157912</c:v>
                </c:pt>
                <c:pt idx="8">
                  <c:v>2.3381097638017949</c:v>
                </c:pt>
                <c:pt idx="9">
                  <c:v>2.384251786640613</c:v>
                </c:pt>
                <c:pt idx="10">
                  <c:v>2.350622843365139</c:v>
                </c:pt>
                <c:pt idx="11">
                  <c:v>2.379076971159519</c:v>
                </c:pt>
                <c:pt idx="12">
                  <c:v>2.495908483877173</c:v>
                </c:pt>
                <c:pt idx="13">
                  <c:v>2.6589478369198178</c:v>
                </c:pt>
                <c:pt idx="14">
                  <c:v>2.793420402494617</c:v>
                </c:pt>
                <c:pt idx="15">
                  <c:v>2.9254185218029849</c:v>
                </c:pt>
                <c:pt idx="16">
                  <c:v>3.0925432781585682</c:v>
                </c:pt>
                <c:pt idx="17">
                  <c:v>3.252768242252301</c:v>
                </c:pt>
                <c:pt idx="18">
                  <c:v>3.4066590183767089</c:v>
                </c:pt>
                <c:pt idx="19">
                  <c:v>3.5221362713806168</c:v>
                </c:pt>
                <c:pt idx="20">
                  <c:v>3.634848734581265</c:v>
                </c:pt>
                <c:pt idx="21">
                  <c:v>3.7342561544473192</c:v>
                </c:pt>
                <c:pt idx="22">
                  <c:v>3.8325532495791208</c:v>
                </c:pt>
                <c:pt idx="23">
                  <c:v>3.885998504420578</c:v>
                </c:pt>
                <c:pt idx="24">
                  <c:v>3.9284971408005309</c:v>
                </c:pt>
                <c:pt idx="25">
                  <c:v>3.960383010278314</c:v>
                </c:pt>
                <c:pt idx="26">
                  <c:v>3.971825330142857</c:v>
                </c:pt>
                <c:pt idx="27">
                  <c:v>3.9662887892527352</c:v>
                </c:pt>
                <c:pt idx="28">
                  <c:v>3.9676096928158961</c:v>
                </c:pt>
                <c:pt idx="29">
                  <c:v>3.9338744423282952</c:v>
                </c:pt>
                <c:pt idx="30">
                  <c:v>3.9266628425718468</c:v>
                </c:pt>
                <c:pt idx="31">
                  <c:v>3.9085788780456321</c:v>
                </c:pt>
                <c:pt idx="32">
                  <c:v>3.890453145817816</c:v>
                </c:pt>
                <c:pt idx="33">
                  <c:v>3.8690849056996668</c:v>
                </c:pt>
                <c:pt idx="34">
                  <c:v>3.8462031665054148</c:v>
                </c:pt>
                <c:pt idx="35">
                  <c:v>3.824144889150384</c:v>
                </c:pt>
                <c:pt idx="36">
                  <c:v>3.805455873057908</c:v>
                </c:pt>
                <c:pt idx="37">
                  <c:v>3.7943508853944978</c:v>
                </c:pt>
                <c:pt idx="38">
                  <c:v>3.78584535704884</c:v>
                </c:pt>
                <c:pt idx="39">
                  <c:v>3.7775773825060441</c:v>
                </c:pt>
                <c:pt idx="40">
                  <c:v>3.7613961688305828</c:v>
                </c:pt>
                <c:pt idx="41">
                  <c:v>3.745053975471865</c:v>
                </c:pt>
                <c:pt idx="42">
                  <c:v>3.724069766165667</c:v>
                </c:pt>
                <c:pt idx="43">
                  <c:v>3.6997493616940158</c:v>
                </c:pt>
                <c:pt idx="44">
                  <c:v>3.6667894241673999</c:v>
                </c:pt>
                <c:pt idx="45">
                  <c:v>3.6374099068392169</c:v>
                </c:pt>
                <c:pt idx="46">
                  <c:v>3.604530604180971</c:v>
                </c:pt>
                <c:pt idx="47">
                  <c:v>3.5668001570137542</c:v>
                </c:pt>
                <c:pt idx="48">
                  <c:v>3.531662787987655</c:v>
                </c:pt>
                <c:pt idx="49">
                  <c:v>3.4942827254283202</c:v>
                </c:pt>
                <c:pt idx="50">
                  <c:v>3.4556681952438622</c:v>
                </c:pt>
                <c:pt idx="51">
                  <c:v>3.4126947413116691</c:v>
                </c:pt>
                <c:pt idx="52">
                  <c:v>3.3740297418211078</c:v>
                </c:pt>
                <c:pt idx="53">
                  <c:v>3.3302290553544118</c:v>
                </c:pt>
                <c:pt idx="54">
                  <c:v>3.2875920634629021</c:v>
                </c:pt>
                <c:pt idx="55">
                  <c:v>3.242481785518895</c:v>
                </c:pt>
                <c:pt idx="56">
                  <c:v>3.1973871704629881</c:v>
                </c:pt>
                <c:pt idx="57">
                  <c:v>3.1465631289505351</c:v>
                </c:pt>
                <c:pt idx="58">
                  <c:v>3.08728866925426</c:v>
                </c:pt>
                <c:pt idx="59">
                  <c:v>3.0272168525322649</c:v>
                </c:pt>
                <c:pt idx="60">
                  <c:v>2.960947172978118</c:v>
                </c:pt>
                <c:pt idx="61">
                  <c:v>2.8941565573678809</c:v>
                </c:pt>
                <c:pt idx="62">
                  <c:v>2.8161031649992929</c:v>
                </c:pt>
                <c:pt idx="63">
                  <c:v>2.738803041526956</c:v>
                </c:pt>
                <c:pt idx="64">
                  <c:v>2.6495997032050389</c:v>
                </c:pt>
                <c:pt idx="65">
                  <c:v>2.5621453873877029</c:v>
                </c:pt>
                <c:pt idx="66">
                  <c:v>2.473083480304477</c:v>
                </c:pt>
                <c:pt idx="67">
                  <c:v>2.4076110754008622</c:v>
                </c:pt>
                <c:pt idx="68">
                  <c:v>2.3018151277857011</c:v>
                </c:pt>
                <c:pt idx="69">
                  <c:v>2.2003368500754208</c:v>
                </c:pt>
                <c:pt idx="70">
                  <c:v>2.0898227684732742</c:v>
                </c:pt>
                <c:pt idx="71">
                  <c:v>1.9800405302706989</c:v>
                </c:pt>
                <c:pt idx="72">
                  <c:v>1.8581110041735951</c:v>
                </c:pt>
                <c:pt idx="73">
                  <c:v>1.7653144562669949</c:v>
                </c:pt>
                <c:pt idx="74">
                  <c:v>1.6463726481771761</c:v>
                </c:pt>
                <c:pt idx="75">
                  <c:v>1.5152230466881349</c:v>
                </c:pt>
                <c:pt idx="76">
                  <c:v>1.394357975687317</c:v>
                </c:pt>
                <c:pt idx="77">
                  <c:v>1.27647790756984</c:v>
                </c:pt>
                <c:pt idx="78">
                  <c:v>1.1475611924909881</c:v>
                </c:pt>
                <c:pt idx="79">
                  <c:v>1.052579755577804</c:v>
                </c:pt>
                <c:pt idx="80">
                  <c:v>0.94079166382323198</c:v>
                </c:pt>
                <c:pt idx="81">
                  <c:v>0.83868880594178741</c:v>
                </c:pt>
                <c:pt idx="82">
                  <c:v>0.72636394121093617</c:v>
                </c:pt>
                <c:pt idx="83">
                  <c:v>0.62995390503643833</c:v>
                </c:pt>
                <c:pt idx="84">
                  <c:v>0.53139642889263528</c:v>
                </c:pt>
                <c:pt idx="85">
                  <c:v>0.45192000512939973</c:v>
                </c:pt>
                <c:pt idx="86">
                  <c:v>0.39120737324664762</c:v>
                </c:pt>
                <c:pt idx="87">
                  <c:v>0.33321338365795528</c:v>
                </c:pt>
                <c:pt idx="88">
                  <c:v>0.28983095431424338</c:v>
                </c:pt>
                <c:pt idx="89">
                  <c:v>0.28648869703098823</c:v>
                </c:pt>
                <c:pt idx="90">
                  <c:v>0.2253306590192089</c:v>
                </c:pt>
                <c:pt idx="91">
                  <c:v>0.18714221740178641</c:v>
                </c:pt>
                <c:pt idx="92">
                  <c:v>0.1680463722935687</c:v>
                </c:pt>
                <c:pt idx="93">
                  <c:v>0.13768328650389111</c:v>
                </c:pt>
                <c:pt idx="94">
                  <c:v>0.1133801315128941</c:v>
                </c:pt>
                <c:pt idx="95">
                  <c:v>8.8652932831918885E-2</c:v>
                </c:pt>
                <c:pt idx="96">
                  <c:v>6.4154023645546149E-2</c:v>
                </c:pt>
                <c:pt idx="97">
                  <c:v>5.7747702275448141E-2</c:v>
                </c:pt>
                <c:pt idx="98">
                  <c:v>5.416205821378195E-2</c:v>
                </c:pt>
                <c:pt idx="99">
                  <c:v>6.8043498731018309E-2</c:v>
                </c:pt>
                <c:pt idx="100">
                  <c:v>3.9575332348044327E-2</c:v>
                </c:pt>
              </c:numCache>
            </c:numRef>
          </c:yVal>
          <c:smooth val="1"/>
          <c:extLst>
            <c:ext xmlns:c16="http://schemas.microsoft.com/office/drawing/2014/chart" uri="{C3380CC4-5D6E-409C-BE32-E72D297353CC}">
              <c16:uniqueId val="{00000002-8F65-4921-8199-C75ED954C0BF}"/>
            </c:ext>
          </c:extLst>
        </c:ser>
        <c:ser>
          <c:idx val="3"/>
          <c:order val="4"/>
          <c:tx>
            <c:v>Left 3</c:v>
          </c:tx>
          <c:spPr>
            <a:ln w="19050">
              <a:solidFill>
                <a:srgbClr val="FF0000"/>
              </a:solidFill>
            </a:ln>
          </c:spPr>
          <c:marker>
            <c:symbol val="none"/>
          </c:marker>
          <c:xVal>
            <c:numRef>
              <c:f>'Left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3 Kin'!$F$2:$F$102</c:f>
              <c:numCache>
                <c:formatCode>General</c:formatCode>
                <c:ptCount val="101"/>
                <c:pt idx="0">
                  <c:v>0.45927358606594682</c:v>
                </c:pt>
                <c:pt idx="1">
                  <c:v>1.079057693879981</c:v>
                </c:pt>
                <c:pt idx="2">
                  <c:v>1.5905001616852541</c:v>
                </c:pt>
                <c:pt idx="3">
                  <c:v>1.5950960507173311</c:v>
                </c:pt>
                <c:pt idx="4">
                  <c:v>1.639395526496451</c:v>
                </c:pt>
                <c:pt idx="5">
                  <c:v>1.506930245742564</c:v>
                </c:pt>
                <c:pt idx="6">
                  <c:v>1.494174639844468</c:v>
                </c:pt>
                <c:pt idx="7">
                  <c:v>1.904193382734525</c:v>
                </c:pt>
                <c:pt idx="8">
                  <c:v>2.2824746712932651</c:v>
                </c:pt>
                <c:pt idx="9">
                  <c:v>2.3864351181905139</c:v>
                </c:pt>
                <c:pt idx="10">
                  <c:v>2.3689381625261419</c:v>
                </c:pt>
                <c:pt idx="11">
                  <c:v>2.3062030906729998</c:v>
                </c:pt>
                <c:pt idx="12">
                  <c:v>2.2712028901145769</c:v>
                </c:pt>
                <c:pt idx="13">
                  <c:v>2.2989291025876848</c:v>
                </c:pt>
                <c:pt idx="14">
                  <c:v>2.4150868210635248</c:v>
                </c:pt>
                <c:pt idx="15">
                  <c:v>2.553931797873032</c:v>
                </c:pt>
                <c:pt idx="16">
                  <c:v>2.6811325775935879</c:v>
                </c:pt>
                <c:pt idx="17">
                  <c:v>2.805109412846746</c:v>
                </c:pt>
                <c:pt idx="18">
                  <c:v>2.9554144027832812</c:v>
                </c:pt>
                <c:pt idx="19">
                  <c:v>3.107881741438165</c:v>
                </c:pt>
                <c:pt idx="20">
                  <c:v>3.250672895888604</c:v>
                </c:pt>
                <c:pt idx="21">
                  <c:v>3.3581391617359611</c:v>
                </c:pt>
                <c:pt idx="22">
                  <c:v>3.4268209260576179</c:v>
                </c:pt>
                <c:pt idx="23">
                  <c:v>3.492143871042122</c:v>
                </c:pt>
                <c:pt idx="24">
                  <c:v>3.5641714022941828</c:v>
                </c:pt>
                <c:pt idx="25">
                  <c:v>3.633173675714938</c:v>
                </c:pt>
                <c:pt idx="26">
                  <c:v>3.7013246421620711</c:v>
                </c:pt>
                <c:pt idx="27">
                  <c:v>3.7680528962733888</c:v>
                </c:pt>
                <c:pt idx="28">
                  <c:v>3.83223593106834</c:v>
                </c:pt>
                <c:pt idx="29">
                  <c:v>3.8873453677704979</c:v>
                </c:pt>
                <c:pt idx="30">
                  <c:v>3.9224222606453192</c:v>
                </c:pt>
                <c:pt idx="31">
                  <c:v>3.940525223674693</c:v>
                </c:pt>
                <c:pt idx="32">
                  <c:v>3.9475669971166409</c:v>
                </c:pt>
                <c:pt idx="33">
                  <c:v>3.9381721647910428</c:v>
                </c:pt>
                <c:pt idx="34">
                  <c:v>3.9186501150943962</c:v>
                </c:pt>
                <c:pt idx="35">
                  <c:v>3.892575757208947</c:v>
                </c:pt>
                <c:pt idx="36">
                  <c:v>3.8681590549808251</c:v>
                </c:pt>
                <c:pt idx="37">
                  <c:v>3.847260701505697</c:v>
                </c:pt>
                <c:pt idx="38">
                  <c:v>3.8312497492249609</c:v>
                </c:pt>
                <c:pt idx="39">
                  <c:v>3.8199014066890231</c:v>
                </c:pt>
                <c:pt idx="40">
                  <c:v>3.800730321707225</c:v>
                </c:pt>
                <c:pt idx="41">
                  <c:v>3.7824206955709658</c:v>
                </c:pt>
                <c:pt idx="42">
                  <c:v>3.7698758824162231</c:v>
                </c:pt>
                <c:pt idx="43">
                  <c:v>3.7552941686746779</c:v>
                </c:pt>
                <c:pt idx="44">
                  <c:v>3.7224303838777919</c:v>
                </c:pt>
                <c:pt idx="45">
                  <c:v>3.6868589498138649</c:v>
                </c:pt>
                <c:pt idx="46">
                  <c:v>3.6514978045253641</c:v>
                </c:pt>
                <c:pt idx="47">
                  <c:v>3.613910498752178</c:v>
                </c:pt>
                <c:pt idx="48">
                  <c:v>3.570738213157151</c:v>
                </c:pt>
                <c:pt idx="49">
                  <c:v>3.5255921136079511</c:v>
                </c:pt>
                <c:pt idx="50">
                  <c:v>3.4833102922067991</c:v>
                </c:pt>
                <c:pt idx="51">
                  <c:v>3.433825717680441</c:v>
                </c:pt>
                <c:pt idx="52">
                  <c:v>3.384831333540939</c:v>
                </c:pt>
                <c:pt idx="53">
                  <c:v>3.338657719526982</c:v>
                </c:pt>
                <c:pt idx="54">
                  <c:v>3.2945173804312859</c:v>
                </c:pt>
                <c:pt idx="55">
                  <c:v>3.2404521362691758</c:v>
                </c:pt>
                <c:pt idx="56">
                  <c:v>3.1839083850918688</c:v>
                </c:pt>
                <c:pt idx="57">
                  <c:v>3.1344513656464281</c:v>
                </c:pt>
                <c:pt idx="58">
                  <c:v>3.081750097989755</c:v>
                </c:pt>
                <c:pt idx="59">
                  <c:v>3.0224269093082792</c:v>
                </c:pt>
                <c:pt idx="60">
                  <c:v>2.9626207815770291</c:v>
                </c:pt>
                <c:pt idx="61">
                  <c:v>2.8965727028841588</c:v>
                </c:pt>
                <c:pt idx="62">
                  <c:v>2.829995276584182</c:v>
                </c:pt>
                <c:pt idx="63">
                  <c:v>2.752107214701101</c:v>
                </c:pt>
                <c:pt idx="64">
                  <c:v>2.6672970264379532</c:v>
                </c:pt>
                <c:pt idx="65">
                  <c:v>2.5838412682949712</c:v>
                </c:pt>
                <c:pt idx="66">
                  <c:v>2.4805998177919202</c:v>
                </c:pt>
                <c:pt idx="67">
                  <c:v>2.3816885206315921</c:v>
                </c:pt>
                <c:pt idx="68">
                  <c:v>2.2801815421001299</c:v>
                </c:pt>
                <c:pt idx="69">
                  <c:v>2.1749254526151249</c:v>
                </c:pt>
                <c:pt idx="70">
                  <c:v>2.068893645544525</c:v>
                </c:pt>
                <c:pt idx="71">
                  <c:v>1.9539991418945419</c:v>
                </c:pt>
                <c:pt idx="72">
                  <c:v>1.839201388484466</c:v>
                </c:pt>
                <c:pt idx="73">
                  <c:v>1.7480088300176071</c:v>
                </c:pt>
                <c:pt idx="74">
                  <c:v>1.637395021385659</c:v>
                </c:pt>
                <c:pt idx="75">
                  <c:v>1.5058965288466339</c:v>
                </c:pt>
                <c:pt idx="76">
                  <c:v>1.384931909532471</c:v>
                </c:pt>
                <c:pt idx="77">
                  <c:v>1.276397272286693</c:v>
                </c:pt>
                <c:pt idx="78">
                  <c:v>1.1669868127468821</c:v>
                </c:pt>
                <c:pt idx="79">
                  <c:v>1.0244137364581649</c:v>
                </c:pt>
                <c:pt idx="80">
                  <c:v>0.91418349150703282</c:v>
                </c:pt>
                <c:pt idx="81">
                  <c:v>0.82855359397160333</c:v>
                </c:pt>
                <c:pt idx="82">
                  <c:v>0.6856233421978255</c:v>
                </c:pt>
                <c:pt idx="83">
                  <c:v>0.57819052459303288</c:v>
                </c:pt>
                <c:pt idx="84">
                  <c:v>0.51866129424425989</c:v>
                </c:pt>
                <c:pt idx="85">
                  <c:v>0.4558879367815824</c:v>
                </c:pt>
                <c:pt idx="86">
                  <c:v>0.40230345626811947</c:v>
                </c:pt>
                <c:pt idx="87">
                  <c:v>0.33852076779355827</c:v>
                </c:pt>
                <c:pt idx="88">
                  <c:v>0.27955905826570149</c:v>
                </c:pt>
                <c:pt idx="89">
                  <c:v>0.25190905734534308</c:v>
                </c:pt>
                <c:pt idx="90">
                  <c:v>0.24360286825611549</c:v>
                </c:pt>
                <c:pt idx="91">
                  <c:v>0.20589461018037311</c:v>
                </c:pt>
                <c:pt idx="92">
                  <c:v>0.1623635284264473</c:v>
                </c:pt>
                <c:pt idx="93">
                  <c:v>0.1114487074250439</c:v>
                </c:pt>
                <c:pt idx="94">
                  <c:v>7.2070763723753845E-2</c:v>
                </c:pt>
                <c:pt idx="95">
                  <c:v>5.7013637820329303E-2</c:v>
                </c:pt>
                <c:pt idx="96">
                  <c:v>5.6412966061666688E-2</c:v>
                </c:pt>
                <c:pt idx="97">
                  <c:v>3.8996530622025877E-2</c:v>
                </c:pt>
                <c:pt idx="98">
                  <c:v>5.2724225389879573E-2</c:v>
                </c:pt>
                <c:pt idx="99">
                  <c:v>8.2115866953667835E-2</c:v>
                </c:pt>
                <c:pt idx="100">
                  <c:v>4.5137397944700022E-2</c:v>
                </c:pt>
              </c:numCache>
            </c:numRef>
          </c:yVal>
          <c:smooth val="1"/>
          <c:extLst>
            <c:ext xmlns:c16="http://schemas.microsoft.com/office/drawing/2014/chart" uri="{C3380CC4-5D6E-409C-BE32-E72D297353CC}">
              <c16:uniqueId val="{00000001-8F65-4921-8199-C75ED954C0BF}"/>
            </c:ext>
          </c:extLst>
        </c:ser>
        <c:ser>
          <c:idx val="2"/>
          <c:order val="5"/>
          <c:tx>
            <c:v>Left 2</c:v>
          </c:tx>
          <c:spPr>
            <a:ln w="19050">
              <a:solidFill>
                <a:srgbClr val="FF0000"/>
              </a:solidFill>
            </a:ln>
          </c:spPr>
          <c:marker>
            <c:symbol val="none"/>
          </c:marker>
          <c:xVal>
            <c:numRef>
              <c:f>'Left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2 Kin'!$F$2:$F$102</c:f>
              <c:numCache>
                <c:formatCode>General</c:formatCode>
                <c:ptCount val="101"/>
                <c:pt idx="0">
                  <c:v>0.30894756725186939</c:v>
                </c:pt>
                <c:pt idx="1">
                  <c:v>1.241156637839347</c:v>
                </c:pt>
                <c:pt idx="2">
                  <c:v>1.4197670352875309</c:v>
                </c:pt>
                <c:pt idx="3">
                  <c:v>1.7384998764390389</c:v>
                </c:pt>
                <c:pt idx="4">
                  <c:v>1.5900501486367511</c:v>
                </c:pt>
                <c:pt idx="5">
                  <c:v>1.4434780101256439</c:v>
                </c:pt>
                <c:pt idx="6">
                  <c:v>1.5941711632080959</c:v>
                </c:pt>
                <c:pt idx="7">
                  <c:v>1.9460019262685431</c:v>
                </c:pt>
                <c:pt idx="8">
                  <c:v>2.224869455842351</c:v>
                </c:pt>
                <c:pt idx="9">
                  <c:v>2.3701119325441531</c:v>
                </c:pt>
                <c:pt idx="10">
                  <c:v>2.364677686556325</c:v>
                </c:pt>
                <c:pt idx="11">
                  <c:v>2.2727645380689152</c:v>
                </c:pt>
                <c:pt idx="12">
                  <c:v>2.2164489139562602</c:v>
                </c:pt>
                <c:pt idx="13">
                  <c:v>2.262594682835815</c:v>
                </c:pt>
                <c:pt idx="14">
                  <c:v>2.3710166749107988</c:v>
                </c:pt>
                <c:pt idx="15">
                  <c:v>2.4877452186418649</c:v>
                </c:pt>
                <c:pt idx="16">
                  <c:v>2.593089163151574</c:v>
                </c:pt>
                <c:pt idx="17">
                  <c:v>2.7178875748963121</c:v>
                </c:pt>
                <c:pt idx="18">
                  <c:v>2.8628493445893759</c:v>
                </c:pt>
                <c:pt idx="19">
                  <c:v>3.005512730480401</c:v>
                </c:pt>
                <c:pt idx="20">
                  <c:v>3.1421348824202822</c:v>
                </c:pt>
                <c:pt idx="21">
                  <c:v>3.246625489581985</c:v>
                </c:pt>
                <c:pt idx="22">
                  <c:v>3.3368367637585332</c:v>
                </c:pt>
                <c:pt idx="23">
                  <c:v>3.4028860026653351</c:v>
                </c:pt>
                <c:pt idx="24">
                  <c:v>3.4745791022510968</c:v>
                </c:pt>
                <c:pt idx="25">
                  <c:v>3.5520239624116239</c:v>
                </c:pt>
                <c:pt idx="26">
                  <c:v>3.619909819974978</c:v>
                </c:pt>
                <c:pt idx="27">
                  <c:v>3.682449991840254</c:v>
                </c:pt>
                <c:pt idx="28">
                  <c:v>3.7495324012547382</c:v>
                </c:pt>
                <c:pt idx="29">
                  <c:v>3.8172749723973181</c:v>
                </c:pt>
                <c:pt idx="30">
                  <c:v>3.8706245095892711</c:v>
                </c:pt>
                <c:pt idx="31">
                  <c:v>3.8989499725589738</c:v>
                </c:pt>
                <c:pt idx="32">
                  <c:v>3.9160903931038611</c:v>
                </c:pt>
                <c:pt idx="33">
                  <c:v>3.9146737718911959</c:v>
                </c:pt>
                <c:pt idx="34">
                  <c:v>3.902736910837548</c:v>
                </c:pt>
                <c:pt idx="35">
                  <c:v>3.882864766586501</c:v>
                </c:pt>
                <c:pt idx="36">
                  <c:v>3.8583790316293411</c:v>
                </c:pt>
                <c:pt idx="37">
                  <c:v>3.8379395427648682</c:v>
                </c:pt>
                <c:pt idx="38">
                  <c:v>3.8188522832397571</c:v>
                </c:pt>
                <c:pt idx="39">
                  <c:v>3.7983884298826842</c:v>
                </c:pt>
                <c:pt idx="40">
                  <c:v>3.7808761607721451</c:v>
                </c:pt>
                <c:pt idx="41">
                  <c:v>3.772248809963481</c:v>
                </c:pt>
                <c:pt idx="42">
                  <c:v>3.7570436262594828</c:v>
                </c:pt>
                <c:pt idx="43">
                  <c:v>3.7373014259689752</c:v>
                </c:pt>
                <c:pt idx="44">
                  <c:v>3.7131127057787632</c:v>
                </c:pt>
                <c:pt idx="45">
                  <c:v>3.683075927257315</c:v>
                </c:pt>
                <c:pt idx="46">
                  <c:v>3.6497290583839161</c:v>
                </c:pt>
                <c:pt idx="47">
                  <c:v>3.608978864401577</c:v>
                </c:pt>
                <c:pt idx="48">
                  <c:v>3.5672268256877571</c:v>
                </c:pt>
                <c:pt idx="49">
                  <c:v>3.519785677951575</c:v>
                </c:pt>
                <c:pt idx="50">
                  <c:v>3.475275810718097</c:v>
                </c:pt>
                <c:pt idx="51">
                  <c:v>3.4296515580015989</c:v>
                </c:pt>
                <c:pt idx="52">
                  <c:v>3.376526522205757</c:v>
                </c:pt>
                <c:pt idx="53">
                  <c:v>3.3278497466305188</c:v>
                </c:pt>
                <c:pt idx="54">
                  <c:v>3.27696624415398</c:v>
                </c:pt>
                <c:pt idx="55">
                  <c:v>3.2233759625708491</c:v>
                </c:pt>
                <c:pt idx="56">
                  <c:v>3.1714911954697969</c:v>
                </c:pt>
                <c:pt idx="57">
                  <c:v>3.119326236703833</c:v>
                </c:pt>
                <c:pt idx="58">
                  <c:v>3.0596274287614209</c:v>
                </c:pt>
                <c:pt idx="59">
                  <c:v>2.9972607088791881</c:v>
                </c:pt>
                <c:pt idx="60">
                  <c:v>2.9404113863571739</c:v>
                </c:pt>
                <c:pt idx="61">
                  <c:v>2.8713479116514331</c:v>
                </c:pt>
                <c:pt idx="62">
                  <c:v>2.7953144517408699</c:v>
                </c:pt>
                <c:pt idx="63">
                  <c:v>2.7191313242329018</c:v>
                </c:pt>
                <c:pt idx="64">
                  <c:v>2.6401915284192059</c:v>
                </c:pt>
                <c:pt idx="65">
                  <c:v>2.5535786577570589</c:v>
                </c:pt>
                <c:pt idx="66">
                  <c:v>2.4554477632712128</c:v>
                </c:pt>
                <c:pt idx="67">
                  <c:v>2.349323162435248</c:v>
                </c:pt>
                <c:pt idx="68">
                  <c:v>2.2681566271901139</c:v>
                </c:pt>
                <c:pt idx="69">
                  <c:v>2.166127618201763</c:v>
                </c:pt>
                <c:pt idx="70">
                  <c:v>2.0463898628621759</c:v>
                </c:pt>
                <c:pt idx="71">
                  <c:v>1.942361133966819</c:v>
                </c:pt>
                <c:pt idx="72">
                  <c:v>1.821505079278529</c:v>
                </c:pt>
                <c:pt idx="73">
                  <c:v>1.707342332418154</c:v>
                </c:pt>
                <c:pt idx="74">
                  <c:v>1.580018203393055</c:v>
                </c:pt>
                <c:pt idx="75">
                  <c:v>1.4806654423656189</c:v>
                </c:pt>
                <c:pt idx="76">
                  <c:v>1.386298818246581</c:v>
                </c:pt>
                <c:pt idx="77">
                  <c:v>1.259421042317123</c:v>
                </c:pt>
                <c:pt idx="78">
                  <c:v>1.140902520529629</c:v>
                </c:pt>
                <c:pt idx="79">
                  <c:v>1.0318668913052771</c:v>
                </c:pt>
                <c:pt idx="80">
                  <c:v>0.90764145121154183</c:v>
                </c:pt>
                <c:pt idx="81">
                  <c:v>0.78668649176607364</c:v>
                </c:pt>
                <c:pt idx="82">
                  <c:v>0.67707112684348747</c:v>
                </c:pt>
                <c:pt idx="83">
                  <c:v>0.59479765352857339</c:v>
                </c:pt>
                <c:pt idx="84">
                  <c:v>0.51322034338011013</c:v>
                </c:pt>
                <c:pt idx="85">
                  <c:v>0.44361852940927621</c:v>
                </c:pt>
                <c:pt idx="86">
                  <c:v>0.38112847878592387</c:v>
                </c:pt>
                <c:pt idx="87">
                  <c:v>0.31869655488063442</c:v>
                </c:pt>
                <c:pt idx="88">
                  <c:v>0.25910448662009411</c:v>
                </c:pt>
                <c:pt idx="89">
                  <c:v>0.2132074676078578</c:v>
                </c:pt>
                <c:pt idx="90">
                  <c:v>0.19358807596219951</c:v>
                </c:pt>
                <c:pt idx="91">
                  <c:v>0.13107820888486399</c:v>
                </c:pt>
                <c:pt idx="92">
                  <c:v>0.11694514407029</c:v>
                </c:pt>
                <c:pt idx="93">
                  <c:v>0.10333490646051779</c:v>
                </c:pt>
                <c:pt idx="94">
                  <c:v>7.098227711626387E-2</c:v>
                </c:pt>
                <c:pt idx="95">
                  <c:v>5.8997951710600537E-2</c:v>
                </c:pt>
                <c:pt idx="96">
                  <c:v>9.257346974492757E-3</c:v>
                </c:pt>
                <c:pt idx="97">
                  <c:v>4.8225614785101553E-2</c:v>
                </c:pt>
                <c:pt idx="98">
                  <c:v>3.9429052575322893E-2</c:v>
                </c:pt>
                <c:pt idx="99">
                  <c:v>1.5236915555073721E-3</c:v>
                </c:pt>
                <c:pt idx="100">
                  <c:v>3.7843132945498043E-2</c:v>
                </c:pt>
              </c:numCache>
            </c:numRef>
          </c:yVal>
          <c:smooth val="1"/>
          <c:extLst>
            <c:ext xmlns:c16="http://schemas.microsoft.com/office/drawing/2014/chart" uri="{C3380CC4-5D6E-409C-BE32-E72D297353CC}">
              <c16:uniqueId val="{00000000-8F65-4921-8199-C75ED954C0BF}"/>
            </c:ext>
          </c:extLst>
        </c:ser>
        <c:ser>
          <c:idx val="0"/>
          <c:order val="6"/>
          <c:tx>
            <c:v>Left 1</c:v>
          </c:tx>
          <c:spPr>
            <a:ln w="19050">
              <a:solidFill>
                <a:srgbClr val="FF0000"/>
              </a:solidFill>
            </a:ln>
          </c:spPr>
          <c:marker>
            <c:symbol val="none"/>
          </c:marker>
          <c:xVal>
            <c:numRef>
              <c:f>'Left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1 Kin'!$F$2:$F$102</c:f>
              <c:numCache>
                <c:formatCode>General</c:formatCode>
                <c:ptCount val="101"/>
                <c:pt idx="0">
                  <c:v>1.207560813740763</c:v>
                </c:pt>
                <c:pt idx="1">
                  <c:v>1.964583822917922</c:v>
                </c:pt>
                <c:pt idx="2">
                  <c:v>1.667781639069414</c:v>
                </c:pt>
                <c:pt idx="3">
                  <c:v>1.644465277136999</c:v>
                </c:pt>
                <c:pt idx="4">
                  <c:v>1.3301219304276961</c:v>
                </c:pt>
                <c:pt idx="5">
                  <c:v>1.599686605085743</c:v>
                </c:pt>
                <c:pt idx="6">
                  <c:v>1.8836526562127061</c:v>
                </c:pt>
                <c:pt idx="7">
                  <c:v>2.146562388562109</c:v>
                </c:pt>
                <c:pt idx="8">
                  <c:v>2.3344732397182941</c:v>
                </c:pt>
                <c:pt idx="9">
                  <c:v>2.437876122388035</c:v>
                </c:pt>
                <c:pt idx="10">
                  <c:v>2.3890965061748761</c:v>
                </c:pt>
                <c:pt idx="11">
                  <c:v>2.3198396383091131</c:v>
                </c:pt>
                <c:pt idx="12">
                  <c:v>2.356852087083654</c:v>
                </c:pt>
                <c:pt idx="13">
                  <c:v>2.4809260830023958</c:v>
                </c:pt>
                <c:pt idx="14">
                  <c:v>2.5962445969862058</c:v>
                </c:pt>
                <c:pt idx="15">
                  <c:v>2.695186974102409</c:v>
                </c:pt>
                <c:pt idx="16">
                  <c:v>2.8252789779396168</c:v>
                </c:pt>
                <c:pt idx="17">
                  <c:v>2.9743427275021919</c:v>
                </c:pt>
                <c:pt idx="18">
                  <c:v>3.1438655155340181</c:v>
                </c:pt>
                <c:pt idx="19">
                  <c:v>3.2826278706087941</c:v>
                </c:pt>
                <c:pt idx="20">
                  <c:v>3.4256673833543489</c:v>
                </c:pt>
                <c:pt idx="21">
                  <c:v>3.5203300720831319</c:v>
                </c:pt>
                <c:pt idx="22">
                  <c:v>3.6394858631275508</c:v>
                </c:pt>
                <c:pt idx="23">
                  <c:v>3.789381442572342</c:v>
                </c:pt>
                <c:pt idx="24">
                  <c:v>3.8557038973577829</c:v>
                </c:pt>
                <c:pt idx="25">
                  <c:v>3.97040983288744</c:v>
                </c:pt>
                <c:pt idx="26">
                  <c:v>4.0567811542599941</c:v>
                </c:pt>
                <c:pt idx="27">
                  <c:v>4.1159412893758081</c:v>
                </c:pt>
                <c:pt idx="28">
                  <c:v>4.1524206923613276</c:v>
                </c:pt>
                <c:pt idx="29">
                  <c:v>4.1702511066350754</c:v>
                </c:pt>
                <c:pt idx="30">
                  <c:v>4.1518030814792386</c:v>
                </c:pt>
                <c:pt idx="31">
                  <c:v>4.1164076881256921</c:v>
                </c:pt>
                <c:pt idx="32">
                  <c:v>4.0693457780676496</c:v>
                </c:pt>
                <c:pt idx="33">
                  <c:v>4.0165189825147216</c:v>
                </c:pt>
                <c:pt idx="34">
                  <c:v>3.978898327842288</c:v>
                </c:pt>
                <c:pt idx="35">
                  <c:v>3.9463200209350489</c:v>
                </c:pt>
                <c:pt idx="36">
                  <c:v>3.9175308277075089</c:v>
                </c:pt>
                <c:pt idx="37">
                  <c:v>3.8777114443585772</c:v>
                </c:pt>
                <c:pt idx="38">
                  <c:v>3.8425341204651482</c:v>
                </c:pt>
                <c:pt idx="39">
                  <c:v>3.8093462154032962</c:v>
                </c:pt>
                <c:pt idx="40">
                  <c:v>3.785610413727329</c:v>
                </c:pt>
                <c:pt idx="41">
                  <c:v>3.7571634908614762</c:v>
                </c:pt>
                <c:pt idx="42">
                  <c:v>3.7139234052647181</c:v>
                </c:pt>
                <c:pt idx="43">
                  <c:v>3.6941083290365202</c:v>
                </c:pt>
                <c:pt idx="44">
                  <c:v>3.6557029999269242</c:v>
                </c:pt>
                <c:pt idx="45">
                  <c:v>3.6091829895404821</c:v>
                </c:pt>
                <c:pt idx="46">
                  <c:v>3.560037415022784</c:v>
                </c:pt>
                <c:pt idx="47">
                  <c:v>3.5182751519236768</c:v>
                </c:pt>
                <c:pt idx="48">
                  <c:v>3.471461317358604</c:v>
                </c:pt>
                <c:pt idx="49">
                  <c:v>3.4187228503426921</c:v>
                </c:pt>
                <c:pt idx="50">
                  <c:v>3.3775836221258131</c:v>
                </c:pt>
                <c:pt idx="51">
                  <c:v>3.335153800934783</c:v>
                </c:pt>
                <c:pt idx="52">
                  <c:v>3.2797287135293729</c:v>
                </c:pt>
                <c:pt idx="53">
                  <c:v>3.2323773373462878</c:v>
                </c:pt>
                <c:pt idx="54">
                  <c:v>3.1909912011017112</c:v>
                </c:pt>
                <c:pt idx="55">
                  <c:v>3.1441783092104578</c:v>
                </c:pt>
                <c:pt idx="56">
                  <c:v>3.0973639670517898</c:v>
                </c:pt>
                <c:pt idx="57">
                  <c:v>3.0386050049087929</c:v>
                </c:pt>
                <c:pt idx="58">
                  <c:v>2.9976398087819218</c:v>
                </c:pt>
                <c:pt idx="59">
                  <c:v>2.9435309115705679</c:v>
                </c:pt>
                <c:pt idx="60">
                  <c:v>2.8760808593659419</c:v>
                </c:pt>
                <c:pt idx="61">
                  <c:v>2.828233883298537</c:v>
                </c:pt>
                <c:pt idx="62">
                  <c:v>2.76920417073151</c:v>
                </c:pt>
                <c:pt idx="63">
                  <c:v>2.6916988489223801</c:v>
                </c:pt>
                <c:pt idx="64">
                  <c:v>2.6003861256481722</c:v>
                </c:pt>
                <c:pt idx="65">
                  <c:v>2.5161964197965978</c:v>
                </c:pt>
                <c:pt idx="66">
                  <c:v>2.4263691474266529</c:v>
                </c:pt>
                <c:pt idx="67">
                  <c:v>2.3410561659527969</c:v>
                </c:pt>
                <c:pt idx="68">
                  <c:v>2.2446415034252412</c:v>
                </c:pt>
                <c:pt idx="69">
                  <c:v>2.1464490305848809</c:v>
                </c:pt>
                <c:pt idx="70">
                  <c:v>2.0394556679367728</c:v>
                </c:pt>
                <c:pt idx="71">
                  <c:v>1.925995541123438</c:v>
                </c:pt>
                <c:pt idx="72">
                  <c:v>1.805728250628162</c:v>
                </c:pt>
                <c:pt idx="73">
                  <c:v>1.69206278770263</c:v>
                </c:pt>
                <c:pt idx="74">
                  <c:v>1.5741524500590149</c:v>
                </c:pt>
                <c:pt idx="75">
                  <c:v>1.461562171888227</c:v>
                </c:pt>
                <c:pt idx="76">
                  <c:v>1.3283556752655641</c:v>
                </c:pt>
                <c:pt idx="77">
                  <c:v>1.2105821340960321</c:v>
                </c:pt>
                <c:pt idx="78">
                  <c:v>1.0952658390213701</c:v>
                </c:pt>
                <c:pt idx="79">
                  <c:v>1.011021226045399</c:v>
                </c:pt>
                <c:pt idx="80">
                  <c:v>0.875640865581096</c:v>
                </c:pt>
                <c:pt idx="81">
                  <c:v>0.80362072344152291</c:v>
                </c:pt>
                <c:pt idx="82">
                  <c:v>0.68146912949703298</c:v>
                </c:pt>
                <c:pt idx="83">
                  <c:v>0.60541018838795779</c:v>
                </c:pt>
                <c:pt idx="84">
                  <c:v>0.52244091157291439</c:v>
                </c:pt>
                <c:pt idx="85">
                  <c:v>0.44856865466944168</c:v>
                </c:pt>
                <c:pt idx="86">
                  <c:v>0.39688556175536133</c:v>
                </c:pt>
                <c:pt idx="87">
                  <c:v>0.33517131718391607</c:v>
                </c:pt>
                <c:pt idx="88">
                  <c:v>0.28033422619994558</c:v>
                </c:pt>
                <c:pt idx="89">
                  <c:v>0.24396867645797521</c:v>
                </c:pt>
                <c:pt idx="90">
                  <c:v>0.1910270487309905</c:v>
                </c:pt>
                <c:pt idx="91">
                  <c:v>0.14460052258222961</c:v>
                </c:pt>
                <c:pt idx="92">
                  <c:v>0.13726485244828029</c:v>
                </c:pt>
                <c:pt idx="93">
                  <c:v>0.1036017890213473</c:v>
                </c:pt>
                <c:pt idx="94">
                  <c:v>5.7379453273525907E-2</c:v>
                </c:pt>
                <c:pt idx="95">
                  <c:v>1.1645103506087251E-2</c:v>
                </c:pt>
                <c:pt idx="96">
                  <c:v>0</c:v>
                </c:pt>
                <c:pt idx="97">
                  <c:v>0</c:v>
                </c:pt>
                <c:pt idx="98">
                  <c:v>0</c:v>
                </c:pt>
                <c:pt idx="99">
                  <c:v>0</c:v>
                </c:pt>
                <c:pt idx="100">
                  <c:v>6.0740244974367308E-2</c:v>
                </c:pt>
              </c:numCache>
            </c:numRef>
          </c:yVal>
          <c:smooth val="1"/>
          <c:extLst>
            <c:ext xmlns:c16="http://schemas.microsoft.com/office/drawing/2014/chart" uri="{C3380CC4-5D6E-409C-BE32-E72D297353CC}">
              <c16:uniqueId val="{00000000-5819-497B-8241-0B9227BFE09F}"/>
            </c:ext>
          </c:extLst>
        </c:ser>
        <c:ser>
          <c:idx val="1"/>
          <c:order val="7"/>
          <c:tx>
            <c:v>Propulsion</c:v>
          </c:tx>
          <c:spPr>
            <a:ln>
              <a:solidFill>
                <a:schemeClr val="accent6"/>
              </a:solidFill>
              <a:prstDash val="sysDot"/>
            </a:ln>
          </c:spPr>
          <c:marker>
            <c:symbol val="none"/>
          </c:marker>
          <c:xVal>
            <c:numRef>
              <c:f>Report!$R$6:$R$7</c:f>
              <c:numCache>
                <c:formatCode>General</c:formatCode>
                <c:ptCount val="2"/>
                <c:pt idx="0">
                  <c:v>11.92660550458716</c:v>
                </c:pt>
                <c:pt idx="1">
                  <c:v>11.92660550458716</c:v>
                </c:pt>
              </c:numCache>
            </c:numRef>
          </c:xVal>
          <c:yVal>
            <c:numRef>
              <c:f>Report!$S$13:$S$14</c:f>
              <c:numCache>
                <c:formatCode>General</c:formatCode>
                <c:ptCount val="2"/>
                <c:pt idx="0">
                  <c:v>-1000</c:v>
                </c:pt>
                <c:pt idx="1">
                  <c:v>1000</c:v>
                </c:pt>
              </c:numCache>
            </c:numRef>
          </c:yVal>
          <c:smooth val="1"/>
          <c:extLst>
            <c:ext xmlns:c16="http://schemas.microsoft.com/office/drawing/2014/chart" uri="{C3380CC4-5D6E-409C-BE32-E72D297353CC}">
              <c16:uniqueId val="{00000000-6B8B-44EF-B17E-746AB4573ED9}"/>
            </c:ext>
          </c:extLst>
        </c:ser>
        <c:dLbls>
          <c:showLegendKey val="0"/>
          <c:showVal val="0"/>
          <c:showCatName val="0"/>
          <c:showSerName val="0"/>
          <c:showPercent val="0"/>
          <c:showBubbleSize val="0"/>
        </c:dLbls>
        <c:axId val="90649728"/>
        <c:axId val="90651264"/>
      </c:scatterChart>
      <c:valAx>
        <c:axId val="90649728"/>
        <c:scaling>
          <c:orientation val="minMax"/>
          <c:max val="100"/>
          <c:min val="0"/>
        </c:scaling>
        <c:delete val="0"/>
        <c:axPos val="b"/>
        <c:title>
          <c:tx>
            <c:rich>
              <a:bodyPr/>
              <a:lstStyle/>
              <a:p>
                <a:pPr>
                  <a:defRPr/>
                </a:pPr>
                <a:r>
                  <a:rPr lang="en-US"/>
                  <a:t>% stance phase</a:t>
                </a:r>
              </a:p>
            </c:rich>
          </c:tx>
          <c:layout>
            <c:manualLayout>
              <c:xMode val="edge"/>
              <c:yMode val="edge"/>
              <c:x val="0.39477293634115673"/>
              <c:y val="0.90393713363116457"/>
            </c:manualLayout>
          </c:layout>
          <c:overlay val="0"/>
        </c:title>
        <c:numFmt formatCode="General" sourceLinked="1"/>
        <c:majorTickMark val="out"/>
        <c:minorTickMark val="none"/>
        <c:tickLblPos val="nextTo"/>
        <c:txPr>
          <a:bodyPr/>
          <a:lstStyle/>
          <a:p>
            <a:pPr>
              <a:defRPr lang="en-US" sz="800"/>
            </a:pPr>
            <a:endParaRPr lang="en-US"/>
          </a:p>
        </c:txPr>
        <c:crossAx val="90651264"/>
        <c:crosses val="autoZero"/>
        <c:crossBetween val="midCat"/>
        <c:majorUnit val="20"/>
      </c:valAx>
      <c:valAx>
        <c:axId val="90651264"/>
        <c:scaling>
          <c:orientation val="minMax"/>
          <c:max val="4.4000000000000004"/>
          <c:min val="0"/>
        </c:scaling>
        <c:delete val="0"/>
        <c:axPos val="l"/>
        <c:title>
          <c:tx>
            <c:rich>
              <a:bodyPr rot="-5400000" vert="horz"/>
              <a:lstStyle/>
              <a:p>
                <a:pPr>
                  <a:defRPr lang="en-AU"/>
                </a:pPr>
                <a:r>
                  <a:rPr lang="en-US"/>
                  <a:t>Force (BW)</a:t>
                </a:r>
                <a:endParaRPr lang="en-US" baseline="0"/>
              </a:p>
            </c:rich>
          </c:tx>
          <c:layout>
            <c:manualLayout>
              <c:xMode val="edge"/>
              <c:yMode val="edge"/>
              <c:x val="4.1869846655020228E-3"/>
              <c:y val="0.35526178714013718"/>
            </c:manualLayout>
          </c:layout>
          <c:overlay val="0"/>
        </c:title>
        <c:numFmt formatCode="0.0" sourceLinked="0"/>
        <c:majorTickMark val="out"/>
        <c:minorTickMark val="none"/>
        <c:tickLblPos val="nextTo"/>
        <c:txPr>
          <a:bodyPr/>
          <a:lstStyle/>
          <a:p>
            <a:pPr>
              <a:defRPr lang="en-US" sz="800"/>
            </a:pPr>
            <a:endParaRPr lang="en-US"/>
          </a:p>
        </c:txPr>
        <c:crossAx val="90649728"/>
        <c:crosses val="autoZero"/>
        <c:crossBetween val="midCat"/>
      </c:valAx>
    </c:plotArea>
    <c:plotVisOnly val="1"/>
    <c:dispBlanksAs val="gap"/>
    <c:showDLblsOverMax val="0"/>
  </c:chart>
  <c:spPr>
    <a:ln>
      <a:solidFill>
        <a:schemeClr val="bg1">
          <a:lumMod val="50000"/>
        </a:schemeClr>
      </a:solidFill>
    </a:ln>
  </c:spPr>
  <c:printSettings>
    <c:headerFooter/>
    <c:pageMargins b="0.75000000000001421" l="0.70000000000000095" r="0.70000000000000095" t="0.75000000000001421" header="0.3000000000000001" footer="0.3000000000000001"/>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US" sz="1200"/>
              <a:t>Ant-Pos</a:t>
            </a:r>
          </a:p>
        </c:rich>
      </c:tx>
      <c:overlay val="0"/>
    </c:title>
    <c:autoTitleDeleted val="0"/>
    <c:plotArea>
      <c:layout>
        <c:manualLayout>
          <c:layoutTarget val="inner"/>
          <c:xMode val="edge"/>
          <c:yMode val="edge"/>
          <c:x val="0.11344097222222223"/>
          <c:y val="3.1454761904761902E-2"/>
          <c:w val="0.84850148809523807"/>
          <c:h val="0.81715436507936512"/>
        </c:manualLayout>
      </c:layout>
      <c:scatterChart>
        <c:scatterStyle val="smoothMarker"/>
        <c:varyColors val="0"/>
        <c:ser>
          <c:idx val="7"/>
          <c:order val="0"/>
          <c:tx>
            <c:v>Normative</c:v>
          </c:tx>
          <c:spPr>
            <a:ln>
              <a:solidFill>
                <a:schemeClr val="tx1"/>
              </a:solidFill>
            </a:ln>
          </c:spPr>
          <c:marker>
            <c:symbol val="none"/>
          </c:marker>
          <c:xVal>
            <c:numRef>
              <c:f>Normative!$A$2:$A$102</c:f>
              <c:numCache>
                <c:formatCode>General</c:formatCode>
                <c:ptCount val="101"/>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numCache>
            </c:numRef>
          </c:xVal>
          <c:yVal>
            <c:numRef>
              <c:f>Normative!$D$2:$D$102</c:f>
              <c:numCache>
                <c:formatCode>General</c:formatCode>
                <c:ptCount val="101"/>
                <c:pt idx="0">
                  <c:v>0</c:v>
                </c:pt>
                <c:pt idx="1">
                  <c:v>-3.8958596651746932E-2</c:v>
                </c:pt>
                <c:pt idx="2">
                  <c:v>-0.22105602436387112</c:v>
                </c:pt>
                <c:pt idx="3">
                  <c:v>-0.53703076466223099</c:v>
                </c:pt>
                <c:pt idx="4">
                  <c:v>-0.95995414936879819</c:v>
                </c:pt>
                <c:pt idx="5">
                  <c:v>-1.1030361711710452</c:v>
                </c:pt>
                <c:pt idx="6">
                  <c:v>-1.0678237924083325</c:v>
                </c:pt>
                <c:pt idx="7">
                  <c:v>-0.79414701002564059</c:v>
                </c:pt>
                <c:pt idx="8">
                  <c:v>-0.40786641693311088</c:v>
                </c:pt>
                <c:pt idx="9">
                  <c:v>-0.1640816939512629</c:v>
                </c:pt>
                <c:pt idx="10">
                  <c:v>-3.6919952612244525E-2</c:v>
                </c:pt>
                <c:pt idx="11">
                  <c:v>-4.0864509538184098E-3</c:v>
                </c:pt>
                <c:pt idx="12">
                  <c:v>6.2154943230380098E-3</c:v>
                </c:pt>
                <c:pt idx="13">
                  <c:v>-1.1621173559482306E-2</c:v>
                </c:pt>
                <c:pt idx="14">
                  <c:v>-3.3982107659546998E-2</c:v>
                </c:pt>
                <c:pt idx="15">
                  <c:v>-7.8816597576278194E-2</c:v>
                </c:pt>
                <c:pt idx="16">
                  <c:v>-9.1411338443946014E-2</c:v>
                </c:pt>
                <c:pt idx="17">
                  <c:v>-8.6256780728410476E-2</c:v>
                </c:pt>
                <c:pt idx="18">
                  <c:v>-5.3065423331980423E-2</c:v>
                </c:pt>
                <c:pt idx="19">
                  <c:v>6.2654952278253708E-3</c:v>
                </c:pt>
                <c:pt idx="20">
                  <c:v>7.850749707503811E-2</c:v>
                </c:pt>
                <c:pt idx="21">
                  <c:v>0.1462506207190449</c:v>
                </c:pt>
                <c:pt idx="22">
                  <c:v>0.21163150830369082</c:v>
                </c:pt>
                <c:pt idx="23">
                  <c:v>0.26071547181737204</c:v>
                </c:pt>
                <c:pt idx="24">
                  <c:v>0.30665207204615846</c:v>
                </c:pt>
                <c:pt idx="25">
                  <c:v>0.36893012256313085</c:v>
                </c:pt>
                <c:pt idx="26">
                  <c:v>0.44967097007597479</c:v>
                </c:pt>
                <c:pt idx="27">
                  <c:v>0.51813757690437945</c:v>
                </c:pt>
                <c:pt idx="28">
                  <c:v>0.5827847879082716</c:v>
                </c:pt>
                <c:pt idx="29">
                  <c:v>0.6453412499065545</c:v>
                </c:pt>
                <c:pt idx="30">
                  <c:v>0.69270299649353029</c:v>
                </c:pt>
                <c:pt idx="31">
                  <c:v>0.72895221364421514</c:v>
                </c:pt>
                <c:pt idx="32">
                  <c:v>0.76845814945107283</c:v>
                </c:pt>
                <c:pt idx="33">
                  <c:v>0.80353073049455648</c:v>
                </c:pt>
                <c:pt idx="34">
                  <c:v>0.83543519836792091</c:v>
                </c:pt>
                <c:pt idx="35">
                  <c:v>0.85482926364680556</c:v>
                </c:pt>
                <c:pt idx="36">
                  <c:v>0.86086192478710222</c:v>
                </c:pt>
                <c:pt idx="37">
                  <c:v>0.85420629578922935</c:v>
                </c:pt>
                <c:pt idx="38">
                  <c:v>0.82989813389274314</c:v>
                </c:pt>
                <c:pt idx="39">
                  <c:v>0.78984520875616693</c:v>
                </c:pt>
                <c:pt idx="40">
                  <c:v>0.73852477207268741</c:v>
                </c:pt>
                <c:pt idx="41">
                  <c:v>0.669509957998771</c:v>
                </c:pt>
                <c:pt idx="42">
                  <c:v>0.58174040544281025</c:v>
                </c:pt>
                <c:pt idx="43">
                  <c:v>0.47492952495577556</c:v>
                </c:pt>
                <c:pt idx="44">
                  <c:v>0.38700825403532402</c:v>
                </c:pt>
                <c:pt idx="45">
                  <c:v>0.3097643493943163</c:v>
                </c:pt>
                <c:pt idx="46">
                  <c:v>0.24169682337598139</c:v>
                </c:pt>
                <c:pt idx="47">
                  <c:v>0.18584422122154759</c:v>
                </c:pt>
                <c:pt idx="48">
                  <c:v>0.13587111109073785</c:v>
                </c:pt>
                <c:pt idx="49">
                  <c:v>9.2624576679605178E-2</c:v>
                </c:pt>
                <c:pt idx="50">
                  <c:v>5.1738498439326139E-2</c:v>
                </c:pt>
              </c:numCache>
            </c:numRef>
          </c:yVal>
          <c:smooth val="1"/>
          <c:extLst>
            <c:ext xmlns:c16="http://schemas.microsoft.com/office/drawing/2014/chart" uri="{C3380CC4-5D6E-409C-BE32-E72D297353CC}">
              <c16:uniqueId val="{00000002-1B9D-4E43-9749-C2171D243030}"/>
            </c:ext>
          </c:extLst>
        </c:ser>
        <c:ser>
          <c:idx val="6"/>
          <c:order val="1"/>
          <c:tx>
            <c:v>Right 3</c:v>
          </c:tx>
          <c:spPr>
            <a:ln w="19050">
              <a:solidFill>
                <a:srgbClr val="00B050"/>
              </a:solidFill>
            </a:ln>
          </c:spPr>
          <c:marker>
            <c:symbol val="none"/>
          </c:marker>
          <c:xVal>
            <c:numRef>
              <c:f>'Right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3 Kin'!$D$2:$D$102</c:f>
              <c:numCache>
                <c:formatCode>General</c:formatCode>
                <c:ptCount val="101"/>
                <c:pt idx="0">
                  <c:v>2.1635814456536291E-2</c:v>
                </c:pt>
                <c:pt idx="1">
                  <c:v>-1.73395695262329E-2</c:v>
                </c:pt>
                <c:pt idx="2">
                  <c:v>-5.6565752314126527E-2</c:v>
                </c:pt>
                <c:pt idx="3">
                  <c:v>-0.117059315502512</c:v>
                </c:pt>
                <c:pt idx="4">
                  <c:v>-0.37458505203478332</c:v>
                </c:pt>
                <c:pt idx="5">
                  <c:v>-0.54943381082942488</c:v>
                </c:pt>
                <c:pt idx="6">
                  <c:v>-0.53495070367007802</c:v>
                </c:pt>
                <c:pt idx="7">
                  <c:v>-0.49675347923317997</c:v>
                </c:pt>
                <c:pt idx="8">
                  <c:v>-0.47869887392054972</c:v>
                </c:pt>
                <c:pt idx="9">
                  <c:v>-0.41418505633212088</c:v>
                </c:pt>
                <c:pt idx="10">
                  <c:v>-0.24494384352032339</c:v>
                </c:pt>
                <c:pt idx="11">
                  <c:v>-5.4375363545434888E-2</c:v>
                </c:pt>
                <c:pt idx="12">
                  <c:v>2.338575933119371E-2</c:v>
                </c:pt>
                <c:pt idx="13">
                  <c:v>8.1532908761232856E-2</c:v>
                </c:pt>
                <c:pt idx="14">
                  <c:v>0.11929832477640299</c:v>
                </c:pt>
                <c:pt idx="15">
                  <c:v>0.13383804457462939</c:v>
                </c:pt>
                <c:pt idx="16">
                  <c:v>0.1206034088225819</c:v>
                </c:pt>
                <c:pt idx="17">
                  <c:v>9.3822480651700832E-2</c:v>
                </c:pt>
                <c:pt idx="18">
                  <c:v>7.2890417160738838E-2</c:v>
                </c:pt>
                <c:pt idx="19">
                  <c:v>6.7554819522810575E-2</c:v>
                </c:pt>
                <c:pt idx="20">
                  <c:v>7.3000109587070913E-2</c:v>
                </c:pt>
                <c:pt idx="21">
                  <c:v>9.2439244594968897E-2</c:v>
                </c:pt>
                <c:pt idx="22">
                  <c:v>0.11411121131766951</c:v>
                </c:pt>
                <c:pt idx="23">
                  <c:v>0.13330254783367479</c:v>
                </c:pt>
                <c:pt idx="24">
                  <c:v>0.14313085928906519</c:v>
                </c:pt>
                <c:pt idx="25">
                  <c:v>0.14157147955296659</c:v>
                </c:pt>
                <c:pt idx="26">
                  <c:v>0.13308680025169181</c:v>
                </c:pt>
                <c:pt idx="27">
                  <c:v>0.1205759813651967</c:v>
                </c:pt>
                <c:pt idx="28">
                  <c:v>0.1116669480167161</c:v>
                </c:pt>
                <c:pt idx="29">
                  <c:v>0.1091618546992353</c:v>
                </c:pt>
                <c:pt idx="30">
                  <c:v>0.1145308374930968</c:v>
                </c:pt>
                <c:pt idx="31">
                  <c:v>0.1295351011491816</c:v>
                </c:pt>
                <c:pt idx="32">
                  <c:v>0.15114452653980309</c:v>
                </c:pt>
                <c:pt idx="33">
                  <c:v>0.1753839712831827</c:v>
                </c:pt>
                <c:pt idx="34">
                  <c:v>0.1997904056179946</c:v>
                </c:pt>
                <c:pt idx="35">
                  <c:v>0.22410199246375229</c:v>
                </c:pt>
                <c:pt idx="36">
                  <c:v>0.2461875928569143</c:v>
                </c:pt>
                <c:pt idx="37">
                  <c:v>0.26888781658128791</c:v>
                </c:pt>
                <c:pt idx="38">
                  <c:v>0.29098322078218691</c:v>
                </c:pt>
                <c:pt idx="39">
                  <c:v>0.31239299655915109</c:v>
                </c:pt>
                <c:pt idx="40">
                  <c:v>0.32924580006995258</c:v>
                </c:pt>
                <c:pt idx="41">
                  <c:v>0.34122680726376658</c:v>
                </c:pt>
                <c:pt idx="42">
                  <c:v>0.34768200554634338</c:v>
                </c:pt>
                <c:pt idx="43">
                  <c:v>0.35234316502372431</c:v>
                </c:pt>
                <c:pt idx="44">
                  <c:v>0.3570007858486085</c:v>
                </c:pt>
                <c:pt idx="45">
                  <c:v>0.36357624030538072</c:v>
                </c:pt>
                <c:pt idx="46">
                  <c:v>0.37317132555588178</c:v>
                </c:pt>
                <c:pt idx="47">
                  <c:v>0.38556455676022833</c:v>
                </c:pt>
                <c:pt idx="48">
                  <c:v>0.40296776576102827</c:v>
                </c:pt>
                <c:pt idx="49">
                  <c:v>0.4234744310122443</c:v>
                </c:pt>
                <c:pt idx="50">
                  <c:v>0.4452915579012206</c:v>
                </c:pt>
                <c:pt idx="51">
                  <c:v>0.46544000710050359</c:v>
                </c:pt>
                <c:pt idx="52">
                  <c:v>0.48530553813213012</c:v>
                </c:pt>
                <c:pt idx="53">
                  <c:v>0.5022282445324181</c:v>
                </c:pt>
                <c:pt idx="54">
                  <c:v>0.51800222311725996</c:v>
                </c:pt>
                <c:pt idx="55">
                  <c:v>0.53401485770819945</c:v>
                </c:pt>
                <c:pt idx="56">
                  <c:v>0.55083453711120256</c:v>
                </c:pt>
                <c:pt idx="57">
                  <c:v>0.56624565878837774</c:v>
                </c:pt>
                <c:pt idx="58">
                  <c:v>0.58033750120189886</c:v>
                </c:pt>
                <c:pt idx="59">
                  <c:v>0.59380236400581787</c:v>
                </c:pt>
                <c:pt idx="60">
                  <c:v>0.60645861570886306</c:v>
                </c:pt>
                <c:pt idx="61">
                  <c:v>0.61846537965199833</c:v>
                </c:pt>
                <c:pt idx="62">
                  <c:v>0.63070018364374092</c:v>
                </c:pt>
                <c:pt idx="63">
                  <c:v>0.67998883864423765</c:v>
                </c:pt>
                <c:pt idx="64">
                  <c:v>0.68956063840109572</c:v>
                </c:pt>
                <c:pt idx="65">
                  <c:v>0.70885732814332225</c:v>
                </c:pt>
                <c:pt idx="66">
                  <c:v>0.7432140878318293</c:v>
                </c:pt>
                <c:pt idx="67">
                  <c:v>0.75262586508192475</c:v>
                </c:pt>
                <c:pt idx="68">
                  <c:v>0.75563413738124574</c:v>
                </c:pt>
                <c:pt idx="69">
                  <c:v>0.75517519155561597</c:v>
                </c:pt>
                <c:pt idx="70">
                  <c:v>0.75237576356537439</c:v>
                </c:pt>
                <c:pt idx="71">
                  <c:v>0.74590701978512519</c:v>
                </c:pt>
                <c:pt idx="72">
                  <c:v>0.73419456731047228</c:v>
                </c:pt>
                <c:pt idx="73">
                  <c:v>0.75131258992537608</c:v>
                </c:pt>
                <c:pt idx="74">
                  <c:v>0.74172857891686894</c:v>
                </c:pt>
                <c:pt idx="75">
                  <c:v>0.71681802002586137</c:v>
                </c:pt>
                <c:pt idx="76">
                  <c:v>0.68818303518301005</c:v>
                </c:pt>
                <c:pt idx="77">
                  <c:v>0.63009588621653534</c:v>
                </c:pt>
                <c:pt idx="78">
                  <c:v>0.52588393923735355</c:v>
                </c:pt>
                <c:pt idx="79">
                  <c:v>0.51069879822905384</c:v>
                </c:pt>
                <c:pt idx="80">
                  <c:v>0.51595360436973059</c:v>
                </c:pt>
                <c:pt idx="81">
                  <c:v>0.47517061113949371</c:v>
                </c:pt>
                <c:pt idx="82">
                  <c:v>0.38895746898381528</c:v>
                </c:pt>
                <c:pt idx="83">
                  <c:v>0.29423434326097442</c:v>
                </c:pt>
                <c:pt idx="84">
                  <c:v>0.22234455840815459</c:v>
                </c:pt>
                <c:pt idx="85">
                  <c:v>0.165725538351918</c:v>
                </c:pt>
                <c:pt idx="86">
                  <c:v>0.1193265295771235</c:v>
                </c:pt>
                <c:pt idx="87">
                  <c:v>8.7070186387201598E-2</c:v>
                </c:pt>
                <c:pt idx="88">
                  <c:v>7.2230794932120784E-2</c:v>
                </c:pt>
                <c:pt idx="89">
                  <c:v>5.9763362245664711E-2</c:v>
                </c:pt>
                <c:pt idx="90">
                  <c:v>3.1059449093031152E-2</c:v>
                </c:pt>
                <c:pt idx="91">
                  <c:v>2.3975751320599519E-2</c:v>
                </c:pt>
                <c:pt idx="92">
                  <c:v>1.8608445035871769E-2</c:v>
                </c:pt>
                <c:pt idx="93">
                  <c:v>8.1899774208039327E-3</c:v>
                </c:pt>
                <c:pt idx="94">
                  <c:v>8.8014119040192597E-4</c:v>
                </c:pt>
                <c:pt idx="95">
                  <c:v>-9.871274177343718E-4</c:v>
                </c:pt>
                <c:pt idx="96">
                  <c:v>0</c:v>
                </c:pt>
                <c:pt idx="97">
                  <c:v>0</c:v>
                </c:pt>
                <c:pt idx="98">
                  <c:v>-1.533501164314505E-3</c:v>
                </c:pt>
                <c:pt idx="99">
                  <c:v>-1.3839465137340261E-3</c:v>
                </c:pt>
                <c:pt idx="100">
                  <c:v>-1.3686608691937529E-2</c:v>
                </c:pt>
              </c:numCache>
            </c:numRef>
          </c:yVal>
          <c:smooth val="1"/>
          <c:extLst>
            <c:ext xmlns:c16="http://schemas.microsoft.com/office/drawing/2014/chart" uri="{C3380CC4-5D6E-409C-BE32-E72D297353CC}">
              <c16:uniqueId val="{00000004-D51E-4253-8D55-D6A4FEBE3152}"/>
            </c:ext>
          </c:extLst>
        </c:ser>
        <c:ser>
          <c:idx val="5"/>
          <c:order val="2"/>
          <c:tx>
            <c:v>Right 2</c:v>
          </c:tx>
          <c:spPr>
            <a:ln w="19050">
              <a:solidFill>
                <a:srgbClr val="00B050"/>
              </a:solidFill>
            </a:ln>
          </c:spPr>
          <c:marker>
            <c:symbol val="none"/>
          </c:marker>
          <c:xVal>
            <c:numRef>
              <c:f>'Right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2 Kin'!$D$2:$D$102</c:f>
              <c:numCache>
                <c:formatCode>General</c:formatCode>
                <c:ptCount val="101"/>
                <c:pt idx="0">
                  <c:v>3.2285128097609188E-2</c:v>
                </c:pt>
                <c:pt idx="1">
                  <c:v>-7.4450068096844485E-2</c:v>
                </c:pt>
                <c:pt idx="2">
                  <c:v>-3.1223346714331052E-2</c:v>
                </c:pt>
                <c:pt idx="3">
                  <c:v>-0.30328883988162098</c:v>
                </c:pt>
                <c:pt idx="4">
                  <c:v>-0.53355587127508197</c:v>
                </c:pt>
                <c:pt idx="5">
                  <c:v>-0.62206563225735345</c:v>
                </c:pt>
                <c:pt idx="6">
                  <c:v>-0.62327783102629297</c:v>
                </c:pt>
                <c:pt idx="7">
                  <c:v>-0.60768461957334241</c:v>
                </c:pt>
                <c:pt idx="8">
                  <c:v>-0.59237233072008288</c:v>
                </c:pt>
                <c:pt idx="9">
                  <c:v>-0.5573904666177435</c:v>
                </c:pt>
                <c:pt idx="10">
                  <c:v>-0.35701560758160722</c:v>
                </c:pt>
                <c:pt idx="11">
                  <c:v>-0.10053403066831371</c:v>
                </c:pt>
                <c:pt idx="12">
                  <c:v>2.5920444485152499E-2</c:v>
                </c:pt>
                <c:pt idx="13">
                  <c:v>8.3231277775748971E-2</c:v>
                </c:pt>
                <c:pt idx="14">
                  <c:v>0.1111818625711672</c:v>
                </c:pt>
                <c:pt idx="15">
                  <c:v>0.1116200565203309</c:v>
                </c:pt>
                <c:pt idx="16">
                  <c:v>8.1515517154371345E-2</c:v>
                </c:pt>
                <c:pt idx="17">
                  <c:v>3.9214955397660393E-2</c:v>
                </c:pt>
                <c:pt idx="18">
                  <c:v>1.591037333485076E-2</c:v>
                </c:pt>
                <c:pt idx="19">
                  <c:v>1.7925506857994961E-2</c:v>
                </c:pt>
                <c:pt idx="20">
                  <c:v>3.4723955796284678E-2</c:v>
                </c:pt>
                <c:pt idx="21">
                  <c:v>6.1540270492134098E-2</c:v>
                </c:pt>
                <c:pt idx="22">
                  <c:v>8.2687301321208773E-2</c:v>
                </c:pt>
                <c:pt idx="23">
                  <c:v>9.9584448208544188E-2</c:v>
                </c:pt>
                <c:pt idx="24">
                  <c:v>0.10741219987806119</c:v>
                </c:pt>
                <c:pt idx="25">
                  <c:v>0.1035702674590446</c:v>
                </c:pt>
                <c:pt idx="26">
                  <c:v>9.3222499220328547E-2</c:v>
                </c:pt>
                <c:pt idx="27">
                  <c:v>8.441610274719763E-2</c:v>
                </c:pt>
                <c:pt idx="28">
                  <c:v>8.1961352562553866E-2</c:v>
                </c:pt>
                <c:pt idx="29">
                  <c:v>8.7451882268611794E-2</c:v>
                </c:pt>
                <c:pt idx="30">
                  <c:v>9.9409087673582489E-2</c:v>
                </c:pt>
                <c:pt idx="31">
                  <c:v>0.11886075879303069</c:v>
                </c:pt>
                <c:pt idx="32">
                  <c:v>0.1462976980266622</c:v>
                </c:pt>
                <c:pt idx="33">
                  <c:v>0.17598113339469679</c:v>
                </c:pt>
                <c:pt idx="34">
                  <c:v>0.20627750978373929</c:v>
                </c:pt>
                <c:pt idx="35">
                  <c:v>0.2350699298562815</c:v>
                </c:pt>
                <c:pt idx="36">
                  <c:v>0.26159128916491559</c:v>
                </c:pt>
                <c:pt idx="37">
                  <c:v>0.28769843759665681</c:v>
                </c:pt>
                <c:pt idx="38">
                  <c:v>0.30868866551263408</c:v>
                </c:pt>
                <c:pt idx="39">
                  <c:v>0.32298962198497411</c:v>
                </c:pt>
                <c:pt idx="40">
                  <c:v>0.33075842898560542</c:v>
                </c:pt>
                <c:pt idx="41">
                  <c:v>0.33510309660463261</c:v>
                </c:pt>
                <c:pt idx="42">
                  <c:v>0.34160326767980231</c:v>
                </c:pt>
                <c:pt idx="43">
                  <c:v>0.35050219556492312</c:v>
                </c:pt>
                <c:pt idx="44">
                  <c:v>0.36518684928770812</c:v>
                </c:pt>
                <c:pt idx="45">
                  <c:v>0.38260164592516782</c:v>
                </c:pt>
                <c:pt idx="46">
                  <c:v>0.40336423986741488</c:v>
                </c:pt>
                <c:pt idx="47">
                  <c:v>0.42577874640801783</c:v>
                </c:pt>
                <c:pt idx="48">
                  <c:v>0.44854404363138017</c:v>
                </c:pt>
                <c:pt idx="49">
                  <c:v>0.47101128189525537</c:v>
                </c:pt>
                <c:pt idx="50">
                  <c:v>0.49096555479011189</c:v>
                </c:pt>
                <c:pt idx="51">
                  <c:v>0.50985557794654712</c:v>
                </c:pt>
                <c:pt idx="52">
                  <c:v>0.52836989482600327</c:v>
                </c:pt>
                <c:pt idx="53">
                  <c:v>0.54351412379047692</c:v>
                </c:pt>
                <c:pt idx="54">
                  <c:v>0.55871183861727969</c:v>
                </c:pt>
                <c:pt idx="55">
                  <c:v>0.57129978272499682</c:v>
                </c:pt>
                <c:pt idx="56">
                  <c:v>0.58400261701746736</c:v>
                </c:pt>
                <c:pt idx="57">
                  <c:v>0.59463193147086357</c:v>
                </c:pt>
                <c:pt idx="58">
                  <c:v>0.6049493224082686</c:v>
                </c:pt>
                <c:pt idx="59">
                  <c:v>0.61540076156300239</c:v>
                </c:pt>
                <c:pt idx="60">
                  <c:v>0.62631683739270916</c:v>
                </c:pt>
                <c:pt idx="61">
                  <c:v>0.63737693927957195</c:v>
                </c:pt>
                <c:pt idx="62">
                  <c:v>0.67702333183050145</c:v>
                </c:pt>
                <c:pt idx="63">
                  <c:v>0.69826735074333734</c:v>
                </c:pt>
                <c:pt idx="64">
                  <c:v>0.71370408704362698</c:v>
                </c:pt>
                <c:pt idx="65">
                  <c:v>0.7298258890640934</c:v>
                </c:pt>
                <c:pt idx="66">
                  <c:v>0.77607744625009434</c:v>
                </c:pt>
                <c:pt idx="67">
                  <c:v>0.81000133882165948</c:v>
                </c:pt>
                <c:pt idx="68">
                  <c:v>0.81266984247058816</c:v>
                </c:pt>
                <c:pt idx="69">
                  <c:v>0.80635070682678189</c:v>
                </c:pt>
                <c:pt idx="70">
                  <c:v>0.79508574741596871</c:v>
                </c:pt>
                <c:pt idx="71">
                  <c:v>0.77932206863032016</c:v>
                </c:pt>
                <c:pt idx="72">
                  <c:v>0.76560998164040583</c:v>
                </c:pt>
                <c:pt idx="73">
                  <c:v>0.75075541313680871</c:v>
                </c:pt>
                <c:pt idx="74">
                  <c:v>0.72632498992865635</c:v>
                </c:pt>
                <c:pt idx="75">
                  <c:v>0.67810864235234891</c:v>
                </c:pt>
                <c:pt idx="76">
                  <c:v>0.60458105890367231</c:v>
                </c:pt>
                <c:pt idx="77">
                  <c:v>0.61360920561562404</c:v>
                </c:pt>
                <c:pt idx="78">
                  <c:v>0.60011425846441258</c:v>
                </c:pt>
                <c:pt idx="79">
                  <c:v>0.56294148262695121</c:v>
                </c:pt>
                <c:pt idx="80">
                  <c:v>0.4657820091627165</c:v>
                </c:pt>
                <c:pt idx="81">
                  <c:v>0.40712338087041261</c:v>
                </c:pt>
                <c:pt idx="82">
                  <c:v>0.3173348697977153</c:v>
                </c:pt>
                <c:pt idx="83">
                  <c:v>0.26453647773214328</c:v>
                </c:pt>
                <c:pt idx="84">
                  <c:v>0.21117628107467851</c:v>
                </c:pt>
                <c:pt idx="85">
                  <c:v>0.15448124525179341</c:v>
                </c:pt>
                <c:pt idx="86">
                  <c:v>0.1084595917080303</c:v>
                </c:pt>
                <c:pt idx="87">
                  <c:v>8.3915998332281014E-2</c:v>
                </c:pt>
                <c:pt idx="88">
                  <c:v>6.6978390434285995E-2</c:v>
                </c:pt>
                <c:pt idx="89">
                  <c:v>4.7578138546098048E-2</c:v>
                </c:pt>
                <c:pt idx="90">
                  <c:v>4.4372193347609008E-2</c:v>
                </c:pt>
                <c:pt idx="91">
                  <c:v>4.4397826824199717E-2</c:v>
                </c:pt>
                <c:pt idx="92">
                  <c:v>2.9283972550555589E-2</c:v>
                </c:pt>
                <c:pt idx="93">
                  <c:v>1.045599614150281E-2</c:v>
                </c:pt>
                <c:pt idx="94">
                  <c:v>6.2432640337394766E-4</c:v>
                </c:pt>
                <c:pt idx="95">
                  <c:v>4.0655252225903641E-3</c:v>
                </c:pt>
                <c:pt idx="96">
                  <c:v>5.5236746977069019E-3</c:v>
                </c:pt>
                <c:pt idx="97">
                  <c:v>-5.2357945851110672E-4</c:v>
                </c:pt>
                <c:pt idx="98">
                  <c:v>-4.8037216346062846E-3</c:v>
                </c:pt>
                <c:pt idx="99">
                  <c:v>-5.4651189905423562E-3</c:v>
                </c:pt>
                <c:pt idx="100">
                  <c:v>-5.7348649593594722E-3</c:v>
                </c:pt>
              </c:numCache>
            </c:numRef>
          </c:yVal>
          <c:smooth val="1"/>
          <c:extLst>
            <c:ext xmlns:c16="http://schemas.microsoft.com/office/drawing/2014/chart" uri="{C3380CC4-5D6E-409C-BE32-E72D297353CC}">
              <c16:uniqueId val="{00000003-D51E-4253-8D55-D6A4FEBE3152}"/>
            </c:ext>
          </c:extLst>
        </c:ser>
        <c:ser>
          <c:idx val="4"/>
          <c:order val="3"/>
          <c:tx>
            <c:v>Right 1</c:v>
          </c:tx>
          <c:spPr>
            <a:ln w="19050">
              <a:solidFill>
                <a:srgbClr val="00B050"/>
              </a:solidFill>
            </a:ln>
          </c:spPr>
          <c:marker>
            <c:symbol val="none"/>
          </c:marker>
          <c:xVal>
            <c:numRef>
              <c:f>'Right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1 Kin'!$D$2:$D$102</c:f>
              <c:numCache>
                <c:formatCode>General</c:formatCode>
                <c:ptCount val="101"/>
                <c:pt idx="0">
                  <c:v>-3.3584857756485613E-2</c:v>
                </c:pt>
                <c:pt idx="1">
                  <c:v>-8.6814413744944835E-2</c:v>
                </c:pt>
                <c:pt idx="2">
                  <c:v>-7.0862828450966253E-2</c:v>
                </c:pt>
                <c:pt idx="3">
                  <c:v>-0.24160822266076731</c:v>
                </c:pt>
                <c:pt idx="4">
                  <c:v>-0.55122965376728716</c:v>
                </c:pt>
                <c:pt idx="5">
                  <c:v>-0.56712687027613329</c:v>
                </c:pt>
                <c:pt idx="6">
                  <c:v>-0.56498077035392091</c:v>
                </c:pt>
                <c:pt idx="7">
                  <c:v>-0.54445357221661872</c:v>
                </c:pt>
                <c:pt idx="8">
                  <c:v>-0.47473944663649892</c:v>
                </c:pt>
                <c:pt idx="9">
                  <c:v>-0.32118033216762398</c:v>
                </c:pt>
                <c:pt idx="10">
                  <c:v>-8.5619872561910962E-2</c:v>
                </c:pt>
                <c:pt idx="11">
                  <c:v>1.6989404198783649E-2</c:v>
                </c:pt>
                <c:pt idx="12">
                  <c:v>5.7945254802420798E-2</c:v>
                </c:pt>
                <c:pt idx="13">
                  <c:v>7.9116157033174886E-2</c:v>
                </c:pt>
                <c:pt idx="14">
                  <c:v>7.3242756729099384E-2</c:v>
                </c:pt>
                <c:pt idx="15">
                  <c:v>3.9068942474143498E-2</c:v>
                </c:pt>
                <c:pt idx="16">
                  <c:v>6.1011984480775598E-3</c:v>
                </c:pt>
                <c:pt idx="17">
                  <c:v>-8.3523989599270584E-3</c:v>
                </c:pt>
                <c:pt idx="18">
                  <c:v>1.5787524082514399E-3</c:v>
                </c:pt>
                <c:pt idx="19">
                  <c:v>3.3296773736290787E-2</c:v>
                </c:pt>
                <c:pt idx="20">
                  <c:v>6.1327400240705987E-2</c:v>
                </c:pt>
                <c:pt idx="21">
                  <c:v>8.5539986031527723E-2</c:v>
                </c:pt>
                <c:pt idx="22">
                  <c:v>0.1012261364216122</c:v>
                </c:pt>
                <c:pt idx="23">
                  <c:v>9.7711262509347599E-2</c:v>
                </c:pt>
                <c:pt idx="24">
                  <c:v>8.6358847622503052E-2</c:v>
                </c:pt>
                <c:pt idx="25">
                  <c:v>7.5489537115916175E-2</c:v>
                </c:pt>
                <c:pt idx="26">
                  <c:v>7.0790865021534005E-2</c:v>
                </c:pt>
                <c:pt idx="27">
                  <c:v>7.3045882927277844E-2</c:v>
                </c:pt>
                <c:pt idx="28">
                  <c:v>7.6728161207455958E-2</c:v>
                </c:pt>
                <c:pt idx="29">
                  <c:v>7.6450292870944722E-2</c:v>
                </c:pt>
                <c:pt idx="30">
                  <c:v>9.5315432339043424E-2</c:v>
                </c:pt>
                <c:pt idx="31">
                  <c:v>0.1173799168386178</c:v>
                </c:pt>
                <c:pt idx="32">
                  <c:v>0.1436406920978133</c:v>
                </c:pt>
                <c:pt idx="33">
                  <c:v>0.17029591108901221</c:v>
                </c:pt>
                <c:pt idx="34">
                  <c:v>0.19706187250015239</c:v>
                </c:pt>
                <c:pt idx="35">
                  <c:v>0.2235575620755105</c:v>
                </c:pt>
                <c:pt idx="36">
                  <c:v>0.24630866118086309</c:v>
                </c:pt>
                <c:pt idx="37">
                  <c:v>0.26253074339212717</c:v>
                </c:pt>
                <c:pt idx="38">
                  <c:v>0.27442534365325227</c:v>
                </c:pt>
                <c:pt idx="39">
                  <c:v>0.28182684142524761</c:v>
                </c:pt>
                <c:pt idx="40">
                  <c:v>0.29286323143984672</c:v>
                </c:pt>
                <c:pt idx="41">
                  <c:v>0.30664927046587531</c:v>
                </c:pt>
                <c:pt idx="42">
                  <c:v>0.32412664614236719</c:v>
                </c:pt>
                <c:pt idx="43">
                  <c:v>0.34487509997730098</c:v>
                </c:pt>
                <c:pt idx="44">
                  <c:v>0.36779158757885799</c:v>
                </c:pt>
                <c:pt idx="45">
                  <c:v>0.39186080573393101</c:v>
                </c:pt>
                <c:pt idx="46">
                  <c:v>0.41403394426836693</c:v>
                </c:pt>
                <c:pt idx="47">
                  <c:v>0.43451253234239512</c:v>
                </c:pt>
                <c:pt idx="48">
                  <c:v>0.45244595911075269</c:v>
                </c:pt>
                <c:pt idx="49">
                  <c:v>0.46981392661332633</c:v>
                </c:pt>
                <c:pt idx="50">
                  <c:v>0.48407170862467008</c:v>
                </c:pt>
                <c:pt idx="51">
                  <c:v>0.50202996397120236</c:v>
                </c:pt>
                <c:pt idx="52">
                  <c:v>0.51791433691180577</c:v>
                </c:pt>
                <c:pt idx="53">
                  <c:v>0.5327889176554863</c:v>
                </c:pt>
                <c:pt idx="54">
                  <c:v>0.54602179568342479</c:v>
                </c:pt>
                <c:pt idx="55">
                  <c:v>0.55724234065460054</c:v>
                </c:pt>
                <c:pt idx="56">
                  <c:v>0.56893799323149818</c:v>
                </c:pt>
                <c:pt idx="57">
                  <c:v>0.58201244404683261</c:v>
                </c:pt>
                <c:pt idx="58">
                  <c:v>0.59613642438630865</c:v>
                </c:pt>
                <c:pt idx="59">
                  <c:v>0.60922091105216658</c:v>
                </c:pt>
                <c:pt idx="60">
                  <c:v>0.62286288051301719</c:v>
                </c:pt>
                <c:pt idx="61">
                  <c:v>0.63352785704219083</c:v>
                </c:pt>
                <c:pt idx="62">
                  <c:v>0.64755246505827213</c:v>
                </c:pt>
                <c:pt idx="63">
                  <c:v>0.6550027788315147</c:v>
                </c:pt>
                <c:pt idx="64">
                  <c:v>0.66193082230264311</c:v>
                </c:pt>
                <c:pt idx="65">
                  <c:v>0.66782900187580085</c:v>
                </c:pt>
                <c:pt idx="66">
                  <c:v>0.70282706401491823</c:v>
                </c:pt>
                <c:pt idx="67">
                  <c:v>0.67154798642429669</c:v>
                </c:pt>
                <c:pt idx="68">
                  <c:v>0.70566463403821966</c:v>
                </c:pt>
                <c:pt idx="69">
                  <c:v>0.71500535108543017</c:v>
                </c:pt>
                <c:pt idx="70">
                  <c:v>0.7309080351024374</c:v>
                </c:pt>
                <c:pt idx="71">
                  <c:v>0.72377160270619845</c:v>
                </c:pt>
                <c:pt idx="72">
                  <c:v>0.70528421729267099</c:v>
                </c:pt>
                <c:pt idx="73">
                  <c:v>0.68398856885979953</c:v>
                </c:pt>
                <c:pt idx="74">
                  <c:v>0.65717974624542475</c:v>
                </c:pt>
                <c:pt idx="75">
                  <c:v>0.6275212119689354</c:v>
                </c:pt>
                <c:pt idx="76">
                  <c:v>0.59663369787922771</c:v>
                </c:pt>
                <c:pt idx="77">
                  <c:v>0.56272738544928813</c:v>
                </c:pt>
                <c:pt idx="78">
                  <c:v>0.49088646880734299</c:v>
                </c:pt>
                <c:pt idx="79">
                  <c:v>0.41898878289763669</c:v>
                </c:pt>
                <c:pt idx="80">
                  <c:v>0.38484035122300803</c:v>
                </c:pt>
                <c:pt idx="81">
                  <c:v>0.353982141236723</c:v>
                </c:pt>
                <c:pt idx="82">
                  <c:v>0.32608207070569728</c:v>
                </c:pt>
                <c:pt idx="83">
                  <c:v>0.28269442039928588</c:v>
                </c:pt>
                <c:pt idx="84">
                  <c:v>0.2309894864579087</c:v>
                </c:pt>
                <c:pt idx="85">
                  <c:v>0.18039992418139281</c:v>
                </c:pt>
                <c:pt idx="86">
                  <c:v>0.13432742281173179</c:v>
                </c:pt>
                <c:pt idx="87">
                  <c:v>9.5961549677476998E-2</c:v>
                </c:pt>
                <c:pt idx="88">
                  <c:v>7.6908777511535756E-2</c:v>
                </c:pt>
                <c:pt idx="89">
                  <c:v>4.2745938880389862E-2</c:v>
                </c:pt>
                <c:pt idx="90">
                  <c:v>3.2828601309355852E-2</c:v>
                </c:pt>
                <c:pt idx="91">
                  <c:v>2.788343596375599E-2</c:v>
                </c:pt>
                <c:pt idx="92">
                  <c:v>1.7791048795094421E-2</c:v>
                </c:pt>
                <c:pt idx="93">
                  <c:v>-3.542726007949392E-3</c:v>
                </c:pt>
                <c:pt idx="94">
                  <c:v>-1.7165699286068668E-2</c:v>
                </c:pt>
                <c:pt idx="95">
                  <c:v>-2.2462800445580161E-2</c:v>
                </c:pt>
                <c:pt idx="96">
                  <c:v>-1.547173183316224E-2</c:v>
                </c:pt>
                <c:pt idx="97">
                  <c:v>-1.6040114548005219E-2</c:v>
                </c:pt>
                <c:pt idx="98">
                  <c:v>-2.0437852962826901E-2</c:v>
                </c:pt>
                <c:pt idx="99">
                  <c:v>-1.6843136028201412E-2</c:v>
                </c:pt>
                <c:pt idx="100">
                  <c:v>-1.226640531875307E-2</c:v>
                </c:pt>
              </c:numCache>
            </c:numRef>
          </c:yVal>
          <c:smooth val="1"/>
          <c:extLst>
            <c:ext xmlns:c16="http://schemas.microsoft.com/office/drawing/2014/chart" uri="{C3380CC4-5D6E-409C-BE32-E72D297353CC}">
              <c16:uniqueId val="{00000002-D51E-4253-8D55-D6A4FEBE3152}"/>
            </c:ext>
          </c:extLst>
        </c:ser>
        <c:ser>
          <c:idx val="3"/>
          <c:order val="4"/>
          <c:tx>
            <c:v>Left 3</c:v>
          </c:tx>
          <c:spPr>
            <a:ln w="19050">
              <a:solidFill>
                <a:srgbClr val="FF0000"/>
              </a:solidFill>
            </a:ln>
          </c:spPr>
          <c:marker>
            <c:symbol val="none"/>
          </c:marker>
          <c:xVal>
            <c:numRef>
              <c:f>'Left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3 Kin'!$D$2:$D$102</c:f>
              <c:numCache>
                <c:formatCode>General</c:formatCode>
                <c:ptCount val="101"/>
                <c:pt idx="0">
                  <c:v>4.1026759978711053E-2</c:v>
                </c:pt>
                <c:pt idx="1">
                  <c:v>-1.0279993616663541E-2</c:v>
                </c:pt>
                <c:pt idx="2">
                  <c:v>-0.1056766793631306</c:v>
                </c:pt>
                <c:pt idx="3">
                  <c:v>-0.4793096540431071</c:v>
                </c:pt>
                <c:pt idx="4">
                  <c:v>-0.71977047443284714</c:v>
                </c:pt>
                <c:pt idx="5">
                  <c:v>-0.76815230187220662</c:v>
                </c:pt>
                <c:pt idx="6">
                  <c:v>-0.75448671480647478</c:v>
                </c:pt>
                <c:pt idx="7">
                  <c:v>-0.75139826157248479</c:v>
                </c:pt>
                <c:pt idx="8">
                  <c:v>-0.76387444082173128</c:v>
                </c:pt>
                <c:pt idx="9">
                  <c:v>-0.64824158137534427</c:v>
                </c:pt>
                <c:pt idx="10">
                  <c:v>-0.41867929583090557</c:v>
                </c:pt>
                <c:pt idx="11">
                  <c:v>-0.1797023020459218</c:v>
                </c:pt>
                <c:pt idx="12">
                  <c:v>-3.2918747031445157E-2</c:v>
                </c:pt>
                <c:pt idx="13">
                  <c:v>5.1896905114196229E-2</c:v>
                </c:pt>
                <c:pt idx="14">
                  <c:v>0.11245933352573161</c:v>
                </c:pt>
                <c:pt idx="15">
                  <c:v>0.14284296525390211</c:v>
                </c:pt>
                <c:pt idx="16">
                  <c:v>0.1311756436509903</c:v>
                </c:pt>
                <c:pt idx="17">
                  <c:v>8.7527315027758415E-2</c:v>
                </c:pt>
                <c:pt idx="18">
                  <c:v>2.7450154070332751E-2</c:v>
                </c:pt>
                <c:pt idx="19">
                  <c:v>-1.5423180650745201E-2</c:v>
                </c:pt>
                <c:pt idx="20">
                  <c:v>-3.6900459124621358E-2</c:v>
                </c:pt>
                <c:pt idx="21">
                  <c:v>-2.593564292511313E-2</c:v>
                </c:pt>
                <c:pt idx="22">
                  <c:v>3.4455182086743832E-3</c:v>
                </c:pt>
                <c:pt idx="23">
                  <c:v>3.6708023141095072E-2</c:v>
                </c:pt>
                <c:pt idx="24">
                  <c:v>6.366769677108855E-2</c:v>
                </c:pt>
                <c:pt idx="25">
                  <c:v>8.0522255105464222E-2</c:v>
                </c:pt>
                <c:pt idx="26">
                  <c:v>8.5951969297668823E-2</c:v>
                </c:pt>
                <c:pt idx="27">
                  <c:v>7.6732039222528275E-2</c:v>
                </c:pt>
                <c:pt idx="28">
                  <c:v>5.9589921864762758E-2</c:v>
                </c:pt>
                <c:pt idx="29">
                  <c:v>4.5026568508713241E-2</c:v>
                </c:pt>
                <c:pt idx="30">
                  <c:v>4.2277833165756069E-2</c:v>
                </c:pt>
                <c:pt idx="31">
                  <c:v>5.5391586228083961E-2</c:v>
                </c:pt>
                <c:pt idx="32">
                  <c:v>8.5539121672147347E-2</c:v>
                </c:pt>
                <c:pt idx="33">
                  <c:v>0.12862733526502571</c:v>
                </c:pt>
                <c:pt idx="34">
                  <c:v>0.17698293461815351</c:v>
                </c:pt>
                <c:pt idx="35">
                  <c:v>0.2261133683440196</c:v>
                </c:pt>
                <c:pt idx="36">
                  <c:v>0.2724431761587579</c:v>
                </c:pt>
                <c:pt idx="37">
                  <c:v>0.30798081899187502</c:v>
                </c:pt>
                <c:pt idx="38">
                  <c:v>0.33042443239953162</c:v>
                </c:pt>
                <c:pt idx="39">
                  <c:v>0.34493559063125301</c:v>
                </c:pt>
                <c:pt idx="40">
                  <c:v>0.35414515129436391</c:v>
                </c:pt>
                <c:pt idx="41">
                  <c:v>0.35810713685013768</c:v>
                </c:pt>
                <c:pt idx="42">
                  <c:v>0.36162548560313268</c:v>
                </c:pt>
                <c:pt idx="43">
                  <c:v>0.37148853676422361</c:v>
                </c:pt>
                <c:pt idx="44">
                  <c:v>0.38613195938435102</c:v>
                </c:pt>
                <c:pt idx="45">
                  <c:v>0.4054567001989518</c:v>
                </c:pt>
                <c:pt idx="46">
                  <c:v>0.42969480199470372</c:v>
                </c:pt>
                <c:pt idx="47">
                  <c:v>0.45564907773804691</c:v>
                </c:pt>
                <c:pt idx="48">
                  <c:v>0.48240332098846012</c:v>
                </c:pt>
                <c:pt idx="49">
                  <c:v>0.50689050621303577</c:v>
                </c:pt>
                <c:pt idx="50">
                  <c:v>0.52793142097522816</c:v>
                </c:pt>
                <c:pt idx="51">
                  <c:v>0.54709946039545099</c:v>
                </c:pt>
                <c:pt idx="52">
                  <c:v>0.56488379967336844</c:v>
                </c:pt>
                <c:pt idx="53">
                  <c:v>0.5822729410802262</c:v>
                </c:pt>
                <c:pt idx="54">
                  <c:v>0.59837584031518309</c:v>
                </c:pt>
                <c:pt idx="55">
                  <c:v>0.61438875045693186</c:v>
                </c:pt>
                <c:pt idx="56">
                  <c:v>0.62964404090017889</c:v>
                </c:pt>
                <c:pt idx="57">
                  <c:v>0.64460383935726673</c:v>
                </c:pt>
                <c:pt idx="58">
                  <c:v>0.65975159247156301</c:v>
                </c:pt>
                <c:pt idx="59">
                  <c:v>0.67426934942003036</c:v>
                </c:pt>
                <c:pt idx="60">
                  <c:v>0.68753697585527362</c:v>
                </c:pt>
                <c:pt idx="61">
                  <c:v>0.7014261143919579</c:v>
                </c:pt>
                <c:pt idx="62">
                  <c:v>0.71719204399263692</c:v>
                </c:pt>
                <c:pt idx="63">
                  <c:v>0.73207896651203375</c:v>
                </c:pt>
                <c:pt idx="64">
                  <c:v>0.74555463380820741</c:v>
                </c:pt>
                <c:pt idx="65">
                  <c:v>0.76738677821628376</c:v>
                </c:pt>
                <c:pt idx="66">
                  <c:v>0.80629036845090873</c:v>
                </c:pt>
                <c:pt idx="67">
                  <c:v>0.8164614274059655</c:v>
                </c:pt>
                <c:pt idx="68">
                  <c:v>0.82069107431617161</c:v>
                </c:pt>
                <c:pt idx="69">
                  <c:v>0.81900139675428385</c:v>
                </c:pt>
                <c:pt idx="70">
                  <c:v>0.8170304833349431</c:v>
                </c:pt>
                <c:pt idx="71">
                  <c:v>0.81099468063527447</c:v>
                </c:pt>
                <c:pt idx="72">
                  <c:v>0.79879661916853506</c:v>
                </c:pt>
                <c:pt idx="73">
                  <c:v>0.80150538514148706</c:v>
                </c:pt>
                <c:pt idx="74">
                  <c:v>0.79132153482781464</c:v>
                </c:pt>
                <c:pt idx="75">
                  <c:v>0.76868705172544172</c:v>
                </c:pt>
                <c:pt idx="76">
                  <c:v>0.74384233207461892</c:v>
                </c:pt>
                <c:pt idx="77">
                  <c:v>0.7134789533309227</c:v>
                </c:pt>
                <c:pt idx="78">
                  <c:v>0.67307422754992297</c:v>
                </c:pt>
                <c:pt idx="79">
                  <c:v>0.60917744653768724</c:v>
                </c:pt>
                <c:pt idx="80">
                  <c:v>0.56941211465537667</c:v>
                </c:pt>
                <c:pt idx="81">
                  <c:v>0.55011774969181904</c:v>
                </c:pt>
                <c:pt idx="82">
                  <c:v>0.4732699283700762</c:v>
                </c:pt>
                <c:pt idx="83">
                  <c:v>0.44328050107978451</c:v>
                </c:pt>
                <c:pt idx="84">
                  <c:v>0.358059539073521</c:v>
                </c:pt>
                <c:pt idx="85">
                  <c:v>0.27096542617447711</c:v>
                </c:pt>
                <c:pt idx="86">
                  <c:v>0.21723802180709509</c:v>
                </c:pt>
                <c:pt idx="87">
                  <c:v>0.1846692939161437</c:v>
                </c:pt>
                <c:pt idx="88">
                  <c:v>0.1616836430614827</c:v>
                </c:pt>
                <c:pt idx="89">
                  <c:v>0.1229881516984852</c:v>
                </c:pt>
                <c:pt idx="90">
                  <c:v>8.2284184990053785E-2</c:v>
                </c:pt>
                <c:pt idx="91">
                  <c:v>5.8894743429888582E-2</c:v>
                </c:pt>
                <c:pt idx="92">
                  <c:v>5.33788615991189E-2</c:v>
                </c:pt>
                <c:pt idx="93">
                  <c:v>4.8805965396720337E-2</c:v>
                </c:pt>
                <c:pt idx="94">
                  <c:v>3.7130703579701857E-2</c:v>
                </c:pt>
                <c:pt idx="95">
                  <c:v>1.636531424700912E-2</c:v>
                </c:pt>
                <c:pt idx="96">
                  <c:v>-2.6634190113655068E-3</c:v>
                </c:pt>
                <c:pt idx="97">
                  <c:v>-7.903974824405708E-3</c:v>
                </c:pt>
                <c:pt idx="98">
                  <c:v>-8.6121070478459918E-3</c:v>
                </c:pt>
                <c:pt idx="99">
                  <c:v>1.1879241204048509E-2</c:v>
                </c:pt>
                <c:pt idx="100">
                  <c:v>1.6306081700041279E-3</c:v>
                </c:pt>
              </c:numCache>
            </c:numRef>
          </c:yVal>
          <c:smooth val="1"/>
          <c:extLst>
            <c:ext xmlns:c16="http://schemas.microsoft.com/office/drawing/2014/chart" uri="{C3380CC4-5D6E-409C-BE32-E72D297353CC}">
              <c16:uniqueId val="{00000001-D51E-4253-8D55-D6A4FEBE3152}"/>
            </c:ext>
          </c:extLst>
        </c:ser>
        <c:ser>
          <c:idx val="2"/>
          <c:order val="5"/>
          <c:tx>
            <c:v>Left 2</c:v>
          </c:tx>
          <c:spPr>
            <a:ln w="19050">
              <a:solidFill>
                <a:srgbClr val="FF0000"/>
              </a:solidFill>
            </a:ln>
          </c:spPr>
          <c:marker>
            <c:symbol val="none"/>
          </c:marker>
          <c:xVal>
            <c:numRef>
              <c:f>'Left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2 Kin'!$D$2:$D$102</c:f>
              <c:numCache>
                <c:formatCode>General</c:formatCode>
                <c:ptCount val="101"/>
                <c:pt idx="0">
                  <c:v>-2.3739717397991349E-2</c:v>
                </c:pt>
                <c:pt idx="1">
                  <c:v>-9.748887850366577E-3</c:v>
                </c:pt>
                <c:pt idx="2">
                  <c:v>-0.1923484221807939</c:v>
                </c:pt>
                <c:pt idx="3">
                  <c:v>-0.54688373601774665</c:v>
                </c:pt>
                <c:pt idx="4">
                  <c:v>-0.67061103825918122</c:v>
                </c:pt>
                <c:pt idx="5">
                  <c:v>-0.71565052575004273</c:v>
                </c:pt>
                <c:pt idx="6">
                  <c:v>-0.7405753668745706</c:v>
                </c:pt>
                <c:pt idx="7">
                  <c:v>-0.71795926446143721</c:v>
                </c:pt>
                <c:pt idx="8">
                  <c:v>-0.72114059427106192</c:v>
                </c:pt>
                <c:pt idx="9">
                  <c:v>-0.61409105986536838</c:v>
                </c:pt>
                <c:pt idx="10">
                  <c:v>-0.38584057165498048</c:v>
                </c:pt>
                <c:pt idx="11">
                  <c:v>-0.14185370159226271</c:v>
                </c:pt>
                <c:pt idx="12">
                  <c:v>-8.3581521707693663E-3</c:v>
                </c:pt>
                <c:pt idx="13">
                  <c:v>8.2610625682886005E-2</c:v>
                </c:pt>
                <c:pt idx="14">
                  <c:v>0.1412889674601869</c:v>
                </c:pt>
                <c:pt idx="15">
                  <c:v>0.17154169079998599</c:v>
                </c:pt>
                <c:pt idx="16">
                  <c:v>0.17020094757856441</c:v>
                </c:pt>
                <c:pt idx="17">
                  <c:v>0.13825103429165889</c:v>
                </c:pt>
                <c:pt idx="18">
                  <c:v>9.2940155358569157E-2</c:v>
                </c:pt>
                <c:pt idx="19">
                  <c:v>5.9074850690105402E-2</c:v>
                </c:pt>
                <c:pt idx="20">
                  <c:v>4.4417369177640227E-2</c:v>
                </c:pt>
                <c:pt idx="21">
                  <c:v>5.5039667237274263E-2</c:v>
                </c:pt>
                <c:pt idx="22">
                  <c:v>7.9766030564217716E-2</c:v>
                </c:pt>
                <c:pt idx="23">
                  <c:v>0.10992201526625089</c:v>
                </c:pt>
                <c:pt idx="24">
                  <c:v>0.1383020895057975</c:v>
                </c:pt>
                <c:pt idx="25">
                  <c:v>0.15578917617291191</c:v>
                </c:pt>
                <c:pt idx="26">
                  <c:v>0.1634056325814153</c:v>
                </c:pt>
                <c:pt idx="27">
                  <c:v>0.1636837358612481</c:v>
                </c:pt>
                <c:pt idx="28">
                  <c:v>0.15363507077455921</c:v>
                </c:pt>
                <c:pt idx="29">
                  <c:v>0.13921037458568869</c:v>
                </c:pt>
                <c:pt idx="30">
                  <c:v>0.12973503501525241</c:v>
                </c:pt>
                <c:pt idx="31">
                  <c:v>0.1303679317159149</c:v>
                </c:pt>
                <c:pt idx="32">
                  <c:v>0.14603333167980079</c:v>
                </c:pt>
                <c:pt idx="33">
                  <c:v>0.17479551077616901</c:v>
                </c:pt>
                <c:pt idx="34">
                  <c:v>0.2119651105279875</c:v>
                </c:pt>
                <c:pt idx="35">
                  <c:v>0.25020854628585237</c:v>
                </c:pt>
                <c:pt idx="36">
                  <c:v>0.28807392633352319</c:v>
                </c:pt>
                <c:pt idx="37">
                  <c:v>0.32313617150743518</c:v>
                </c:pt>
                <c:pt idx="38">
                  <c:v>0.3536750326085556</c:v>
                </c:pt>
                <c:pt idx="39">
                  <c:v>0.37758947822491501</c:v>
                </c:pt>
                <c:pt idx="40">
                  <c:v>0.39356370973465937</c:v>
                </c:pt>
                <c:pt idx="41">
                  <c:v>0.40293197316118329</c:v>
                </c:pt>
                <c:pt idx="42">
                  <c:v>0.40694666143488117</c:v>
                </c:pt>
                <c:pt idx="43">
                  <c:v>0.41116079048372828</c:v>
                </c:pt>
                <c:pt idx="44">
                  <c:v>0.41954710684773061</c:v>
                </c:pt>
                <c:pt idx="45">
                  <c:v>0.4317187952014967</c:v>
                </c:pt>
                <c:pt idx="46">
                  <c:v>0.44798528460106118</c:v>
                </c:pt>
                <c:pt idx="47">
                  <c:v>0.46804051061079649</c:v>
                </c:pt>
                <c:pt idx="48">
                  <c:v>0.48940909879312527</c:v>
                </c:pt>
                <c:pt idx="49">
                  <c:v>0.51054378784648369</c:v>
                </c:pt>
                <c:pt idx="50">
                  <c:v>0.52866163061955329</c:v>
                </c:pt>
                <c:pt idx="51">
                  <c:v>0.54532357893831274</c:v>
                </c:pt>
                <c:pt idx="52">
                  <c:v>0.56096384286733159</c:v>
                </c:pt>
                <c:pt idx="53">
                  <c:v>0.57534533268932275</c:v>
                </c:pt>
                <c:pt idx="54">
                  <c:v>0.59035826894455956</c:v>
                </c:pt>
                <c:pt idx="55">
                  <c:v>0.60304410610290615</c:v>
                </c:pt>
                <c:pt idx="56">
                  <c:v>0.61683939783505359</c:v>
                </c:pt>
                <c:pt idx="57">
                  <c:v>0.6323865545959183</c:v>
                </c:pt>
                <c:pt idx="58">
                  <c:v>0.64769372110466206</c:v>
                </c:pt>
                <c:pt idx="59">
                  <c:v>0.66049900228745073</c:v>
                </c:pt>
                <c:pt idx="60">
                  <c:v>0.67755275485151467</c:v>
                </c:pt>
                <c:pt idx="61">
                  <c:v>0.69399403048014385</c:v>
                </c:pt>
                <c:pt idx="62">
                  <c:v>0.70593170368354596</c:v>
                </c:pt>
                <c:pt idx="63">
                  <c:v>0.7164496811073594</c:v>
                </c:pt>
                <c:pt idx="64">
                  <c:v>0.72504036915572767</c:v>
                </c:pt>
                <c:pt idx="65">
                  <c:v>0.73136289697502166</c:v>
                </c:pt>
                <c:pt idx="66">
                  <c:v>0.73698471358924678</c:v>
                </c:pt>
                <c:pt idx="67">
                  <c:v>0.76572139118335913</c:v>
                </c:pt>
                <c:pt idx="68">
                  <c:v>0.80061170425448247</c:v>
                </c:pt>
                <c:pt idx="69">
                  <c:v>0.81086971834331178</c:v>
                </c:pt>
                <c:pt idx="70">
                  <c:v>0.80664653962578425</c:v>
                </c:pt>
                <c:pt idx="71">
                  <c:v>0.79871346663592924</c:v>
                </c:pt>
                <c:pt idx="72">
                  <c:v>0.78674771625533901</c:v>
                </c:pt>
                <c:pt idx="73">
                  <c:v>0.76914820485807966</c:v>
                </c:pt>
                <c:pt idx="74">
                  <c:v>0.74425624419642389</c:v>
                </c:pt>
                <c:pt idx="75">
                  <c:v>0.71870525301525645</c:v>
                </c:pt>
                <c:pt idx="76">
                  <c:v>0.68698783499846172</c:v>
                </c:pt>
                <c:pt idx="77">
                  <c:v>0.5842298449163208</c:v>
                </c:pt>
                <c:pt idx="78">
                  <c:v>0.5510623451170229</c:v>
                </c:pt>
                <c:pt idx="79">
                  <c:v>0.52284443397894598</c:v>
                </c:pt>
                <c:pt idx="80">
                  <c:v>0.4904789900717979</c:v>
                </c:pt>
                <c:pt idx="81">
                  <c:v>0.46275630464904738</c:v>
                </c:pt>
                <c:pt idx="82">
                  <c:v>0.43504509374209849</c:v>
                </c:pt>
                <c:pt idx="83">
                  <c:v>0.35959206565813068</c:v>
                </c:pt>
                <c:pt idx="84">
                  <c:v>0.30815108038659939</c:v>
                </c:pt>
                <c:pt idx="85">
                  <c:v>0.2586592545231568</c:v>
                </c:pt>
                <c:pt idx="86">
                  <c:v>0.21158113772673309</c:v>
                </c:pt>
                <c:pt idx="87">
                  <c:v>0.1784478642384702</c:v>
                </c:pt>
                <c:pt idx="88">
                  <c:v>0.1526790080848909</c:v>
                </c:pt>
                <c:pt idx="89">
                  <c:v>0.1174613638567412</c:v>
                </c:pt>
                <c:pt idx="90">
                  <c:v>7.6897906306980096E-2</c:v>
                </c:pt>
                <c:pt idx="91">
                  <c:v>6.1235714334620092E-2</c:v>
                </c:pt>
                <c:pt idx="92">
                  <c:v>7.0449883947581296E-2</c:v>
                </c:pt>
                <c:pt idx="93">
                  <c:v>4.5128481700622003E-2</c:v>
                </c:pt>
                <c:pt idx="94">
                  <c:v>2.0342239732576331E-2</c:v>
                </c:pt>
                <c:pt idx="95">
                  <c:v>5.1471150833799538E-3</c:v>
                </c:pt>
                <c:pt idx="96">
                  <c:v>3.8319545791897088E-4</c:v>
                </c:pt>
                <c:pt idx="97">
                  <c:v>-4.4367555392410812E-3</c:v>
                </c:pt>
                <c:pt idx="98">
                  <c:v>-9.7092804671086302E-3</c:v>
                </c:pt>
                <c:pt idx="99">
                  <c:v>-4.046060458455761E-4</c:v>
                </c:pt>
                <c:pt idx="100">
                  <c:v>-4.6242791769734171E-3</c:v>
                </c:pt>
              </c:numCache>
            </c:numRef>
          </c:yVal>
          <c:smooth val="1"/>
          <c:extLst>
            <c:ext xmlns:c16="http://schemas.microsoft.com/office/drawing/2014/chart" uri="{C3380CC4-5D6E-409C-BE32-E72D297353CC}">
              <c16:uniqueId val="{00000000-D51E-4253-8D55-D6A4FEBE3152}"/>
            </c:ext>
          </c:extLst>
        </c:ser>
        <c:ser>
          <c:idx val="0"/>
          <c:order val="6"/>
          <c:tx>
            <c:v>Left 1</c:v>
          </c:tx>
          <c:spPr>
            <a:ln w="19050">
              <a:solidFill>
                <a:srgbClr val="FF0000"/>
              </a:solidFill>
            </a:ln>
          </c:spPr>
          <c:marker>
            <c:symbol val="none"/>
          </c:marker>
          <c:xVal>
            <c:numRef>
              <c:f>'Left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1 Kin'!$D$2:$D$102</c:f>
              <c:numCache>
                <c:formatCode>General</c:formatCode>
                <c:ptCount val="101"/>
                <c:pt idx="0">
                  <c:v>5.2153501653372569E-2</c:v>
                </c:pt>
                <c:pt idx="1">
                  <c:v>-0.29075890066950361</c:v>
                </c:pt>
                <c:pt idx="2">
                  <c:v>-0.50553256282005166</c:v>
                </c:pt>
                <c:pt idx="3">
                  <c:v>-0.63806881110473568</c:v>
                </c:pt>
                <c:pt idx="4">
                  <c:v>-0.67020082721982344</c:v>
                </c:pt>
                <c:pt idx="5">
                  <c:v>-0.65529586337376233</c:v>
                </c:pt>
                <c:pt idx="6">
                  <c:v>-0.64308846943619613</c:v>
                </c:pt>
                <c:pt idx="7">
                  <c:v>-0.60326485855774403</c:v>
                </c:pt>
                <c:pt idx="8">
                  <c:v>-0.61385526958768633</c:v>
                </c:pt>
                <c:pt idx="9">
                  <c:v>-0.52266834976054311</c:v>
                </c:pt>
                <c:pt idx="10">
                  <c:v>-0.32699088803373011</c:v>
                </c:pt>
                <c:pt idx="11">
                  <c:v>-0.12795796433883219</c:v>
                </c:pt>
                <c:pt idx="12">
                  <c:v>-8.5511711617971137E-3</c:v>
                </c:pt>
                <c:pt idx="13">
                  <c:v>6.8500303961940887E-2</c:v>
                </c:pt>
                <c:pt idx="14">
                  <c:v>0.1230181504800003</c:v>
                </c:pt>
                <c:pt idx="15">
                  <c:v>0.1474231272960585</c:v>
                </c:pt>
                <c:pt idx="16">
                  <c:v>0.13450946037788031</c:v>
                </c:pt>
                <c:pt idx="17">
                  <c:v>9.111928660616396E-2</c:v>
                </c:pt>
                <c:pt idx="18">
                  <c:v>4.5324856610452137E-2</c:v>
                </c:pt>
                <c:pt idx="19">
                  <c:v>2.6601584476459401E-2</c:v>
                </c:pt>
                <c:pt idx="20">
                  <c:v>3.5560121978076412E-2</c:v>
                </c:pt>
                <c:pt idx="21">
                  <c:v>6.1740858428809831E-2</c:v>
                </c:pt>
                <c:pt idx="22">
                  <c:v>9.450998282113808E-2</c:v>
                </c:pt>
                <c:pt idx="23">
                  <c:v>0.1379572681237255</c:v>
                </c:pt>
                <c:pt idx="24">
                  <c:v>0.17225272790906199</c:v>
                </c:pt>
                <c:pt idx="25">
                  <c:v>0.19145107066695749</c:v>
                </c:pt>
                <c:pt idx="26">
                  <c:v>0.19918255503561921</c:v>
                </c:pt>
                <c:pt idx="27">
                  <c:v>0.1960651689666654</c:v>
                </c:pt>
                <c:pt idx="28">
                  <c:v>0.18553699181211</c:v>
                </c:pt>
                <c:pt idx="29">
                  <c:v>0.17529683921678529</c:v>
                </c:pt>
                <c:pt idx="30">
                  <c:v>0.17120309686620119</c:v>
                </c:pt>
                <c:pt idx="31">
                  <c:v>0.1791869038359622</c:v>
                </c:pt>
                <c:pt idx="32">
                  <c:v>0.19418305977205369</c:v>
                </c:pt>
                <c:pt idx="33">
                  <c:v>0.21554111103646639</c:v>
                </c:pt>
                <c:pt idx="34">
                  <c:v>0.24249042758170319</c:v>
                </c:pt>
                <c:pt idx="35">
                  <c:v>0.27080031685475092</c:v>
                </c:pt>
                <c:pt idx="36">
                  <c:v>0.29608459443124302</c:v>
                </c:pt>
                <c:pt idx="37">
                  <c:v>0.31878424529998711</c:v>
                </c:pt>
                <c:pt idx="38">
                  <c:v>0.33465568910657029</c:v>
                </c:pt>
                <c:pt idx="39">
                  <c:v>0.34985778374097182</c:v>
                </c:pt>
                <c:pt idx="40">
                  <c:v>0.35777274869186138</c:v>
                </c:pt>
                <c:pt idx="41">
                  <c:v>0.36375784786724003</c:v>
                </c:pt>
                <c:pt idx="42">
                  <c:v>0.37448729385902341</c:v>
                </c:pt>
                <c:pt idx="43">
                  <c:v>0.38269975506564241</c:v>
                </c:pt>
                <c:pt idx="44">
                  <c:v>0.39695424061914802</c:v>
                </c:pt>
                <c:pt idx="45">
                  <c:v>0.41617734161724818</c:v>
                </c:pt>
                <c:pt idx="46">
                  <c:v>0.43756982077986678</c:v>
                </c:pt>
                <c:pt idx="47">
                  <c:v>0.46022250473831999</c:v>
                </c:pt>
                <c:pt idx="48">
                  <c:v>0.48120818461567838</c:v>
                </c:pt>
                <c:pt idx="49">
                  <c:v>0.49879206067991799</c:v>
                </c:pt>
                <c:pt idx="50">
                  <c:v>0.51648105212652251</c:v>
                </c:pt>
                <c:pt idx="51">
                  <c:v>0.5309991571391699</c:v>
                </c:pt>
                <c:pt idx="52">
                  <c:v>0.54425017801249154</c:v>
                </c:pt>
                <c:pt idx="53">
                  <c:v>0.55753493210592642</c:v>
                </c:pt>
                <c:pt idx="54">
                  <c:v>0.56904177436783965</c:v>
                </c:pt>
                <c:pt idx="55">
                  <c:v>0.58219901369865823</c:v>
                </c:pt>
                <c:pt idx="56">
                  <c:v>0.59680285126964583</c:v>
                </c:pt>
                <c:pt idx="57">
                  <c:v>0.60872389715711506</c:v>
                </c:pt>
                <c:pt idx="58">
                  <c:v>0.62190619710889483</c:v>
                </c:pt>
                <c:pt idx="59">
                  <c:v>0.6341360121807238</c:v>
                </c:pt>
                <c:pt idx="60">
                  <c:v>0.64452552491676307</c:v>
                </c:pt>
                <c:pt idx="61">
                  <c:v>0.656602467300194</c:v>
                </c:pt>
                <c:pt idx="62">
                  <c:v>0.67034905905248776</c:v>
                </c:pt>
                <c:pt idx="63">
                  <c:v>0.68417421179074567</c:v>
                </c:pt>
                <c:pt idx="64">
                  <c:v>0.69392067595420537</c:v>
                </c:pt>
                <c:pt idx="65">
                  <c:v>0.70155939396755573</c:v>
                </c:pt>
                <c:pt idx="66">
                  <c:v>0.70972506664677626</c:v>
                </c:pt>
                <c:pt idx="67">
                  <c:v>0.71621282343285864</c:v>
                </c:pt>
                <c:pt idx="68">
                  <c:v>0.72104470839053736</c:v>
                </c:pt>
                <c:pt idx="69">
                  <c:v>0.72071957293837985</c:v>
                </c:pt>
                <c:pt idx="70">
                  <c:v>0.71824696851156877</c:v>
                </c:pt>
                <c:pt idx="71">
                  <c:v>0.71114274655465537</c:v>
                </c:pt>
                <c:pt idx="72">
                  <c:v>0.7002472935276145</c:v>
                </c:pt>
                <c:pt idx="73">
                  <c:v>0.68824759963813587</c:v>
                </c:pt>
                <c:pt idx="74">
                  <c:v>0.67005082606091049</c:v>
                </c:pt>
                <c:pt idx="75">
                  <c:v>0.64653008454017169</c:v>
                </c:pt>
                <c:pt idx="76">
                  <c:v>0.62321320711020345</c:v>
                </c:pt>
                <c:pt idx="77">
                  <c:v>0.59737891924158337</c:v>
                </c:pt>
                <c:pt idx="78">
                  <c:v>0.56649855642050773</c:v>
                </c:pt>
                <c:pt idx="79">
                  <c:v>0.56033714605987572</c:v>
                </c:pt>
                <c:pt idx="80">
                  <c:v>0.48928585506805139</c:v>
                </c:pt>
                <c:pt idx="81">
                  <c:v>0.47515651599047048</c:v>
                </c:pt>
                <c:pt idx="82">
                  <c:v>0.40411012690251541</c:v>
                </c:pt>
                <c:pt idx="83">
                  <c:v>0.36059520837894798</c:v>
                </c:pt>
                <c:pt idx="84">
                  <c:v>0.31346915299306422</c:v>
                </c:pt>
                <c:pt idx="85">
                  <c:v>0.26644592156702568</c:v>
                </c:pt>
                <c:pt idx="86">
                  <c:v>0.22592922789011721</c:v>
                </c:pt>
                <c:pt idx="87">
                  <c:v>0.19257794295243361</c:v>
                </c:pt>
                <c:pt idx="88">
                  <c:v>0.1593645204353844</c:v>
                </c:pt>
                <c:pt idx="89">
                  <c:v>0.12261688323980149</c:v>
                </c:pt>
                <c:pt idx="90">
                  <c:v>9.8194271171955824E-2</c:v>
                </c:pt>
                <c:pt idx="91">
                  <c:v>9.5602222720702457E-2</c:v>
                </c:pt>
                <c:pt idx="92">
                  <c:v>8.2102945070984298E-2</c:v>
                </c:pt>
                <c:pt idx="93">
                  <c:v>4.4401295138726933E-2</c:v>
                </c:pt>
                <c:pt idx="94">
                  <c:v>1.1998281329014669E-2</c:v>
                </c:pt>
                <c:pt idx="95">
                  <c:v>1.160010895948309E-3</c:v>
                </c:pt>
                <c:pt idx="96">
                  <c:v>0</c:v>
                </c:pt>
                <c:pt idx="97">
                  <c:v>0</c:v>
                </c:pt>
                <c:pt idx="98">
                  <c:v>0</c:v>
                </c:pt>
                <c:pt idx="99">
                  <c:v>0</c:v>
                </c:pt>
                <c:pt idx="100">
                  <c:v>-1.080846598738521E-2</c:v>
                </c:pt>
              </c:numCache>
            </c:numRef>
          </c:yVal>
          <c:smooth val="1"/>
          <c:extLst>
            <c:ext xmlns:c16="http://schemas.microsoft.com/office/drawing/2014/chart" uri="{C3380CC4-5D6E-409C-BE32-E72D297353CC}">
              <c16:uniqueId val="{00000000-989E-44B9-905A-E603E61C5889}"/>
            </c:ext>
          </c:extLst>
        </c:ser>
        <c:ser>
          <c:idx val="1"/>
          <c:order val="7"/>
          <c:tx>
            <c:v>Propulsion</c:v>
          </c:tx>
          <c:marker>
            <c:symbol val="none"/>
          </c:marker>
          <c:dPt>
            <c:idx val="1"/>
            <c:bubble3D val="0"/>
            <c:spPr>
              <a:ln>
                <a:solidFill>
                  <a:schemeClr val="accent6"/>
                </a:solidFill>
                <a:prstDash val="sysDot"/>
              </a:ln>
            </c:spPr>
            <c:extLst>
              <c:ext xmlns:c16="http://schemas.microsoft.com/office/drawing/2014/chart" uri="{C3380CC4-5D6E-409C-BE32-E72D297353CC}">
                <c16:uniqueId val="{00000000-0026-452E-B783-A4AE543E3810}"/>
              </c:ext>
            </c:extLst>
          </c:dPt>
          <c:xVal>
            <c:numRef>
              <c:f>Report!$R$6:$R$7</c:f>
              <c:numCache>
                <c:formatCode>General</c:formatCode>
                <c:ptCount val="2"/>
                <c:pt idx="0">
                  <c:v>11.92660550458716</c:v>
                </c:pt>
                <c:pt idx="1">
                  <c:v>11.92660550458716</c:v>
                </c:pt>
              </c:numCache>
            </c:numRef>
          </c:xVal>
          <c:yVal>
            <c:numRef>
              <c:f>Report!$S$13:$S$14</c:f>
              <c:numCache>
                <c:formatCode>General</c:formatCode>
                <c:ptCount val="2"/>
                <c:pt idx="0">
                  <c:v>-1000</c:v>
                </c:pt>
                <c:pt idx="1">
                  <c:v>1000</c:v>
                </c:pt>
              </c:numCache>
            </c:numRef>
          </c:yVal>
          <c:smooth val="1"/>
          <c:extLst>
            <c:ext xmlns:c16="http://schemas.microsoft.com/office/drawing/2014/chart" uri="{C3380CC4-5D6E-409C-BE32-E72D297353CC}">
              <c16:uniqueId val="{00000000-BA8F-45ED-90D3-4383EFAB652A}"/>
            </c:ext>
          </c:extLst>
        </c:ser>
        <c:dLbls>
          <c:showLegendKey val="0"/>
          <c:showVal val="0"/>
          <c:showCatName val="0"/>
          <c:showSerName val="0"/>
          <c:showPercent val="0"/>
          <c:showBubbleSize val="0"/>
        </c:dLbls>
        <c:axId val="90649728"/>
        <c:axId val="90651264"/>
      </c:scatterChart>
      <c:valAx>
        <c:axId val="90649728"/>
        <c:scaling>
          <c:orientation val="minMax"/>
          <c:max val="100"/>
          <c:min val="0"/>
        </c:scaling>
        <c:delete val="0"/>
        <c:axPos val="b"/>
        <c:title>
          <c:tx>
            <c:rich>
              <a:bodyPr/>
              <a:lstStyle/>
              <a:p>
                <a:pPr>
                  <a:defRPr/>
                </a:pPr>
                <a:r>
                  <a:rPr lang="en-US"/>
                  <a:t>% stance phase</a:t>
                </a:r>
              </a:p>
            </c:rich>
          </c:tx>
          <c:layout>
            <c:manualLayout>
              <c:xMode val="edge"/>
              <c:yMode val="edge"/>
              <c:x val="0.40012254205929176"/>
              <c:y val="0.90908519720934433"/>
            </c:manualLayout>
          </c:layout>
          <c:overlay val="0"/>
        </c:title>
        <c:numFmt formatCode="General" sourceLinked="1"/>
        <c:majorTickMark val="out"/>
        <c:minorTickMark val="none"/>
        <c:tickLblPos val="nextTo"/>
        <c:txPr>
          <a:bodyPr/>
          <a:lstStyle/>
          <a:p>
            <a:pPr>
              <a:defRPr lang="en-US" sz="800"/>
            </a:pPr>
            <a:endParaRPr lang="en-US"/>
          </a:p>
        </c:txPr>
        <c:crossAx val="90651264"/>
        <c:crosses val="autoZero"/>
        <c:crossBetween val="midCat"/>
        <c:majorUnit val="20"/>
      </c:valAx>
      <c:valAx>
        <c:axId val="90651264"/>
        <c:scaling>
          <c:orientation val="minMax"/>
          <c:max val="1"/>
          <c:min val="-1.3"/>
        </c:scaling>
        <c:delete val="0"/>
        <c:axPos val="l"/>
        <c:title>
          <c:tx>
            <c:rich>
              <a:bodyPr rot="-5400000" vert="horz"/>
              <a:lstStyle/>
              <a:p>
                <a:pPr>
                  <a:defRPr lang="en-AU"/>
                </a:pPr>
                <a:r>
                  <a:rPr lang="en-US"/>
                  <a:t>Force (BW)</a:t>
                </a:r>
                <a:endParaRPr lang="en-US" baseline="0"/>
              </a:p>
            </c:rich>
          </c:tx>
          <c:layout>
            <c:manualLayout>
              <c:xMode val="edge"/>
              <c:yMode val="edge"/>
              <c:x val="3.7654145690805031E-3"/>
              <c:y val="0.33466953282741785"/>
            </c:manualLayout>
          </c:layout>
          <c:overlay val="0"/>
        </c:title>
        <c:numFmt formatCode="0.0" sourceLinked="0"/>
        <c:majorTickMark val="out"/>
        <c:minorTickMark val="none"/>
        <c:tickLblPos val="nextTo"/>
        <c:txPr>
          <a:bodyPr/>
          <a:lstStyle/>
          <a:p>
            <a:pPr>
              <a:defRPr lang="en-US" sz="800"/>
            </a:pPr>
            <a:endParaRPr lang="en-US"/>
          </a:p>
        </c:txPr>
        <c:crossAx val="90649728"/>
        <c:crosses val="autoZero"/>
        <c:crossBetween val="midCat"/>
      </c:valAx>
    </c:plotArea>
    <c:plotVisOnly val="1"/>
    <c:dispBlanksAs val="gap"/>
    <c:showDLblsOverMax val="0"/>
  </c:chart>
  <c:spPr>
    <a:ln>
      <a:solidFill>
        <a:schemeClr val="bg1">
          <a:lumMod val="50000"/>
        </a:schemeClr>
      </a:solidFill>
    </a:ln>
  </c:spPr>
  <c:printSettings>
    <c:headerFooter/>
    <c:pageMargins b="0.75000000000001421" l="0.70000000000000095" r="0.70000000000000095" t="0.75000000000001421" header="0.3000000000000001" footer="0.3000000000000001"/>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US" sz="1200"/>
            </a:pPr>
            <a:r>
              <a:rPr lang="en-US" sz="1200"/>
              <a:t>Ankle Angle</a:t>
            </a:r>
          </a:p>
        </c:rich>
      </c:tx>
      <c:layout>
        <c:manualLayout>
          <c:xMode val="edge"/>
          <c:yMode val="edge"/>
          <c:x val="0.43140484234234233"/>
          <c:y val="0"/>
        </c:manualLayout>
      </c:layout>
      <c:overlay val="0"/>
    </c:title>
    <c:autoTitleDeleted val="0"/>
    <c:plotArea>
      <c:layout>
        <c:manualLayout>
          <c:layoutTarget val="inner"/>
          <c:xMode val="edge"/>
          <c:yMode val="edge"/>
          <c:x val="8.8293979837257175E-2"/>
          <c:y val="5.0528044184050457E-2"/>
          <c:w val="0.8816500935115843"/>
          <c:h val="0.91177370601186714"/>
        </c:manualLayout>
      </c:layout>
      <c:scatterChart>
        <c:scatterStyle val="smoothMarker"/>
        <c:varyColors val="0"/>
        <c:ser>
          <c:idx val="0"/>
          <c:order val="0"/>
          <c:tx>
            <c:v>Normative</c:v>
          </c:tx>
          <c:spPr>
            <a:ln>
              <a:solidFill>
                <a:schemeClr val="tx1"/>
              </a:solidFill>
            </a:ln>
          </c:spPr>
          <c:marker>
            <c:symbol val="none"/>
          </c:marker>
          <c:xVal>
            <c:numRef>
              <c:f>Normative!$A$2:$A$102</c:f>
              <c:numCache>
                <c:formatCode>General</c:formatCode>
                <c:ptCount val="101"/>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numCache>
            </c:numRef>
          </c:xVal>
          <c:yVal>
            <c:numRef>
              <c:f>Normative!$S$2:$S$102</c:f>
              <c:numCache>
                <c:formatCode>General</c:formatCode>
                <c:ptCount val="101"/>
                <c:pt idx="0">
                  <c:v>-5.621519283333333</c:v>
                </c:pt>
                <c:pt idx="1">
                  <c:v>-5.621519283333333</c:v>
                </c:pt>
                <c:pt idx="2">
                  <c:v>-3.2587082366666662</c:v>
                </c:pt>
                <c:pt idx="3">
                  <c:v>-2.8708582366666664</c:v>
                </c:pt>
                <c:pt idx="4">
                  <c:v>0.15932708000000045</c:v>
                </c:pt>
                <c:pt idx="5">
                  <c:v>0.76701042000000041</c:v>
                </c:pt>
                <c:pt idx="6">
                  <c:v>4.4300523566666667</c:v>
                </c:pt>
                <c:pt idx="7">
                  <c:v>5.6595913900000001</c:v>
                </c:pt>
                <c:pt idx="8">
                  <c:v>8.5119460066666672</c:v>
                </c:pt>
                <c:pt idx="9">
                  <c:v>10.387511910000001</c:v>
                </c:pt>
                <c:pt idx="10">
                  <c:v>12.628589836666666</c:v>
                </c:pt>
                <c:pt idx="11">
                  <c:v>14.074434903333332</c:v>
                </c:pt>
                <c:pt idx="12">
                  <c:v>15.860269116666666</c:v>
                </c:pt>
                <c:pt idx="13">
                  <c:v>17.413792959999999</c:v>
                </c:pt>
                <c:pt idx="14">
                  <c:v>18.990402396666667</c:v>
                </c:pt>
                <c:pt idx="15">
                  <c:v>19.885679786666664</c:v>
                </c:pt>
                <c:pt idx="16">
                  <c:v>21.059869826666663</c:v>
                </c:pt>
                <c:pt idx="17">
                  <c:v>21.791214740000001</c:v>
                </c:pt>
                <c:pt idx="18">
                  <c:v>22.970302060000002</c:v>
                </c:pt>
                <c:pt idx="19">
                  <c:v>23.353756093333335</c:v>
                </c:pt>
                <c:pt idx="20">
                  <c:v>23.960493646666666</c:v>
                </c:pt>
                <c:pt idx="21">
                  <c:v>24.266297316666666</c:v>
                </c:pt>
                <c:pt idx="22">
                  <c:v>24.588836829999998</c:v>
                </c:pt>
                <c:pt idx="23">
                  <c:v>24.71672714</c:v>
                </c:pt>
                <c:pt idx="24">
                  <c:v>24.690718973333333</c:v>
                </c:pt>
                <c:pt idx="25">
                  <c:v>24.530513103333334</c:v>
                </c:pt>
                <c:pt idx="26">
                  <c:v>24.132934546666664</c:v>
                </c:pt>
                <c:pt idx="27">
                  <c:v>23.462016556666661</c:v>
                </c:pt>
                <c:pt idx="28">
                  <c:v>22.987263810000002</c:v>
                </c:pt>
                <c:pt idx="29">
                  <c:v>21.761534153333333</c:v>
                </c:pt>
                <c:pt idx="30">
                  <c:v>20.797114426666667</c:v>
                </c:pt>
                <c:pt idx="31">
                  <c:v>19.258366653333333</c:v>
                </c:pt>
                <c:pt idx="32">
                  <c:v>18.066827476666667</c:v>
                </c:pt>
                <c:pt idx="33">
                  <c:v>15.307733960000002</c:v>
                </c:pt>
                <c:pt idx="34">
                  <c:v>13.594473363333332</c:v>
                </c:pt>
                <c:pt idx="35">
                  <c:v>10.972566086666665</c:v>
                </c:pt>
                <c:pt idx="36">
                  <c:v>9.1393635900000003</c:v>
                </c:pt>
                <c:pt idx="37">
                  <c:v>5.8576574366666669</c:v>
                </c:pt>
                <c:pt idx="38">
                  <c:v>2.6355328033333341</c:v>
                </c:pt>
                <c:pt idx="39">
                  <c:v>-0.30544464000000016</c:v>
                </c:pt>
                <c:pt idx="40">
                  <c:v>-3.12235504</c:v>
                </c:pt>
                <c:pt idx="41">
                  <c:v>-6.4269916999999994</c:v>
                </c:pt>
                <c:pt idx="42">
                  <c:v>-9.6489211166666653</c:v>
                </c:pt>
                <c:pt idx="43">
                  <c:v>-13.617654229999999</c:v>
                </c:pt>
                <c:pt idx="44">
                  <c:v>-15.561884846666667</c:v>
                </c:pt>
                <c:pt idx="45">
                  <c:v>-20.550875666666666</c:v>
                </c:pt>
                <c:pt idx="46">
                  <c:v>-21.588055026666666</c:v>
                </c:pt>
                <c:pt idx="47">
                  <c:v>-25.744090196666669</c:v>
                </c:pt>
                <c:pt idx="48">
                  <c:v>-26.351658996666664</c:v>
                </c:pt>
                <c:pt idx="49">
                  <c:v>-30.001276753333332</c:v>
                </c:pt>
                <c:pt idx="50">
                  <c:v>-33.211028846666665</c:v>
                </c:pt>
              </c:numCache>
            </c:numRef>
          </c:yVal>
          <c:smooth val="1"/>
          <c:extLst>
            <c:ext xmlns:c16="http://schemas.microsoft.com/office/drawing/2014/chart" uri="{C3380CC4-5D6E-409C-BE32-E72D297353CC}">
              <c16:uniqueId val="{00000002-E101-4140-A2E8-226D4A571AC5}"/>
            </c:ext>
          </c:extLst>
        </c:ser>
        <c:ser>
          <c:idx val="6"/>
          <c:order val="1"/>
          <c:tx>
            <c:v>Right 3</c:v>
          </c:tx>
          <c:spPr>
            <a:ln w="19050">
              <a:solidFill>
                <a:srgbClr val="00B050"/>
              </a:solidFill>
            </a:ln>
          </c:spPr>
          <c:marker>
            <c:symbol val="none"/>
          </c:marker>
          <c:xVal>
            <c:numRef>
              <c:f>'Right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3 Kin'!$S$2:$S$102</c:f>
              <c:numCache>
                <c:formatCode>General</c:formatCode>
                <c:ptCount val="101"/>
                <c:pt idx="0">
                  <c:v>1.34368</c:v>
                </c:pt>
                <c:pt idx="1">
                  <c:v>2.1027266</c:v>
                </c:pt>
                <c:pt idx="2">
                  <c:v>2.8617732</c:v>
                </c:pt>
                <c:pt idx="3">
                  <c:v>3.6208198</c:v>
                </c:pt>
                <c:pt idx="4">
                  <c:v>4.3950284000000002</c:v>
                </c:pt>
                <c:pt idx="5">
                  <c:v>5.2526280000000014</c:v>
                </c:pt>
                <c:pt idx="6">
                  <c:v>6.1102276</c:v>
                </c:pt>
                <c:pt idx="7">
                  <c:v>6.9678272000000003</c:v>
                </c:pt>
                <c:pt idx="8">
                  <c:v>7.8365620000000007</c:v>
                </c:pt>
                <c:pt idx="9">
                  <c:v>8.7303510000000006</c:v>
                </c:pt>
                <c:pt idx="10">
                  <c:v>9.6241400000000006</c:v>
                </c:pt>
                <c:pt idx="11">
                  <c:v>10.517929000000001</c:v>
                </c:pt>
                <c:pt idx="12">
                  <c:v>11.399844</c:v>
                </c:pt>
                <c:pt idx="13">
                  <c:v>12.267906</c:v>
                </c:pt>
                <c:pt idx="14">
                  <c:v>13.135968</c:v>
                </c:pt>
                <c:pt idx="15">
                  <c:v>14.00403</c:v>
                </c:pt>
                <c:pt idx="16">
                  <c:v>14.825868</c:v>
                </c:pt>
                <c:pt idx="17">
                  <c:v>15.618816000000001</c:v>
                </c:pt>
                <c:pt idx="18">
                  <c:v>16.411764000000002</c:v>
                </c:pt>
                <c:pt idx="19">
                  <c:v>17.204712000000001</c:v>
                </c:pt>
                <c:pt idx="20">
                  <c:v>17.916899999999998</c:v>
                </c:pt>
                <c:pt idx="21">
                  <c:v>18.604859999999999</c:v>
                </c:pt>
                <c:pt idx="22">
                  <c:v>19.292819999999999</c:v>
                </c:pt>
                <c:pt idx="23">
                  <c:v>19.980779999999999</c:v>
                </c:pt>
                <c:pt idx="24">
                  <c:v>20.559276000000001</c:v>
                </c:pt>
                <c:pt idx="25">
                  <c:v>21.12865</c:v>
                </c:pt>
                <c:pt idx="26">
                  <c:v>21.698024</c:v>
                </c:pt>
                <c:pt idx="27">
                  <c:v>22.257992000000002</c:v>
                </c:pt>
                <c:pt idx="28">
                  <c:v>22.705088</c:v>
                </c:pt>
                <c:pt idx="29">
                  <c:v>23.152183999999998</c:v>
                </c:pt>
                <c:pt idx="30">
                  <c:v>23.59928</c:v>
                </c:pt>
                <c:pt idx="31">
                  <c:v>24.018830000000001</c:v>
                </c:pt>
                <c:pt idx="32">
                  <c:v>24.34656</c:v>
                </c:pt>
                <c:pt idx="33">
                  <c:v>24.674289999999999</c:v>
                </c:pt>
                <c:pt idx="34">
                  <c:v>25.002020000000002</c:v>
                </c:pt>
                <c:pt idx="35">
                  <c:v>25.286200000000001</c:v>
                </c:pt>
                <c:pt idx="36">
                  <c:v>25.500699999999998</c:v>
                </c:pt>
                <c:pt idx="37">
                  <c:v>25.715199999999999</c:v>
                </c:pt>
                <c:pt idx="38">
                  <c:v>25.9297</c:v>
                </c:pt>
                <c:pt idx="39">
                  <c:v>26.084797999999999</c:v>
                </c:pt>
                <c:pt idx="40">
                  <c:v>26.188980000000001</c:v>
                </c:pt>
                <c:pt idx="41">
                  <c:v>26.293161999999999</c:v>
                </c:pt>
                <c:pt idx="42">
                  <c:v>26.397344</c:v>
                </c:pt>
                <c:pt idx="43">
                  <c:v>26.420760000000001</c:v>
                </c:pt>
                <c:pt idx="44">
                  <c:v>26.408280000000001</c:v>
                </c:pt>
                <c:pt idx="45">
                  <c:v>26.395800000000001</c:v>
                </c:pt>
                <c:pt idx="46">
                  <c:v>26.383320000000001</c:v>
                </c:pt>
                <c:pt idx="47">
                  <c:v>26.257297999999999</c:v>
                </c:pt>
                <c:pt idx="48">
                  <c:v>26.110631999999999</c:v>
                </c:pt>
                <c:pt idx="49">
                  <c:v>25.963965999999999</c:v>
                </c:pt>
                <c:pt idx="50">
                  <c:v>25.817299999999999</c:v>
                </c:pt>
                <c:pt idx="51">
                  <c:v>25.509433999999999</c:v>
                </c:pt>
                <c:pt idx="52">
                  <c:v>25.201568000000002</c:v>
                </c:pt>
                <c:pt idx="53">
                  <c:v>24.893702000000001</c:v>
                </c:pt>
                <c:pt idx="54">
                  <c:v>24.555703999999999</c:v>
                </c:pt>
                <c:pt idx="55">
                  <c:v>24.05198</c:v>
                </c:pt>
                <c:pt idx="56">
                  <c:v>23.548255999999999</c:v>
                </c:pt>
                <c:pt idx="57">
                  <c:v>23.044532</c:v>
                </c:pt>
                <c:pt idx="58">
                  <c:v>22.467607999999991</c:v>
                </c:pt>
                <c:pt idx="59">
                  <c:v>21.725984</c:v>
                </c:pt>
                <c:pt idx="60">
                  <c:v>20.984359999999999</c:v>
                </c:pt>
                <c:pt idx="61">
                  <c:v>20.242736000000001</c:v>
                </c:pt>
                <c:pt idx="62">
                  <c:v>19.370179999999991</c:v>
                </c:pt>
                <c:pt idx="63">
                  <c:v>18.34487</c:v>
                </c:pt>
                <c:pt idx="64">
                  <c:v>17.319559999999999</c:v>
                </c:pt>
                <c:pt idx="65">
                  <c:v>16.294250000000002</c:v>
                </c:pt>
                <c:pt idx="66">
                  <c:v>15.072155999999991</c:v>
                </c:pt>
                <c:pt idx="67">
                  <c:v>13.727072</c:v>
                </c:pt>
                <c:pt idx="68">
                  <c:v>12.381988</c:v>
                </c:pt>
                <c:pt idx="69">
                  <c:v>11.036903999999989</c:v>
                </c:pt>
                <c:pt idx="70">
                  <c:v>9.4463479999999951</c:v>
                </c:pt>
                <c:pt idx="71">
                  <c:v>7.7821503999999786</c:v>
                </c:pt>
                <c:pt idx="72">
                  <c:v>6.1179527999999879</c:v>
                </c:pt>
                <c:pt idx="73">
                  <c:v>4.4537551999999954</c:v>
                </c:pt>
                <c:pt idx="74">
                  <c:v>2.5584015999999772</c:v>
                </c:pt>
                <c:pt idx="75">
                  <c:v>0.64378499999998606</c:v>
                </c:pt>
                <c:pt idx="76">
                  <c:v>-1.2708316000000051</c:v>
                </c:pt>
                <c:pt idx="77">
                  <c:v>-3.1934686000000241</c:v>
                </c:pt>
                <c:pt idx="78">
                  <c:v>-5.2123504000000143</c:v>
                </c:pt>
                <c:pt idx="79">
                  <c:v>-7.2312322000000044</c:v>
                </c:pt>
                <c:pt idx="80">
                  <c:v>-9.2501140000000248</c:v>
                </c:pt>
                <c:pt idx="81">
                  <c:v>-11.250052000000011</c:v>
                </c:pt>
                <c:pt idx="82">
                  <c:v>-13.186844000000001</c:v>
                </c:pt>
                <c:pt idx="83">
                  <c:v>-15.123636000000021</c:v>
                </c:pt>
                <c:pt idx="84">
                  <c:v>-17.060428000000019</c:v>
                </c:pt>
                <c:pt idx="85">
                  <c:v>-18.903820000000032</c:v>
                </c:pt>
                <c:pt idx="86">
                  <c:v>-20.59777200000002</c:v>
                </c:pt>
                <c:pt idx="87">
                  <c:v>-22.291724000000009</c:v>
                </c:pt>
                <c:pt idx="88">
                  <c:v>-23.98567600000003</c:v>
                </c:pt>
                <c:pt idx="89">
                  <c:v>-25.500232000000011</c:v>
                </c:pt>
                <c:pt idx="90">
                  <c:v>-26.86102</c:v>
                </c:pt>
                <c:pt idx="91">
                  <c:v>-28.22180800000001</c:v>
                </c:pt>
                <c:pt idx="92">
                  <c:v>-29.582595999999999</c:v>
                </c:pt>
                <c:pt idx="93">
                  <c:v>-30.699699999999989</c:v>
                </c:pt>
                <c:pt idx="94">
                  <c:v>-31.708500000000001</c:v>
                </c:pt>
                <c:pt idx="95">
                  <c:v>-32.717299999999987</c:v>
                </c:pt>
                <c:pt idx="96">
                  <c:v>-33.726100000000002</c:v>
                </c:pt>
                <c:pt idx="97">
                  <c:v>-34.462451999999999</c:v>
                </c:pt>
                <c:pt idx="98">
                  <c:v>-35.149267999999999</c:v>
                </c:pt>
                <c:pt idx="99">
                  <c:v>-35.836084000000007</c:v>
                </c:pt>
                <c:pt idx="100">
                  <c:v>-36.5229</c:v>
                </c:pt>
              </c:numCache>
            </c:numRef>
          </c:yVal>
          <c:smooth val="1"/>
          <c:extLst>
            <c:ext xmlns:c16="http://schemas.microsoft.com/office/drawing/2014/chart" uri="{C3380CC4-5D6E-409C-BE32-E72D297353CC}">
              <c16:uniqueId val="{00000004-E4F7-4078-9989-388408471C5A}"/>
            </c:ext>
          </c:extLst>
        </c:ser>
        <c:ser>
          <c:idx val="5"/>
          <c:order val="2"/>
          <c:tx>
            <c:v>Right 2</c:v>
          </c:tx>
          <c:spPr>
            <a:ln w="19050">
              <a:solidFill>
                <a:srgbClr val="00B050"/>
              </a:solidFill>
            </a:ln>
          </c:spPr>
          <c:marker>
            <c:symbol val="none"/>
          </c:marker>
          <c:xVal>
            <c:numRef>
              <c:f>'Right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2 Kin'!$S$2:$S$102</c:f>
              <c:numCache>
                <c:formatCode>General</c:formatCode>
                <c:ptCount val="101"/>
                <c:pt idx="0">
                  <c:v>-3.1049799999999999</c:v>
                </c:pt>
                <c:pt idx="1">
                  <c:v>-2.3768599300000002</c:v>
                </c:pt>
                <c:pt idx="2">
                  <c:v>-1.6487398600000001</c:v>
                </c:pt>
                <c:pt idx="3">
                  <c:v>-0.92061978999999994</c:v>
                </c:pt>
                <c:pt idx="4">
                  <c:v>-0.16365827999999949</c:v>
                </c:pt>
                <c:pt idx="5">
                  <c:v>0.6618016500000008</c:v>
                </c:pt>
                <c:pt idx="6">
                  <c:v>1.48726158</c:v>
                </c:pt>
                <c:pt idx="7">
                  <c:v>2.3127215100000011</c:v>
                </c:pt>
                <c:pt idx="8">
                  <c:v>3.1805832000000009</c:v>
                </c:pt>
                <c:pt idx="9">
                  <c:v>4.0775961000000009</c:v>
                </c:pt>
                <c:pt idx="10">
                  <c:v>4.9746090000000009</c:v>
                </c:pt>
                <c:pt idx="11">
                  <c:v>5.8716219000000001</c:v>
                </c:pt>
                <c:pt idx="12">
                  <c:v>6.8055755999999992</c:v>
                </c:pt>
                <c:pt idx="13">
                  <c:v>7.7441468999999996</c:v>
                </c:pt>
                <c:pt idx="14">
                  <c:v>8.6827182000000001</c:v>
                </c:pt>
                <c:pt idx="15">
                  <c:v>9.6228660000000001</c:v>
                </c:pt>
                <c:pt idx="16">
                  <c:v>10.5699504</c:v>
                </c:pt>
                <c:pt idx="17">
                  <c:v>11.517034799999999</c:v>
                </c:pt>
                <c:pt idx="18">
                  <c:v>12.464119200000001</c:v>
                </c:pt>
                <c:pt idx="19">
                  <c:v>13.398565</c:v>
                </c:pt>
                <c:pt idx="20">
                  <c:v>14.3194</c:v>
                </c:pt>
                <c:pt idx="21">
                  <c:v>15.240235</c:v>
                </c:pt>
                <c:pt idx="22">
                  <c:v>16.161069999999999</c:v>
                </c:pt>
                <c:pt idx="23">
                  <c:v>17.034382000000001</c:v>
                </c:pt>
                <c:pt idx="24">
                  <c:v>17.894116</c:v>
                </c:pt>
                <c:pt idx="25">
                  <c:v>18.75385</c:v>
                </c:pt>
                <c:pt idx="26">
                  <c:v>19.606625999999999</c:v>
                </c:pt>
                <c:pt idx="27">
                  <c:v>20.372426999999998</c:v>
                </c:pt>
                <c:pt idx="28">
                  <c:v>21.138228000000002</c:v>
                </c:pt>
                <c:pt idx="29">
                  <c:v>21.904029000000001</c:v>
                </c:pt>
                <c:pt idx="30">
                  <c:v>22.624179999999999</c:v>
                </c:pt>
                <c:pt idx="31">
                  <c:v>23.266725999999998</c:v>
                </c:pt>
                <c:pt idx="32">
                  <c:v>23.909272000000001</c:v>
                </c:pt>
                <c:pt idx="33">
                  <c:v>24.551818000000001</c:v>
                </c:pt>
                <c:pt idx="34">
                  <c:v>25.095687999999999</c:v>
                </c:pt>
                <c:pt idx="35">
                  <c:v>25.590219999999999</c:v>
                </c:pt>
                <c:pt idx="36">
                  <c:v>26.084752000000002</c:v>
                </c:pt>
                <c:pt idx="37">
                  <c:v>26.579284000000001</c:v>
                </c:pt>
                <c:pt idx="38">
                  <c:v>26.911913999999999</c:v>
                </c:pt>
                <c:pt idx="39">
                  <c:v>27.238316999999999</c:v>
                </c:pt>
                <c:pt idx="40">
                  <c:v>27.564720000000001</c:v>
                </c:pt>
                <c:pt idx="41">
                  <c:v>27.843333999999999</c:v>
                </c:pt>
                <c:pt idx="42">
                  <c:v>27.985408</c:v>
                </c:pt>
                <c:pt idx="43">
                  <c:v>28.127482000000001</c:v>
                </c:pt>
                <c:pt idx="44">
                  <c:v>28.269556000000001</c:v>
                </c:pt>
                <c:pt idx="45">
                  <c:v>28.30171</c:v>
                </c:pt>
                <c:pt idx="46">
                  <c:v>28.245927999999999</c:v>
                </c:pt>
                <c:pt idx="47">
                  <c:v>28.190145999999999</c:v>
                </c:pt>
                <c:pt idx="48">
                  <c:v>28.134364000000001</c:v>
                </c:pt>
                <c:pt idx="49">
                  <c:v>27.899826000000001</c:v>
                </c:pt>
                <c:pt idx="50">
                  <c:v>27.6342</c:v>
                </c:pt>
                <c:pt idx="51">
                  <c:v>27.368573999999999</c:v>
                </c:pt>
                <c:pt idx="52">
                  <c:v>27.070188000000002</c:v>
                </c:pt>
                <c:pt idx="53">
                  <c:v>26.583431999999998</c:v>
                </c:pt>
                <c:pt idx="54">
                  <c:v>26.096675999999999</c:v>
                </c:pt>
                <c:pt idx="55">
                  <c:v>25.609919999999999</c:v>
                </c:pt>
                <c:pt idx="56">
                  <c:v>25.020192000000002</c:v>
                </c:pt>
                <c:pt idx="57">
                  <c:v>24.301749000000001</c:v>
                </c:pt>
                <c:pt idx="58">
                  <c:v>23.583306</c:v>
                </c:pt>
                <c:pt idx="59">
                  <c:v>22.864863</c:v>
                </c:pt>
                <c:pt idx="60">
                  <c:v>21.968900000000001</c:v>
                </c:pt>
                <c:pt idx="61">
                  <c:v>21.010804999999991</c:v>
                </c:pt>
                <c:pt idx="62">
                  <c:v>20.05270999999999</c:v>
                </c:pt>
                <c:pt idx="63">
                  <c:v>19.085684999999991</c:v>
                </c:pt>
                <c:pt idx="64">
                  <c:v>17.886479999999999</c:v>
                </c:pt>
                <c:pt idx="65">
                  <c:v>16.687275</c:v>
                </c:pt>
                <c:pt idx="66">
                  <c:v>15.48806999999999</c:v>
                </c:pt>
                <c:pt idx="67">
                  <c:v>14.212325399999999</c:v>
                </c:pt>
                <c:pt idx="68">
                  <c:v>12.783501599999999</c:v>
                </c:pt>
                <c:pt idx="69">
                  <c:v>11.35467779999999</c:v>
                </c:pt>
                <c:pt idx="70">
                  <c:v>9.9258539999999922</c:v>
                </c:pt>
                <c:pt idx="71">
                  <c:v>8.3726139999999756</c:v>
                </c:pt>
                <c:pt idx="72">
                  <c:v>6.7461879999999859</c:v>
                </c:pt>
                <c:pt idx="73">
                  <c:v>5.1197619999999961</c:v>
                </c:pt>
                <c:pt idx="74">
                  <c:v>3.4933359999999829</c:v>
                </c:pt>
                <c:pt idx="75">
                  <c:v>1.737484999999994</c:v>
                </c:pt>
                <c:pt idx="76">
                  <c:v>-2.8719999999994968E-2</c:v>
                </c:pt>
                <c:pt idx="77">
                  <c:v>-1.794925000000009</c:v>
                </c:pt>
                <c:pt idx="78">
                  <c:v>-3.5740485999999989</c:v>
                </c:pt>
                <c:pt idx="79">
                  <c:v>-5.3983872999999942</c:v>
                </c:pt>
                <c:pt idx="80">
                  <c:v>-7.2227260000000149</c:v>
                </c:pt>
                <c:pt idx="81">
                  <c:v>-9.0470647000000106</c:v>
                </c:pt>
                <c:pt idx="82">
                  <c:v>-10.852859</c:v>
                </c:pt>
                <c:pt idx="83">
                  <c:v>-12.641433500000019</c:v>
                </c:pt>
                <c:pt idx="84">
                  <c:v>-14.43000800000001</c:v>
                </c:pt>
                <c:pt idx="85">
                  <c:v>-16.218582500000021</c:v>
                </c:pt>
                <c:pt idx="86">
                  <c:v>-17.905550000000009</c:v>
                </c:pt>
                <c:pt idx="87">
                  <c:v>-19.569424999999999</c:v>
                </c:pt>
                <c:pt idx="88">
                  <c:v>-21.23330000000001</c:v>
                </c:pt>
                <c:pt idx="89">
                  <c:v>-22.875686000000002</c:v>
                </c:pt>
                <c:pt idx="90">
                  <c:v>-24.34615999999999</c:v>
                </c:pt>
                <c:pt idx="91">
                  <c:v>-25.816634000000011</c:v>
                </c:pt>
                <c:pt idx="92">
                  <c:v>-27.287108000000011</c:v>
                </c:pt>
                <c:pt idx="93">
                  <c:v>-28.661673</c:v>
                </c:pt>
                <c:pt idx="94">
                  <c:v>-29.896734000000009</c:v>
                </c:pt>
                <c:pt idx="95">
                  <c:v>-31.131795</c:v>
                </c:pt>
                <c:pt idx="96">
                  <c:v>-32.366855999999991</c:v>
                </c:pt>
                <c:pt idx="97">
                  <c:v>-33.424723</c:v>
                </c:pt>
                <c:pt idx="98">
                  <c:v>-34.407981999999997</c:v>
                </c:pt>
                <c:pt idx="99">
                  <c:v>-35.391241000000001</c:v>
                </c:pt>
                <c:pt idx="100">
                  <c:v>-36.374499999999998</c:v>
                </c:pt>
              </c:numCache>
            </c:numRef>
          </c:yVal>
          <c:smooth val="1"/>
          <c:extLst>
            <c:ext xmlns:c16="http://schemas.microsoft.com/office/drawing/2014/chart" uri="{C3380CC4-5D6E-409C-BE32-E72D297353CC}">
              <c16:uniqueId val="{00000003-E4F7-4078-9989-388408471C5A}"/>
            </c:ext>
          </c:extLst>
        </c:ser>
        <c:ser>
          <c:idx val="3"/>
          <c:order val="3"/>
          <c:tx>
            <c:v>Left 3</c:v>
          </c:tx>
          <c:spPr>
            <a:ln w="19050">
              <a:solidFill>
                <a:srgbClr val="FF0000"/>
              </a:solidFill>
            </a:ln>
          </c:spPr>
          <c:marker>
            <c:symbol val="none"/>
          </c:marker>
          <c:xVal>
            <c:numRef>
              <c:f>'Left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3 Kin'!$S$2:$S$102</c:f>
              <c:numCache>
                <c:formatCode>General</c:formatCode>
                <c:ptCount val="101"/>
                <c:pt idx="0">
                  <c:v>-7.1122399999999999</c:v>
                </c:pt>
                <c:pt idx="1">
                  <c:v>-6.1540724000000004</c:v>
                </c:pt>
                <c:pt idx="2">
                  <c:v>-5.1959048000000001</c:v>
                </c:pt>
                <c:pt idx="3">
                  <c:v>-4.2377371999999998</c:v>
                </c:pt>
                <c:pt idx="4">
                  <c:v>-3.2512987999999998</c:v>
                </c:pt>
                <c:pt idx="5">
                  <c:v>-2.109370999999999</c:v>
                </c:pt>
                <c:pt idx="6">
                  <c:v>-0.96744319999999995</c:v>
                </c:pt>
                <c:pt idx="7">
                  <c:v>0.17448459999999999</c:v>
                </c:pt>
                <c:pt idx="8">
                  <c:v>1.3404436</c:v>
                </c:pt>
                <c:pt idx="9">
                  <c:v>2.5604727999999999</c:v>
                </c:pt>
                <c:pt idx="10">
                  <c:v>3.7805019999999998</c:v>
                </c:pt>
                <c:pt idx="11">
                  <c:v>5.0005312000000002</c:v>
                </c:pt>
                <c:pt idx="12">
                  <c:v>6.2101455999999988</c:v>
                </c:pt>
                <c:pt idx="13">
                  <c:v>7.4076093999999992</c:v>
                </c:pt>
                <c:pt idx="14">
                  <c:v>8.6050731999999996</c:v>
                </c:pt>
                <c:pt idx="15">
                  <c:v>9.8025370000000009</c:v>
                </c:pt>
                <c:pt idx="16">
                  <c:v>10.93702</c:v>
                </c:pt>
                <c:pt idx="17">
                  <c:v>12.03214</c:v>
                </c:pt>
                <c:pt idx="18">
                  <c:v>13.12726</c:v>
                </c:pt>
                <c:pt idx="19">
                  <c:v>14.222379999999999</c:v>
                </c:pt>
                <c:pt idx="20">
                  <c:v>15.19838</c:v>
                </c:pt>
                <c:pt idx="21">
                  <c:v>16.138643999999999</c:v>
                </c:pt>
                <c:pt idx="22">
                  <c:v>17.078907999999998</c:v>
                </c:pt>
                <c:pt idx="23">
                  <c:v>18.019172000000001</c:v>
                </c:pt>
                <c:pt idx="24">
                  <c:v>18.794076</c:v>
                </c:pt>
                <c:pt idx="25">
                  <c:v>19.555199999999999</c:v>
                </c:pt>
                <c:pt idx="26">
                  <c:v>20.316324000000002</c:v>
                </c:pt>
                <c:pt idx="27">
                  <c:v>21.06362</c:v>
                </c:pt>
                <c:pt idx="28">
                  <c:v>21.64498</c:v>
                </c:pt>
                <c:pt idx="29">
                  <c:v>22.22634</c:v>
                </c:pt>
                <c:pt idx="30">
                  <c:v>22.807700000000001</c:v>
                </c:pt>
                <c:pt idx="31">
                  <c:v>23.351247999999998</c:v>
                </c:pt>
                <c:pt idx="32">
                  <c:v>23.768756</c:v>
                </c:pt>
                <c:pt idx="33">
                  <c:v>24.186264000000001</c:v>
                </c:pt>
                <c:pt idx="34">
                  <c:v>24.603771999999999</c:v>
                </c:pt>
                <c:pt idx="35">
                  <c:v>24.967739999999999</c:v>
                </c:pt>
                <c:pt idx="36">
                  <c:v>25.246044000000001</c:v>
                </c:pt>
                <c:pt idx="37">
                  <c:v>25.524348</c:v>
                </c:pt>
                <c:pt idx="38">
                  <c:v>25.802651999999998</c:v>
                </c:pt>
                <c:pt idx="39">
                  <c:v>26.019943999999999</c:v>
                </c:pt>
                <c:pt idx="40">
                  <c:v>26.184940000000001</c:v>
                </c:pt>
                <c:pt idx="41">
                  <c:v>26.349936</c:v>
                </c:pt>
                <c:pt idx="42">
                  <c:v>26.514932000000002</c:v>
                </c:pt>
                <c:pt idx="43">
                  <c:v>26.615002</c:v>
                </c:pt>
                <c:pt idx="44">
                  <c:v>26.686216000000002</c:v>
                </c:pt>
                <c:pt idx="45">
                  <c:v>26.757429999999999</c:v>
                </c:pt>
                <c:pt idx="46">
                  <c:v>26.828644000000001</c:v>
                </c:pt>
                <c:pt idx="47">
                  <c:v>26.824684000000001</c:v>
                </c:pt>
                <c:pt idx="48">
                  <c:v>26.807055999999999</c:v>
                </c:pt>
                <c:pt idx="49">
                  <c:v>26.789428000000001</c:v>
                </c:pt>
                <c:pt idx="50">
                  <c:v>26.771799999999999</c:v>
                </c:pt>
                <c:pt idx="51">
                  <c:v>26.64687</c:v>
                </c:pt>
                <c:pt idx="52">
                  <c:v>26.521940000000001</c:v>
                </c:pt>
                <c:pt idx="53">
                  <c:v>26.397010000000002</c:v>
                </c:pt>
                <c:pt idx="54">
                  <c:v>26.247827999999998</c:v>
                </c:pt>
                <c:pt idx="55">
                  <c:v>25.965260000000001</c:v>
                </c:pt>
                <c:pt idx="56">
                  <c:v>25.682691999999999</c:v>
                </c:pt>
                <c:pt idx="57">
                  <c:v>25.400124000000002</c:v>
                </c:pt>
                <c:pt idx="58">
                  <c:v>25.042204000000002</c:v>
                </c:pt>
                <c:pt idx="59">
                  <c:v>24.514741999999998</c:v>
                </c:pt>
                <c:pt idx="60">
                  <c:v>23.987279999999998</c:v>
                </c:pt>
                <c:pt idx="61">
                  <c:v>23.459817999999999</c:v>
                </c:pt>
                <c:pt idx="62">
                  <c:v>22.763767999999999</c:v>
                </c:pt>
                <c:pt idx="63">
                  <c:v>21.871032</c:v>
                </c:pt>
                <c:pt idx="64">
                  <c:v>20.978296</c:v>
                </c:pt>
                <c:pt idx="65">
                  <c:v>20.085560000000001</c:v>
                </c:pt>
                <c:pt idx="66">
                  <c:v>18.887927999999992</c:v>
                </c:pt>
                <c:pt idx="67">
                  <c:v>17.499735999999999</c:v>
                </c:pt>
                <c:pt idx="68">
                  <c:v>16.111543999999999</c:v>
                </c:pt>
                <c:pt idx="69">
                  <c:v>14.72335199999999</c:v>
                </c:pt>
                <c:pt idx="70">
                  <c:v>12.893159999999989</c:v>
                </c:pt>
                <c:pt idx="71">
                  <c:v>10.93036799999998</c:v>
                </c:pt>
                <c:pt idx="72">
                  <c:v>8.9675759999999851</c:v>
                </c:pt>
                <c:pt idx="73">
                  <c:v>7.0047839999999946</c:v>
                </c:pt>
                <c:pt idx="74">
                  <c:v>4.5788087999999707</c:v>
                </c:pt>
                <c:pt idx="75">
                  <c:v>2.1142349999999821</c:v>
                </c:pt>
                <c:pt idx="76">
                  <c:v>-0.35033880000000561</c:v>
                </c:pt>
                <c:pt idx="77">
                  <c:v>-2.8314774000000309</c:v>
                </c:pt>
                <c:pt idx="78">
                  <c:v>-5.5113936000000194</c:v>
                </c:pt>
                <c:pt idx="79">
                  <c:v>-8.1913098000000062</c:v>
                </c:pt>
                <c:pt idx="80">
                  <c:v>-10.87122600000003</c:v>
                </c:pt>
                <c:pt idx="81">
                  <c:v>-13.51057800000002</c:v>
                </c:pt>
                <c:pt idx="82">
                  <c:v>-16.014716</c:v>
                </c:pt>
                <c:pt idx="83">
                  <c:v>-18.518854000000029</c:v>
                </c:pt>
                <c:pt idx="84">
                  <c:v>-21.02299200000002</c:v>
                </c:pt>
                <c:pt idx="85">
                  <c:v>-23.349960000000031</c:v>
                </c:pt>
                <c:pt idx="86">
                  <c:v>-25.393456000000018</c:v>
                </c:pt>
                <c:pt idx="87">
                  <c:v>-27.436952000000009</c:v>
                </c:pt>
                <c:pt idx="88">
                  <c:v>-29.480448000000031</c:v>
                </c:pt>
                <c:pt idx="89">
                  <c:v>-31.226752000000008</c:v>
                </c:pt>
                <c:pt idx="90">
                  <c:v>-32.718319999999999</c:v>
                </c:pt>
                <c:pt idx="91">
                  <c:v>-34.209888000000007</c:v>
                </c:pt>
                <c:pt idx="92">
                  <c:v>-35.701456</c:v>
                </c:pt>
                <c:pt idx="93">
                  <c:v>-36.84078199999999</c:v>
                </c:pt>
                <c:pt idx="94">
                  <c:v>-37.823556000000004</c:v>
                </c:pt>
                <c:pt idx="95">
                  <c:v>-38.806330000000003</c:v>
                </c:pt>
                <c:pt idx="96">
                  <c:v>-39.789103999999988</c:v>
                </c:pt>
                <c:pt idx="97">
                  <c:v>-40.424146</c:v>
                </c:pt>
                <c:pt idx="98">
                  <c:v>-40.995964000000001</c:v>
                </c:pt>
                <c:pt idx="99">
                  <c:v>-41.567782000000001</c:v>
                </c:pt>
                <c:pt idx="100">
                  <c:v>-42.139600000000002</c:v>
                </c:pt>
              </c:numCache>
            </c:numRef>
          </c:yVal>
          <c:smooth val="1"/>
          <c:extLst>
            <c:ext xmlns:c16="http://schemas.microsoft.com/office/drawing/2014/chart" uri="{C3380CC4-5D6E-409C-BE32-E72D297353CC}">
              <c16:uniqueId val="{00000005-E101-4140-A2E8-226D4A571AC5}"/>
            </c:ext>
          </c:extLst>
        </c:ser>
        <c:ser>
          <c:idx val="2"/>
          <c:order val="4"/>
          <c:tx>
            <c:v>Left 2</c:v>
          </c:tx>
          <c:spPr>
            <a:ln w="19050">
              <a:solidFill>
                <a:srgbClr val="FF0000"/>
              </a:solidFill>
            </a:ln>
          </c:spPr>
          <c:marker>
            <c:symbol val="none"/>
          </c:marker>
          <c:xVal>
            <c:numRef>
              <c:f>'Left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2 Kin'!$S$2:$S$102</c:f>
              <c:numCache>
                <c:formatCode>General</c:formatCode>
                <c:ptCount val="101"/>
                <c:pt idx="0">
                  <c:v>-0.41054299999999999</c:v>
                </c:pt>
                <c:pt idx="1">
                  <c:v>0.36100732000000002</c:v>
                </c:pt>
                <c:pt idx="2">
                  <c:v>1.1325576399999999</c:v>
                </c:pt>
                <c:pt idx="3">
                  <c:v>1.9041079599999999</c:v>
                </c:pt>
                <c:pt idx="4">
                  <c:v>2.6756582799999999</c:v>
                </c:pt>
                <c:pt idx="5">
                  <c:v>3.4913460000000001</c:v>
                </c:pt>
                <c:pt idx="6">
                  <c:v>4.3158611999999996</c:v>
                </c:pt>
                <c:pt idx="7">
                  <c:v>5.1403763999999992</c:v>
                </c:pt>
                <c:pt idx="8">
                  <c:v>5.9648915999999996</c:v>
                </c:pt>
                <c:pt idx="9">
                  <c:v>6.8036132</c:v>
                </c:pt>
                <c:pt idx="10">
                  <c:v>7.649438</c:v>
                </c:pt>
                <c:pt idx="11">
                  <c:v>8.495262799999999</c:v>
                </c:pt>
                <c:pt idx="12">
                  <c:v>9.341087599999998</c:v>
                </c:pt>
                <c:pt idx="13">
                  <c:v>10.181132</c:v>
                </c:pt>
                <c:pt idx="14">
                  <c:v>11.015396000000001</c:v>
                </c:pt>
                <c:pt idx="15">
                  <c:v>11.84966</c:v>
                </c:pt>
                <c:pt idx="16">
                  <c:v>12.683923999999999</c:v>
                </c:pt>
                <c:pt idx="17">
                  <c:v>13.503532</c:v>
                </c:pt>
                <c:pt idx="18">
                  <c:v>14.293828</c:v>
                </c:pt>
                <c:pt idx="19">
                  <c:v>15.084123999999999</c:v>
                </c:pt>
                <c:pt idx="20">
                  <c:v>15.874420000000001</c:v>
                </c:pt>
                <c:pt idx="21">
                  <c:v>16.652308000000001</c:v>
                </c:pt>
                <c:pt idx="22">
                  <c:v>17.368155999999999</c:v>
                </c:pt>
                <c:pt idx="23">
                  <c:v>18.084004</c:v>
                </c:pt>
                <c:pt idx="24">
                  <c:v>18.799852000000001</c:v>
                </c:pt>
                <c:pt idx="25">
                  <c:v>19.515699999999999</c:v>
                </c:pt>
                <c:pt idx="26">
                  <c:v>20.129788000000001</c:v>
                </c:pt>
                <c:pt idx="27">
                  <c:v>20.743876</c:v>
                </c:pt>
                <c:pt idx="28">
                  <c:v>21.357963999999999</c:v>
                </c:pt>
                <c:pt idx="29">
                  <c:v>21.972052000000001</c:v>
                </c:pt>
                <c:pt idx="30">
                  <c:v>22.481619999999999</c:v>
                </c:pt>
                <c:pt idx="31">
                  <c:v>22.970283999999999</c:v>
                </c:pt>
                <c:pt idx="32">
                  <c:v>23.458947999999999</c:v>
                </c:pt>
                <c:pt idx="33">
                  <c:v>23.947611999999999</c:v>
                </c:pt>
                <c:pt idx="34">
                  <c:v>24.339172000000001</c:v>
                </c:pt>
                <c:pt idx="35">
                  <c:v>24.682179999999999</c:v>
                </c:pt>
                <c:pt idx="36">
                  <c:v>25.025188</c:v>
                </c:pt>
                <c:pt idx="37">
                  <c:v>25.368196000000001</c:v>
                </c:pt>
                <c:pt idx="38">
                  <c:v>25.629064</c:v>
                </c:pt>
                <c:pt idx="39">
                  <c:v>25.807791999999999</c:v>
                </c:pt>
                <c:pt idx="40">
                  <c:v>25.986519999999999</c:v>
                </c:pt>
                <c:pt idx="41">
                  <c:v>26.165247999999998</c:v>
                </c:pt>
                <c:pt idx="42">
                  <c:v>26.282527999999999</c:v>
                </c:pt>
                <c:pt idx="43">
                  <c:v>26.276911999999999</c:v>
                </c:pt>
                <c:pt idx="44">
                  <c:v>26.271296</c:v>
                </c:pt>
                <c:pt idx="45">
                  <c:v>26.26568</c:v>
                </c:pt>
                <c:pt idx="46">
                  <c:v>26.225159999999999</c:v>
                </c:pt>
                <c:pt idx="47">
                  <c:v>26.010120000000001</c:v>
                </c:pt>
                <c:pt idx="48">
                  <c:v>25.795079999999999</c:v>
                </c:pt>
                <c:pt idx="49">
                  <c:v>25.58004</c:v>
                </c:pt>
                <c:pt idx="50">
                  <c:v>25.364999999999998</c:v>
                </c:pt>
                <c:pt idx="51">
                  <c:v>24.908591999999999</c:v>
                </c:pt>
                <c:pt idx="52">
                  <c:v>24.452183999999999</c:v>
                </c:pt>
                <c:pt idx="53">
                  <c:v>23.995775999999999</c:v>
                </c:pt>
                <c:pt idx="54">
                  <c:v>23.539368</c:v>
                </c:pt>
                <c:pt idx="55">
                  <c:v>22.8521</c:v>
                </c:pt>
                <c:pt idx="56">
                  <c:v>22.118659999999998</c:v>
                </c:pt>
                <c:pt idx="57">
                  <c:v>21.38522</c:v>
                </c:pt>
                <c:pt idx="58">
                  <c:v>20.651779999999999</c:v>
                </c:pt>
                <c:pt idx="59">
                  <c:v>19.714644</c:v>
                </c:pt>
                <c:pt idx="60">
                  <c:v>18.675660000000001</c:v>
                </c:pt>
                <c:pt idx="61">
                  <c:v>17.636676000000001</c:v>
                </c:pt>
                <c:pt idx="62">
                  <c:v>16.597691999999999</c:v>
                </c:pt>
                <c:pt idx="63">
                  <c:v>15.404976</c:v>
                </c:pt>
                <c:pt idx="64">
                  <c:v>14.058528000000001</c:v>
                </c:pt>
                <c:pt idx="65">
                  <c:v>12.712080000000009</c:v>
                </c:pt>
                <c:pt idx="66">
                  <c:v>11.365631999999991</c:v>
                </c:pt>
                <c:pt idx="67">
                  <c:v>9.9320760000000021</c:v>
                </c:pt>
                <c:pt idx="68">
                  <c:v>8.3243040000000104</c:v>
                </c:pt>
                <c:pt idx="69">
                  <c:v>6.7165319999999964</c:v>
                </c:pt>
                <c:pt idx="70">
                  <c:v>5.1087600000000046</c:v>
                </c:pt>
                <c:pt idx="71">
                  <c:v>3.474239999999988</c:v>
                </c:pt>
                <c:pt idx="72">
                  <c:v>1.7059799999999981</c:v>
                </c:pt>
                <c:pt idx="73">
                  <c:v>-6.227999999999323E-2</c:v>
                </c:pt>
                <c:pt idx="74">
                  <c:v>-1.8305400000000089</c:v>
                </c:pt>
                <c:pt idx="75">
                  <c:v>-3.5988000000000002</c:v>
                </c:pt>
                <c:pt idx="76">
                  <c:v>-5.3938079999999911</c:v>
                </c:pt>
                <c:pt idx="77">
                  <c:v>-7.1888160000000063</c:v>
                </c:pt>
                <c:pt idx="78">
                  <c:v>-8.9838239999999967</c:v>
                </c:pt>
                <c:pt idx="79">
                  <c:v>-10.778831999999991</c:v>
                </c:pt>
                <c:pt idx="80">
                  <c:v>-12.492179999999999</c:v>
                </c:pt>
                <c:pt idx="81">
                  <c:v>-14.189196000000001</c:v>
                </c:pt>
                <c:pt idx="82">
                  <c:v>-15.88621199999999</c:v>
                </c:pt>
                <c:pt idx="83">
                  <c:v>-17.583228000000009</c:v>
                </c:pt>
                <c:pt idx="84">
                  <c:v>-19.159427999999991</c:v>
                </c:pt>
                <c:pt idx="85">
                  <c:v>-20.67522000000001</c:v>
                </c:pt>
                <c:pt idx="86">
                  <c:v>-22.191012000000001</c:v>
                </c:pt>
                <c:pt idx="87">
                  <c:v>-23.706803999999991</c:v>
                </c:pt>
                <c:pt idx="88">
                  <c:v>-25.114128000000012</c:v>
                </c:pt>
                <c:pt idx="89">
                  <c:v>-26.412984000000002</c:v>
                </c:pt>
                <c:pt idx="90">
                  <c:v>-27.711839999999992</c:v>
                </c:pt>
                <c:pt idx="91">
                  <c:v>-29.010695999999999</c:v>
                </c:pt>
                <c:pt idx="92">
                  <c:v>-30.236799999999999</c:v>
                </c:pt>
                <c:pt idx="93">
                  <c:v>-31.317399999999989</c:v>
                </c:pt>
                <c:pt idx="94">
                  <c:v>-32.398000000000003</c:v>
                </c:pt>
                <c:pt idx="95">
                  <c:v>-33.4786</c:v>
                </c:pt>
                <c:pt idx="96">
                  <c:v>-34.525543999999996</c:v>
                </c:pt>
                <c:pt idx="97">
                  <c:v>-35.404207999999997</c:v>
                </c:pt>
                <c:pt idx="98">
                  <c:v>-36.282871999999998</c:v>
                </c:pt>
                <c:pt idx="99">
                  <c:v>-37.161536000000012</c:v>
                </c:pt>
                <c:pt idx="100">
                  <c:v>-38.040199999999999</c:v>
                </c:pt>
              </c:numCache>
            </c:numRef>
          </c:yVal>
          <c:smooth val="1"/>
          <c:extLst>
            <c:ext xmlns:c16="http://schemas.microsoft.com/office/drawing/2014/chart" uri="{C3380CC4-5D6E-409C-BE32-E72D297353CC}">
              <c16:uniqueId val="{00000004-E101-4140-A2E8-226D4A571AC5}"/>
            </c:ext>
          </c:extLst>
        </c:ser>
        <c:ser>
          <c:idx val="1"/>
          <c:order val="5"/>
          <c:tx>
            <c:v>Left 1</c:v>
          </c:tx>
          <c:spPr>
            <a:ln w="19050">
              <a:solidFill>
                <a:srgbClr val="FF0000"/>
              </a:solidFill>
            </a:ln>
          </c:spPr>
          <c:marker>
            <c:symbol val="none"/>
          </c:marker>
          <c:xVal>
            <c:numRef>
              <c:f>'Left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1 Kin'!$S$2:$S$102</c:f>
              <c:numCache>
                <c:formatCode>General</c:formatCode>
                <c:ptCount val="101"/>
                <c:pt idx="0">
                  <c:v>-2.4759799999999998</c:v>
                </c:pt>
                <c:pt idx="1">
                  <c:v>-1.5502425</c:v>
                </c:pt>
                <c:pt idx="2">
                  <c:v>-0.62450500000000009</c:v>
                </c:pt>
                <c:pt idx="3">
                  <c:v>0.30123249999999979</c:v>
                </c:pt>
                <c:pt idx="4">
                  <c:v>1.2269699999999999</c:v>
                </c:pt>
                <c:pt idx="5">
                  <c:v>2.293625</c:v>
                </c:pt>
                <c:pt idx="6">
                  <c:v>3.360279999999999</c:v>
                </c:pt>
                <c:pt idx="7">
                  <c:v>4.4269350000000003</c:v>
                </c:pt>
                <c:pt idx="8">
                  <c:v>5.4935900000000002</c:v>
                </c:pt>
                <c:pt idx="9">
                  <c:v>6.6199625000000006</c:v>
                </c:pt>
                <c:pt idx="10">
                  <c:v>7.7463350000000002</c:v>
                </c:pt>
                <c:pt idx="11">
                  <c:v>8.8727075000000006</c:v>
                </c:pt>
                <c:pt idx="12">
                  <c:v>9.9990799999999993</c:v>
                </c:pt>
                <c:pt idx="13">
                  <c:v>11.103160000000001</c:v>
                </c:pt>
                <c:pt idx="14">
                  <c:v>12.207240000000001</c:v>
                </c:pt>
                <c:pt idx="15">
                  <c:v>13.31132</c:v>
                </c:pt>
                <c:pt idx="16">
                  <c:v>14.4154</c:v>
                </c:pt>
                <c:pt idx="17">
                  <c:v>15.427149999999999</c:v>
                </c:pt>
                <c:pt idx="18">
                  <c:v>16.4389</c:v>
                </c:pt>
                <c:pt idx="19">
                  <c:v>17.45065</c:v>
                </c:pt>
                <c:pt idx="20">
                  <c:v>18.462399999999999</c:v>
                </c:pt>
                <c:pt idx="21">
                  <c:v>19.332125000000001</c:v>
                </c:pt>
                <c:pt idx="22">
                  <c:v>20.20185</c:v>
                </c:pt>
                <c:pt idx="23">
                  <c:v>21.071574999999999</c:v>
                </c:pt>
                <c:pt idx="24">
                  <c:v>21.941299999999998</c:v>
                </c:pt>
                <c:pt idx="25">
                  <c:v>22.642675000000001</c:v>
                </c:pt>
                <c:pt idx="26">
                  <c:v>23.344049999999999</c:v>
                </c:pt>
                <c:pt idx="27">
                  <c:v>24.045425000000002</c:v>
                </c:pt>
                <c:pt idx="28">
                  <c:v>24.7468</c:v>
                </c:pt>
                <c:pt idx="29">
                  <c:v>25.27495</c:v>
                </c:pt>
                <c:pt idx="30">
                  <c:v>25.803100000000001</c:v>
                </c:pt>
                <c:pt idx="31">
                  <c:v>26.331250000000001</c:v>
                </c:pt>
                <c:pt idx="32">
                  <c:v>26.859400000000001</c:v>
                </c:pt>
                <c:pt idx="33">
                  <c:v>27.225574999999999</c:v>
                </c:pt>
                <c:pt idx="34">
                  <c:v>27.591750000000001</c:v>
                </c:pt>
                <c:pt idx="35">
                  <c:v>27.957924999999999</c:v>
                </c:pt>
                <c:pt idx="36">
                  <c:v>28.324100000000001</c:v>
                </c:pt>
                <c:pt idx="37">
                  <c:v>28.548725000000001</c:v>
                </c:pt>
                <c:pt idx="38">
                  <c:v>28.773350000000001</c:v>
                </c:pt>
                <c:pt idx="39">
                  <c:v>28.997975</c:v>
                </c:pt>
                <c:pt idx="40">
                  <c:v>29.2226</c:v>
                </c:pt>
                <c:pt idx="41">
                  <c:v>29.32855</c:v>
                </c:pt>
                <c:pt idx="42">
                  <c:v>29.4345</c:v>
                </c:pt>
                <c:pt idx="43">
                  <c:v>29.54045</c:v>
                </c:pt>
                <c:pt idx="44">
                  <c:v>29.6464</c:v>
                </c:pt>
                <c:pt idx="45">
                  <c:v>29.652625</c:v>
                </c:pt>
                <c:pt idx="46">
                  <c:v>29.658850000000001</c:v>
                </c:pt>
                <c:pt idx="47">
                  <c:v>29.665075000000002</c:v>
                </c:pt>
                <c:pt idx="48">
                  <c:v>29.671299999999999</c:v>
                </c:pt>
                <c:pt idx="49">
                  <c:v>29.5853</c:v>
                </c:pt>
                <c:pt idx="50">
                  <c:v>29.499300000000002</c:v>
                </c:pt>
                <c:pt idx="51">
                  <c:v>29.4133</c:v>
                </c:pt>
                <c:pt idx="52">
                  <c:v>29.327300000000001</c:v>
                </c:pt>
                <c:pt idx="53">
                  <c:v>29.1357</c:v>
                </c:pt>
                <c:pt idx="54">
                  <c:v>28.944099999999999</c:v>
                </c:pt>
                <c:pt idx="55">
                  <c:v>28.752500000000001</c:v>
                </c:pt>
                <c:pt idx="56">
                  <c:v>28.5609</c:v>
                </c:pt>
                <c:pt idx="57">
                  <c:v>28.218299999999999</c:v>
                </c:pt>
                <c:pt idx="58">
                  <c:v>27.875699999999998</c:v>
                </c:pt>
                <c:pt idx="59">
                  <c:v>27.533100000000001</c:v>
                </c:pt>
                <c:pt idx="60">
                  <c:v>27.1905</c:v>
                </c:pt>
                <c:pt idx="61">
                  <c:v>26.614000000000001</c:v>
                </c:pt>
                <c:pt idx="62">
                  <c:v>26.037500000000001</c:v>
                </c:pt>
                <c:pt idx="63">
                  <c:v>25.460999999999999</c:v>
                </c:pt>
                <c:pt idx="64">
                  <c:v>24.884499999999999</c:v>
                </c:pt>
                <c:pt idx="65">
                  <c:v>23.963374999999999</c:v>
                </c:pt>
                <c:pt idx="66">
                  <c:v>23.042249999999989</c:v>
                </c:pt>
                <c:pt idx="67">
                  <c:v>22.121124999999999</c:v>
                </c:pt>
                <c:pt idx="68">
                  <c:v>21.2</c:v>
                </c:pt>
                <c:pt idx="69">
                  <c:v>19.82954999999999</c:v>
                </c:pt>
                <c:pt idx="70">
                  <c:v>18.459099999999999</c:v>
                </c:pt>
                <c:pt idx="71">
                  <c:v>17.088649999999991</c:v>
                </c:pt>
                <c:pt idx="72">
                  <c:v>15.7182</c:v>
                </c:pt>
                <c:pt idx="73">
                  <c:v>13.861777500000009</c:v>
                </c:pt>
                <c:pt idx="74">
                  <c:v>12.005354999999989</c:v>
                </c:pt>
                <c:pt idx="75">
                  <c:v>10.14893249999999</c:v>
                </c:pt>
                <c:pt idx="76">
                  <c:v>8.29251</c:v>
                </c:pt>
                <c:pt idx="77">
                  <c:v>6.0500844999999837</c:v>
                </c:pt>
                <c:pt idx="78">
                  <c:v>3.8076590000000001</c:v>
                </c:pt>
                <c:pt idx="79">
                  <c:v>1.5652335000000159</c:v>
                </c:pt>
                <c:pt idx="80">
                  <c:v>-0.67719200000000002</c:v>
                </c:pt>
                <c:pt idx="81">
                  <c:v>-3.0610939999999909</c:v>
                </c:pt>
                <c:pt idx="82">
                  <c:v>-5.444995999999982</c:v>
                </c:pt>
                <c:pt idx="83">
                  <c:v>-7.8288980000000077</c:v>
                </c:pt>
                <c:pt idx="84">
                  <c:v>-10.2128</c:v>
                </c:pt>
                <c:pt idx="85">
                  <c:v>-12.45090000000001</c:v>
                </c:pt>
                <c:pt idx="86">
                  <c:v>-14.689</c:v>
                </c:pt>
                <c:pt idx="87">
                  <c:v>-16.927099999999982</c:v>
                </c:pt>
                <c:pt idx="88">
                  <c:v>-19.165199999999999</c:v>
                </c:pt>
                <c:pt idx="89">
                  <c:v>-21.056074999999989</c:v>
                </c:pt>
                <c:pt idx="90">
                  <c:v>-22.94694999999999</c:v>
                </c:pt>
                <c:pt idx="91">
                  <c:v>-24.837825000000009</c:v>
                </c:pt>
                <c:pt idx="92">
                  <c:v>-26.7287</c:v>
                </c:pt>
                <c:pt idx="93">
                  <c:v>-28.197199999999999</c:v>
                </c:pt>
                <c:pt idx="94">
                  <c:v>-29.665700000000012</c:v>
                </c:pt>
                <c:pt idx="95">
                  <c:v>-31.1342</c:v>
                </c:pt>
                <c:pt idx="96">
                  <c:v>-32.602699999999999</c:v>
                </c:pt>
                <c:pt idx="97">
                  <c:v>-33.66125000000001</c:v>
                </c:pt>
                <c:pt idx="98">
                  <c:v>-34.719799999999999</c:v>
                </c:pt>
                <c:pt idx="99">
                  <c:v>-35.778350000000003</c:v>
                </c:pt>
                <c:pt idx="100">
                  <c:v>-36.8369</c:v>
                </c:pt>
              </c:numCache>
            </c:numRef>
          </c:yVal>
          <c:smooth val="1"/>
          <c:extLst>
            <c:ext xmlns:c16="http://schemas.microsoft.com/office/drawing/2014/chart" uri="{C3380CC4-5D6E-409C-BE32-E72D297353CC}">
              <c16:uniqueId val="{00000003-E101-4140-A2E8-226D4A571AC5}"/>
            </c:ext>
          </c:extLst>
        </c:ser>
        <c:ser>
          <c:idx val="4"/>
          <c:order val="6"/>
          <c:tx>
            <c:v>Right 1</c:v>
          </c:tx>
          <c:spPr>
            <a:ln w="19050">
              <a:solidFill>
                <a:srgbClr val="00B050"/>
              </a:solidFill>
            </a:ln>
          </c:spPr>
          <c:marker>
            <c:symbol val="none"/>
          </c:marker>
          <c:xVal>
            <c:numRef>
              <c:f>'Right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1 Kin'!$S$2:$S$102</c:f>
              <c:numCache>
                <c:formatCode>General</c:formatCode>
                <c:ptCount val="101"/>
                <c:pt idx="0">
                  <c:v>-1.09585</c:v>
                </c:pt>
                <c:pt idx="1">
                  <c:v>-0.28467069999999989</c:v>
                </c:pt>
                <c:pt idx="2">
                  <c:v>0.5265086000000001</c:v>
                </c:pt>
                <c:pt idx="3">
                  <c:v>1.3376878999999999</c:v>
                </c:pt>
                <c:pt idx="4">
                  <c:v>2.2020751999999999</c:v>
                </c:pt>
                <c:pt idx="5">
                  <c:v>3.1096940000000002</c:v>
                </c:pt>
                <c:pt idx="6">
                  <c:v>4.0173127999999991</c:v>
                </c:pt>
                <c:pt idx="7">
                  <c:v>4.9305908000000001</c:v>
                </c:pt>
                <c:pt idx="8">
                  <c:v>5.8929152</c:v>
                </c:pt>
                <c:pt idx="9">
                  <c:v>6.8552396</c:v>
                </c:pt>
                <c:pt idx="10">
                  <c:v>7.8175640000000008</c:v>
                </c:pt>
                <c:pt idx="11">
                  <c:v>8.787154000000001</c:v>
                </c:pt>
                <c:pt idx="12">
                  <c:v>9.7605679999999992</c:v>
                </c:pt>
                <c:pt idx="13">
                  <c:v>10.733981999999999</c:v>
                </c:pt>
                <c:pt idx="14">
                  <c:v>11.701048</c:v>
                </c:pt>
                <c:pt idx="15">
                  <c:v>12.64378</c:v>
                </c:pt>
                <c:pt idx="16">
                  <c:v>13.586512000000001</c:v>
                </c:pt>
                <c:pt idx="17">
                  <c:v>14.529244</c:v>
                </c:pt>
                <c:pt idx="18">
                  <c:v>15.42076</c:v>
                </c:pt>
                <c:pt idx="19">
                  <c:v>16.29598</c:v>
                </c:pt>
                <c:pt idx="20">
                  <c:v>17.171199999999999</c:v>
                </c:pt>
                <c:pt idx="21">
                  <c:v>18.016324000000001</c:v>
                </c:pt>
                <c:pt idx="22">
                  <c:v>18.794568000000002</c:v>
                </c:pt>
                <c:pt idx="23">
                  <c:v>19.572811999999999</c:v>
                </c:pt>
                <c:pt idx="24">
                  <c:v>20.351056</c:v>
                </c:pt>
                <c:pt idx="25">
                  <c:v>21.027850000000001</c:v>
                </c:pt>
                <c:pt idx="26">
                  <c:v>21.688412</c:v>
                </c:pt>
                <c:pt idx="27">
                  <c:v>22.348973999999998</c:v>
                </c:pt>
                <c:pt idx="28">
                  <c:v>22.955871999999999</c:v>
                </c:pt>
                <c:pt idx="29">
                  <c:v>23.486746</c:v>
                </c:pt>
                <c:pt idx="30">
                  <c:v>24.017620000000001</c:v>
                </c:pt>
                <c:pt idx="31">
                  <c:v>24.548494000000002</c:v>
                </c:pt>
                <c:pt idx="32">
                  <c:v>24.949504000000001</c:v>
                </c:pt>
                <c:pt idx="33">
                  <c:v>25.345876000000001</c:v>
                </c:pt>
                <c:pt idx="34">
                  <c:v>25.742248</c:v>
                </c:pt>
                <c:pt idx="35">
                  <c:v>26.068974999999998</c:v>
                </c:pt>
                <c:pt idx="36">
                  <c:v>26.3307</c:v>
                </c:pt>
                <c:pt idx="37">
                  <c:v>26.592424999999999</c:v>
                </c:pt>
                <c:pt idx="38">
                  <c:v>26.844950000000001</c:v>
                </c:pt>
                <c:pt idx="39">
                  <c:v>26.973275000000001</c:v>
                </c:pt>
                <c:pt idx="40">
                  <c:v>27.101600000000001</c:v>
                </c:pt>
                <c:pt idx="41">
                  <c:v>27.229925000000001</c:v>
                </c:pt>
                <c:pt idx="42">
                  <c:v>27.275324000000001</c:v>
                </c:pt>
                <c:pt idx="43">
                  <c:v>27.270046000000001</c:v>
                </c:pt>
                <c:pt idx="44">
                  <c:v>27.264768</c:v>
                </c:pt>
                <c:pt idx="45">
                  <c:v>27.235695</c:v>
                </c:pt>
                <c:pt idx="46">
                  <c:v>27.092406</c:v>
                </c:pt>
                <c:pt idx="47">
                  <c:v>26.949117000000001</c:v>
                </c:pt>
                <c:pt idx="48">
                  <c:v>26.805828000000002</c:v>
                </c:pt>
                <c:pt idx="49">
                  <c:v>26.555502000000001</c:v>
                </c:pt>
                <c:pt idx="50">
                  <c:v>26.264399999999998</c:v>
                </c:pt>
                <c:pt idx="51">
                  <c:v>25.973298</c:v>
                </c:pt>
                <c:pt idx="52">
                  <c:v>25.637076</c:v>
                </c:pt>
                <c:pt idx="53">
                  <c:v>25.182414000000001</c:v>
                </c:pt>
                <c:pt idx="54">
                  <c:v>24.727751999999999</c:v>
                </c:pt>
                <c:pt idx="55">
                  <c:v>24.27309</c:v>
                </c:pt>
                <c:pt idx="56">
                  <c:v>23.665956000000001</c:v>
                </c:pt>
                <c:pt idx="57">
                  <c:v>23.027056999999999</c:v>
                </c:pt>
                <c:pt idx="58">
                  <c:v>22.388158000000001</c:v>
                </c:pt>
                <c:pt idx="59">
                  <c:v>21.670268</c:v>
                </c:pt>
                <c:pt idx="60">
                  <c:v>20.823119999999999</c:v>
                </c:pt>
                <c:pt idx="61">
                  <c:v>19.975971999999999</c:v>
                </c:pt>
                <c:pt idx="62">
                  <c:v>19.128824000000002</c:v>
                </c:pt>
                <c:pt idx="63">
                  <c:v>18.065864999999999</c:v>
                </c:pt>
                <c:pt idx="64">
                  <c:v>16.986920000000001</c:v>
                </c:pt>
                <c:pt idx="65">
                  <c:v>15.907975</c:v>
                </c:pt>
                <c:pt idx="66">
                  <c:v>14.708797999999989</c:v>
                </c:pt>
                <c:pt idx="67">
                  <c:v>13.380801</c:v>
                </c:pt>
                <c:pt idx="68">
                  <c:v>12.052804000000011</c:v>
                </c:pt>
                <c:pt idx="69">
                  <c:v>10.716176700000011</c:v>
                </c:pt>
                <c:pt idx="70">
                  <c:v>9.1379010000000118</c:v>
                </c:pt>
                <c:pt idx="71">
                  <c:v>7.5596252999999942</c:v>
                </c:pt>
                <c:pt idx="72">
                  <c:v>5.9813495999999997</c:v>
                </c:pt>
                <c:pt idx="73">
                  <c:v>4.2722430900000061</c:v>
                </c:pt>
                <c:pt idx="74">
                  <c:v>2.470785419999987</c:v>
                </c:pt>
                <c:pt idx="75">
                  <c:v>0.66932774999999367</c:v>
                </c:pt>
                <c:pt idx="76">
                  <c:v>-1.153846479999999</c:v>
                </c:pt>
                <c:pt idx="77">
                  <c:v>-3.112749210000012</c:v>
                </c:pt>
                <c:pt idx="78">
                  <c:v>-5.0716519399999962</c:v>
                </c:pt>
                <c:pt idx="79">
                  <c:v>-7.0305546699999812</c:v>
                </c:pt>
                <c:pt idx="80">
                  <c:v>-9.0265120000000003</c:v>
                </c:pt>
                <c:pt idx="81">
                  <c:v>-11.03914389999999</c:v>
                </c:pt>
                <c:pt idx="82">
                  <c:v>-13.05177579999998</c:v>
                </c:pt>
                <c:pt idx="83">
                  <c:v>-15.04721500000001</c:v>
                </c:pt>
                <c:pt idx="84">
                  <c:v>-16.988620000000001</c:v>
                </c:pt>
                <c:pt idx="85">
                  <c:v>-18.930025000000018</c:v>
                </c:pt>
                <c:pt idx="86">
                  <c:v>-20.871430000000011</c:v>
                </c:pt>
                <c:pt idx="87">
                  <c:v>-22.662783000000001</c:v>
                </c:pt>
                <c:pt idx="88">
                  <c:v>-24.414992000000009</c:v>
                </c:pt>
                <c:pt idx="89">
                  <c:v>-26.167200999999999</c:v>
                </c:pt>
                <c:pt idx="90">
                  <c:v>-27.82419999999999</c:v>
                </c:pt>
                <c:pt idx="91">
                  <c:v>-29.300300000000011</c:v>
                </c:pt>
                <c:pt idx="92">
                  <c:v>-30.776399999999999</c:v>
                </c:pt>
                <c:pt idx="93">
                  <c:v>-32.252499999999998</c:v>
                </c:pt>
                <c:pt idx="94">
                  <c:v>-33.440286000000008</c:v>
                </c:pt>
                <c:pt idx="95">
                  <c:v>-34.594805000000001</c:v>
                </c:pt>
                <c:pt idx="96">
                  <c:v>-35.749324000000001</c:v>
                </c:pt>
                <c:pt idx="97">
                  <c:v>-36.756449000000003</c:v>
                </c:pt>
                <c:pt idx="98">
                  <c:v>-37.582166000000001</c:v>
                </c:pt>
                <c:pt idx="99">
                  <c:v>-38.407883000000012</c:v>
                </c:pt>
                <c:pt idx="100">
                  <c:v>-39.233600000000003</c:v>
                </c:pt>
              </c:numCache>
            </c:numRef>
          </c:yVal>
          <c:smooth val="1"/>
          <c:extLst>
            <c:ext xmlns:c16="http://schemas.microsoft.com/office/drawing/2014/chart" uri="{C3380CC4-5D6E-409C-BE32-E72D297353CC}">
              <c16:uniqueId val="{00000002-E4F7-4078-9989-388408471C5A}"/>
            </c:ext>
          </c:extLst>
        </c:ser>
        <c:dLbls>
          <c:showLegendKey val="0"/>
          <c:showVal val="0"/>
          <c:showCatName val="0"/>
          <c:showSerName val="0"/>
          <c:showPercent val="0"/>
          <c:showBubbleSize val="0"/>
        </c:dLbls>
        <c:axId val="90982272"/>
        <c:axId val="90983808"/>
      </c:scatterChart>
      <c:valAx>
        <c:axId val="90982272"/>
        <c:scaling>
          <c:orientation val="minMax"/>
          <c:max val="100"/>
        </c:scaling>
        <c:delete val="0"/>
        <c:axPos val="b"/>
        <c:numFmt formatCode="General" sourceLinked="1"/>
        <c:majorTickMark val="out"/>
        <c:minorTickMark val="none"/>
        <c:tickLblPos val="nextTo"/>
        <c:txPr>
          <a:bodyPr/>
          <a:lstStyle/>
          <a:p>
            <a:pPr>
              <a:defRPr lang="en-US" sz="800"/>
            </a:pPr>
            <a:endParaRPr lang="en-US"/>
          </a:p>
        </c:txPr>
        <c:crossAx val="90983808"/>
        <c:crosses val="autoZero"/>
        <c:crossBetween val="midCat"/>
        <c:majorUnit val="20"/>
      </c:valAx>
      <c:valAx>
        <c:axId val="90983808"/>
        <c:scaling>
          <c:orientation val="minMax"/>
        </c:scaling>
        <c:delete val="0"/>
        <c:axPos val="l"/>
        <c:title>
          <c:tx>
            <c:rich>
              <a:bodyPr rot="-5400000" vert="horz"/>
              <a:lstStyle/>
              <a:p>
                <a:pPr>
                  <a:defRPr lang="en-AU" sz="900"/>
                </a:pPr>
                <a:r>
                  <a:rPr lang="en-US" sz="900"/>
                  <a:t>Angle (degrees)</a:t>
                </a:r>
              </a:p>
            </c:rich>
          </c:tx>
          <c:layout>
            <c:manualLayout>
              <c:xMode val="edge"/>
              <c:yMode val="edge"/>
              <c:x val="6.1702551325188921E-3"/>
              <c:y val="0.32694305948250502"/>
            </c:manualLayout>
          </c:layout>
          <c:overlay val="0"/>
        </c:title>
        <c:numFmt formatCode="0" sourceLinked="0"/>
        <c:majorTickMark val="out"/>
        <c:minorTickMark val="none"/>
        <c:tickLblPos val="nextTo"/>
        <c:txPr>
          <a:bodyPr/>
          <a:lstStyle/>
          <a:p>
            <a:pPr>
              <a:defRPr lang="en-US" sz="800"/>
            </a:pPr>
            <a:endParaRPr lang="en-US"/>
          </a:p>
        </c:txPr>
        <c:crossAx val="90982272"/>
        <c:crosses val="autoZero"/>
        <c:crossBetween val="midCat"/>
      </c:valAx>
    </c:plotArea>
    <c:plotVisOnly val="1"/>
    <c:dispBlanksAs val="gap"/>
    <c:showDLblsOverMax val="0"/>
  </c:chart>
  <c:printSettings>
    <c:headerFooter/>
    <c:pageMargins b="0.75000000000001421" l="0.70000000000000095" r="0.70000000000000095" t="0.75000000000001421" header="0.3000000000000001" footer="0.3000000000000001"/>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US" sz="1200"/>
            </a:pPr>
            <a:r>
              <a:rPr lang="en-US" sz="1200"/>
              <a:t>Knee Angle</a:t>
            </a:r>
          </a:p>
        </c:rich>
      </c:tx>
      <c:overlay val="0"/>
    </c:title>
    <c:autoTitleDeleted val="0"/>
    <c:plotArea>
      <c:layout>
        <c:manualLayout>
          <c:layoutTarget val="inner"/>
          <c:xMode val="edge"/>
          <c:yMode val="edge"/>
          <c:x val="9.3543119610048756E-2"/>
          <c:y val="3.7560920998619247E-2"/>
          <c:w val="0.87628815148106487"/>
          <c:h val="0.8591737881106094"/>
        </c:manualLayout>
      </c:layout>
      <c:scatterChart>
        <c:scatterStyle val="smoothMarker"/>
        <c:varyColors val="0"/>
        <c:ser>
          <c:idx val="1"/>
          <c:order val="0"/>
          <c:tx>
            <c:v>Normative</c:v>
          </c:tx>
          <c:spPr>
            <a:ln>
              <a:solidFill>
                <a:schemeClr val="tx1"/>
              </a:solidFill>
            </a:ln>
          </c:spPr>
          <c:marker>
            <c:symbol val="none"/>
          </c:marker>
          <c:xVal>
            <c:numRef>
              <c:f>Normative!$A$2:$A$102</c:f>
              <c:numCache>
                <c:formatCode>General</c:formatCode>
                <c:ptCount val="101"/>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numCache>
            </c:numRef>
          </c:xVal>
          <c:yVal>
            <c:numRef>
              <c:f>Normative!$P$2:$P$102</c:f>
              <c:numCache>
                <c:formatCode>General</c:formatCode>
                <c:ptCount val="101"/>
                <c:pt idx="0">
                  <c:v>31.23036411</c:v>
                </c:pt>
                <c:pt idx="1">
                  <c:v>31.23036411</c:v>
                </c:pt>
                <c:pt idx="2">
                  <c:v>32.004609246666668</c:v>
                </c:pt>
                <c:pt idx="3">
                  <c:v>32.045434146666665</c:v>
                </c:pt>
                <c:pt idx="4">
                  <c:v>33.098329339999999</c:v>
                </c:pt>
                <c:pt idx="5">
                  <c:v>33.199552340000004</c:v>
                </c:pt>
                <c:pt idx="6">
                  <c:v>34.564726630000003</c:v>
                </c:pt>
                <c:pt idx="7">
                  <c:v>34.956121830000001</c:v>
                </c:pt>
                <c:pt idx="8">
                  <c:v>36.091805229999999</c:v>
                </c:pt>
                <c:pt idx="9">
                  <c:v>36.843145716666669</c:v>
                </c:pt>
                <c:pt idx="10">
                  <c:v>37.731865576666671</c:v>
                </c:pt>
                <c:pt idx="11">
                  <c:v>38.406997359999998</c:v>
                </c:pt>
                <c:pt idx="12">
                  <c:v>39.14734683333333</c:v>
                </c:pt>
                <c:pt idx="13">
                  <c:v>40.037815343333335</c:v>
                </c:pt>
                <c:pt idx="14">
                  <c:v>40.762034026666669</c:v>
                </c:pt>
                <c:pt idx="15">
                  <c:v>41.238613153333333</c:v>
                </c:pt>
                <c:pt idx="16">
                  <c:v>41.80170286333334</c:v>
                </c:pt>
                <c:pt idx="17">
                  <c:v>42.196932706666665</c:v>
                </c:pt>
                <c:pt idx="18">
                  <c:v>42.766196283333329</c:v>
                </c:pt>
                <c:pt idx="19">
                  <c:v>43.016423416666662</c:v>
                </c:pt>
                <c:pt idx="20">
                  <c:v>43.217997699999998</c:v>
                </c:pt>
                <c:pt idx="21">
                  <c:v>43.31913235333333</c:v>
                </c:pt>
                <c:pt idx="22">
                  <c:v>43.375962533333336</c:v>
                </c:pt>
                <c:pt idx="23">
                  <c:v>43.320317056666667</c:v>
                </c:pt>
                <c:pt idx="24">
                  <c:v>43.237661423333336</c:v>
                </c:pt>
                <c:pt idx="25">
                  <c:v>42.936763703333334</c:v>
                </c:pt>
                <c:pt idx="26">
                  <c:v>42.503831853333338</c:v>
                </c:pt>
                <c:pt idx="27">
                  <c:v>42.152687329999999</c:v>
                </c:pt>
                <c:pt idx="28">
                  <c:v>41.759144246666665</c:v>
                </c:pt>
                <c:pt idx="29">
                  <c:v>41.141545863333327</c:v>
                </c:pt>
                <c:pt idx="30">
                  <c:v>40.537249543333338</c:v>
                </c:pt>
                <c:pt idx="31">
                  <c:v>39.82109973</c:v>
                </c:pt>
                <c:pt idx="32">
                  <c:v>39.177638856666668</c:v>
                </c:pt>
                <c:pt idx="33">
                  <c:v>37.88105642666666</c:v>
                </c:pt>
                <c:pt idx="34">
                  <c:v>37.09118655333333</c:v>
                </c:pt>
                <c:pt idx="35">
                  <c:v>35.894285749999995</c:v>
                </c:pt>
                <c:pt idx="36">
                  <c:v>35.078353336666666</c:v>
                </c:pt>
                <c:pt idx="37">
                  <c:v>33.618913466666662</c:v>
                </c:pt>
                <c:pt idx="38">
                  <c:v>32.199378140000007</c:v>
                </c:pt>
                <c:pt idx="39">
                  <c:v>30.90102834333333</c:v>
                </c:pt>
                <c:pt idx="40">
                  <c:v>29.733055693333331</c:v>
                </c:pt>
                <c:pt idx="41">
                  <c:v>28.311431340000002</c:v>
                </c:pt>
                <c:pt idx="42">
                  <c:v>27.048866146666665</c:v>
                </c:pt>
                <c:pt idx="43">
                  <c:v>25.434840726666668</c:v>
                </c:pt>
                <c:pt idx="44">
                  <c:v>24.710263509999997</c:v>
                </c:pt>
                <c:pt idx="45">
                  <c:v>22.832860456666662</c:v>
                </c:pt>
                <c:pt idx="46">
                  <c:v>22.557663096666666</c:v>
                </c:pt>
                <c:pt idx="47">
                  <c:v>21.13183312666667</c:v>
                </c:pt>
                <c:pt idx="48">
                  <c:v>21.035456026666669</c:v>
                </c:pt>
                <c:pt idx="49">
                  <c:v>20.059398476666669</c:v>
                </c:pt>
                <c:pt idx="50">
                  <c:v>19.717464530000001</c:v>
                </c:pt>
              </c:numCache>
            </c:numRef>
          </c:yVal>
          <c:smooth val="1"/>
          <c:extLst>
            <c:ext xmlns:c16="http://schemas.microsoft.com/office/drawing/2014/chart" uri="{C3380CC4-5D6E-409C-BE32-E72D297353CC}">
              <c16:uniqueId val="{00000000-CF3F-4B88-AD47-73C529BD7990}"/>
            </c:ext>
          </c:extLst>
        </c:ser>
        <c:ser>
          <c:idx val="6"/>
          <c:order val="1"/>
          <c:tx>
            <c:v>Right 3</c:v>
          </c:tx>
          <c:spPr>
            <a:ln w="19050">
              <a:solidFill>
                <a:srgbClr val="00B050"/>
              </a:solidFill>
            </a:ln>
          </c:spPr>
          <c:marker>
            <c:symbol val="none"/>
          </c:marker>
          <c:xVal>
            <c:numRef>
              <c:f>'Right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3 Kin'!$P$2:$P$102</c:f>
              <c:numCache>
                <c:formatCode>General</c:formatCode>
                <c:ptCount val="101"/>
                <c:pt idx="0">
                  <c:v>39.101599999999998</c:v>
                </c:pt>
                <c:pt idx="1">
                  <c:v>39.414822000000001</c:v>
                </c:pt>
                <c:pt idx="2">
                  <c:v>39.728043999999997</c:v>
                </c:pt>
                <c:pt idx="3">
                  <c:v>40.041266</c:v>
                </c:pt>
                <c:pt idx="4">
                  <c:v>40.357196000000002</c:v>
                </c:pt>
                <c:pt idx="5">
                  <c:v>40.688020000000002</c:v>
                </c:pt>
                <c:pt idx="6">
                  <c:v>41.018844000000001</c:v>
                </c:pt>
                <c:pt idx="7">
                  <c:v>41.349668000000001</c:v>
                </c:pt>
                <c:pt idx="8">
                  <c:v>41.681524000000003</c:v>
                </c:pt>
                <c:pt idx="9">
                  <c:v>42.015701999999997</c:v>
                </c:pt>
                <c:pt idx="10">
                  <c:v>42.349879999999999</c:v>
                </c:pt>
                <c:pt idx="11">
                  <c:v>42.684058</c:v>
                </c:pt>
                <c:pt idx="12">
                  <c:v>43.009632000000003</c:v>
                </c:pt>
                <c:pt idx="13">
                  <c:v>43.325167999999998</c:v>
                </c:pt>
                <c:pt idx="14">
                  <c:v>43.640703999999999</c:v>
                </c:pt>
                <c:pt idx="15">
                  <c:v>43.956239999999987</c:v>
                </c:pt>
                <c:pt idx="16">
                  <c:v>44.245583999999987</c:v>
                </c:pt>
                <c:pt idx="17">
                  <c:v>44.518557999999999</c:v>
                </c:pt>
                <c:pt idx="18">
                  <c:v>44.791531999999997</c:v>
                </c:pt>
                <c:pt idx="19">
                  <c:v>45.064505999999987</c:v>
                </c:pt>
                <c:pt idx="20">
                  <c:v>45.290299999999988</c:v>
                </c:pt>
                <c:pt idx="21">
                  <c:v>45.501939999999998</c:v>
                </c:pt>
                <c:pt idx="22">
                  <c:v>45.71358</c:v>
                </c:pt>
                <c:pt idx="23">
                  <c:v>45.925220000000003</c:v>
                </c:pt>
                <c:pt idx="24">
                  <c:v>46.071364000000003</c:v>
                </c:pt>
                <c:pt idx="25">
                  <c:v>46.212049999999998</c:v>
                </c:pt>
                <c:pt idx="26">
                  <c:v>46.352736</c:v>
                </c:pt>
                <c:pt idx="27">
                  <c:v>46.487876</c:v>
                </c:pt>
                <c:pt idx="28">
                  <c:v>46.556463999999998</c:v>
                </c:pt>
                <c:pt idx="29">
                  <c:v>46.625051999999997</c:v>
                </c:pt>
                <c:pt idx="30">
                  <c:v>46.693640000000002</c:v>
                </c:pt>
                <c:pt idx="31">
                  <c:v>46.746478000000003</c:v>
                </c:pt>
                <c:pt idx="32">
                  <c:v>46.746816000000003</c:v>
                </c:pt>
                <c:pt idx="33">
                  <c:v>46.747154000000002</c:v>
                </c:pt>
                <c:pt idx="34">
                  <c:v>46.747492000000001</c:v>
                </c:pt>
                <c:pt idx="35">
                  <c:v>46.723039999999997</c:v>
                </c:pt>
                <c:pt idx="36">
                  <c:v>46.658923999999999</c:v>
                </c:pt>
                <c:pt idx="37">
                  <c:v>46.594808</c:v>
                </c:pt>
                <c:pt idx="38">
                  <c:v>46.530692000000002</c:v>
                </c:pt>
                <c:pt idx="39">
                  <c:v>46.431547999999999</c:v>
                </c:pt>
                <c:pt idx="40">
                  <c:v>46.302379999999999</c:v>
                </c:pt>
                <c:pt idx="41">
                  <c:v>46.173211999999999</c:v>
                </c:pt>
                <c:pt idx="42">
                  <c:v>46.044044</c:v>
                </c:pt>
                <c:pt idx="43">
                  <c:v>45.865304000000002</c:v>
                </c:pt>
                <c:pt idx="44">
                  <c:v>45.664532000000001</c:v>
                </c:pt>
                <c:pt idx="45">
                  <c:v>45.463760000000001</c:v>
                </c:pt>
                <c:pt idx="46">
                  <c:v>45.262988</c:v>
                </c:pt>
                <c:pt idx="47">
                  <c:v>44.992784</c:v>
                </c:pt>
                <c:pt idx="48">
                  <c:v>44.709956000000012</c:v>
                </c:pt>
                <c:pt idx="49">
                  <c:v>44.427128000000003</c:v>
                </c:pt>
                <c:pt idx="50">
                  <c:v>44.144300000000001</c:v>
                </c:pt>
                <c:pt idx="51">
                  <c:v>43.769717999999997</c:v>
                </c:pt>
                <c:pt idx="52">
                  <c:v>43.395136000000001</c:v>
                </c:pt>
                <c:pt idx="53">
                  <c:v>43.020553999999997</c:v>
                </c:pt>
                <c:pt idx="54">
                  <c:v>42.631064000000002</c:v>
                </c:pt>
                <c:pt idx="55">
                  <c:v>42.159579999999998</c:v>
                </c:pt>
                <c:pt idx="56">
                  <c:v>41.688096000000002</c:v>
                </c:pt>
                <c:pt idx="57">
                  <c:v>41.216611999999998</c:v>
                </c:pt>
                <c:pt idx="58">
                  <c:v>40.715615999999997</c:v>
                </c:pt>
                <c:pt idx="59">
                  <c:v>40.148218</c:v>
                </c:pt>
                <c:pt idx="60">
                  <c:v>39.580820000000003</c:v>
                </c:pt>
                <c:pt idx="61">
                  <c:v>39.013421999999998</c:v>
                </c:pt>
                <c:pt idx="62">
                  <c:v>38.404912000000003</c:v>
                </c:pt>
                <c:pt idx="63">
                  <c:v>37.748438</c:v>
                </c:pt>
                <c:pt idx="64">
                  <c:v>37.091963999999997</c:v>
                </c:pt>
                <c:pt idx="65">
                  <c:v>36.435490000000001</c:v>
                </c:pt>
                <c:pt idx="66">
                  <c:v>35.732072000000002</c:v>
                </c:pt>
                <c:pt idx="67">
                  <c:v>34.999313999999998</c:v>
                </c:pt>
                <c:pt idx="68">
                  <c:v>34.266556000000001</c:v>
                </c:pt>
                <c:pt idx="69">
                  <c:v>33.53379799999999</c:v>
                </c:pt>
                <c:pt idx="70">
                  <c:v>32.758119999999998</c:v>
                </c:pt>
                <c:pt idx="71">
                  <c:v>31.96956599999999</c:v>
                </c:pt>
                <c:pt idx="72">
                  <c:v>31.181011999999999</c:v>
                </c:pt>
                <c:pt idx="73">
                  <c:v>30.392458000000001</c:v>
                </c:pt>
                <c:pt idx="74">
                  <c:v>29.581271999999991</c:v>
                </c:pt>
                <c:pt idx="75">
                  <c:v>28.76819999999999</c:v>
                </c:pt>
                <c:pt idx="76">
                  <c:v>27.955127999999998</c:v>
                </c:pt>
                <c:pt idx="77">
                  <c:v>27.143575999999989</c:v>
                </c:pt>
                <c:pt idx="78">
                  <c:v>26.350263999999999</c:v>
                </c:pt>
                <c:pt idx="79">
                  <c:v>25.556951999999999</c:v>
                </c:pt>
                <c:pt idx="80">
                  <c:v>24.763639999999992</c:v>
                </c:pt>
                <c:pt idx="81">
                  <c:v>23.9878</c:v>
                </c:pt>
                <c:pt idx="82">
                  <c:v>23.270199999999999</c:v>
                </c:pt>
                <c:pt idx="83">
                  <c:v>22.552599999999991</c:v>
                </c:pt>
                <c:pt idx="84">
                  <c:v>21.83499999999999</c:v>
                </c:pt>
                <c:pt idx="85">
                  <c:v>21.169859999999989</c:v>
                </c:pt>
                <c:pt idx="86">
                  <c:v>20.58865599999999</c:v>
                </c:pt>
                <c:pt idx="87">
                  <c:v>20.007452000000001</c:v>
                </c:pt>
                <c:pt idx="88">
                  <c:v>19.42624799999999</c:v>
                </c:pt>
                <c:pt idx="89">
                  <c:v>18.948125999999998</c:v>
                </c:pt>
                <c:pt idx="90">
                  <c:v>18.55836</c:v>
                </c:pt>
                <c:pt idx="91">
                  <c:v>18.168593999999999</c:v>
                </c:pt>
                <c:pt idx="92">
                  <c:v>17.778828000000001</c:v>
                </c:pt>
                <c:pt idx="93">
                  <c:v>17.548362000000001</c:v>
                </c:pt>
                <c:pt idx="94">
                  <c:v>17.388695999999999</c:v>
                </c:pt>
                <c:pt idx="95">
                  <c:v>17.229030000000002</c:v>
                </c:pt>
                <c:pt idx="96">
                  <c:v>17.069364</c:v>
                </c:pt>
                <c:pt idx="97">
                  <c:v>17.1174</c:v>
                </c:pt>
                <c:pt idx="98">
                  <c:v>17.203199999999999</c:v>
                </c:pt>
                <c:pt idx="99">
                  <c:v>17.289000000000001</c:v>
                </c:pt>
                <c:pt idx="100">
                  <c:v>17.3748</c:v>
                </c:pt>
              </c:numCache>
            </c:numRef>
          </c:yVal>
          <c:smooth val="1"/>
          <c:extLst>
            <c:ext xmlns:c16="http://schemas.microsoft.com/office/drawing/2014/chart" uri="{C3380CC4-5D6E-409C-BE32-E72D297353CC}">
              <c16:uniqueId val="{00000004-E31A-471D-9908-617DC363F19A}"/>
            </c:ext>
          </c:extLst>
        </c:ser>
        <c:ser>
          <c:idx val="5"/>
          <c:order val="2"/>
          <c:tx>
            <c:v>Right 2</c:v>
          </c:tx>
          <c:spPr>
            <a:ln w="19050">
              <a:solidFill>
                <a:srgbClr val="00B050"/>
              </a:solidFill>
            </a:ln>
          </c:spPr>
          <c:marker>
            <c:symbol val="none"/>
          </c:marker>
          <c:xVal>
            <c:numRef>
              <c:f>'Right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2 Kin'!$P$2:$P$102</c:f>
              <c:numCache>
                <c:formatCode>General</c:formatCode>
                <c:ptCount val="101"/>
                <c:pt idx="0">
                  <c:v>38.085999999999999</c:v>
                </c:pt>
                <c:pt idx="1">
                  <c:v>38.422528</c:v>
                </c:pt>
                <c:pt idx="2">
                  <c:v>38.759056000000001</c:v>
                </c:pt>
                <c:pt idx="3">
                  <c:v>39.095584000000002</c:v>
                </c:pt>
                <c:pt idx="4">
                  <c:v>39.432304000000002</c:v>
                </c:pt>
                <c:pt idx="5">
                  <c:v>39.769480000000001</c:v>
                </c:pt>
                <c:pt idx="6">
                  <c:v>40.106656000000001</c:v>
                </c:pt>
                <c:pt idx="7">
                  <c:v>40.443832</c:v>
                </c:pt>
                <c:pt idx="8">
                  <c:v>40.779200000000003</c:v>
                </c:pt>
                <c:pt idx="9">
                  <c:v>41.113325000000003</c:v>
                </c:pt>
                <c:pt idx="10">
                  <c:v>41.447450000000003</c:v>
                </c:pt>
                <c:pt idx="11">
                  <c:v>41.781574999999997</c:v>
                </c:pt>
                <c:pt idx="12">
                  <c:v>42.108812</c:v>
                </c:pt>
                <c:pt idx="13">
                  <c:v>42.435187999999997</c:v>
                </c:pt>
                <c:pt idx="14">
                  <c:v>42.761564</c:v>
                </c:pt>
                <c:pt idx="15">
                  <c:v>43.085405000000002</c:v>
                </c:pt>
                <c:pt idx="16">
                  <c:v>43.398092000000013</c:v>
                </c:pt>
                <c:pt idx="17">
                  <c:v>43.710779000000002</c:v>
                </c:pt>
                <c:pt idx="18">
                  <c:v>44.023465999999999</c:v>
                </c:pt>
                <c:pt idx="19">
                  <c:v>44.325974000000002</c:v>
                </c:pt>
                <c:pt idx="20">
                  <c:v>44.617519999999999</c:v>
                </c:pt>
                <c:pt idx="21">
                  <c:v>44.909066000000003</c:v>
                </c:pt>
                <c:pt idx="22">
                  <c:v>45.200612</c:v>
                </c:pt>
                <c:pt idx="23">
                  <c:v>45.468826999999997</c:v>
                </c:pt>
                <c:pt idx="24">
                  <c:v>45.730376</c:v>
                </c:pt>
                <c:pt idx="25">
                  <c:v>45.991925000000002</c:v>
                </c:pt>
                <c:pt idx="26">
                  <c:v>46.250495999999998</c:v>
                </c:pt>
                <c:pt idx="27">
                  <c:v>46.471842000000002</c:v>
                </c:pt>
                <c:pt idx="28">
                  <c:v>46.693187999999999</c:v>
                </c:pt>
                <c:pt idx="29">
                  <c:v>46.914534000000003</c:v>
                </c:pt>
                <c:pt idx="30">
                  <c:v>47.116900000000001</c:v>
                </c:pt>
                <c:pt idx="31">
                  <c:v>47.286999999999999</c:v>
                </c:pt>
                <c:pt idx="32">
                  <c:v>47.457099999999997</c:v>
                </c:pt>
                <c:pt idx="33">
                  <c:v>47.627200000000002</c:v>
                </c:pt>
                <c:pt idx="34">
                  <c:v>47.755684000000002</c:v>
                </c:pt>
                <c:pt idx="35">
                  <c:v>47.86336</c:v>
                </c:pt>
                <c:pt idx="36">
                  <c:v>47.971036000000012</c:v>
                </c:pt>
                <c:pt idx="37">
                  <c:v>48.078712000000003</c:v>
                </c:pt>
                <c:pt idx="38">
                  <c:v>48.116135999999997</c:v>
                </c:pt>
                <c:pt idx="39">
                  <c:v>48.150857999999999</c:v>
                </c:pt>
                <c:pt idx="40">
                  <c:v>48.185580000000002</c:v>
                </c:pt>
                <c:pt idx="41">
                  <c:v>48.199071000000004</c:v>
                </c:pt>
                <c:pt idx="42">
                  <c:v>48.151902</c:v>
                </c:pt>
                <c:pt idx="43">
                  <c:v>48.104733000000003</c:v>
                </c:pt>
                <c:pt idx="44">
                  <c:v>48.057563999999999</c:v>
                </c:pt>
                <c:pt idx="45">
                  <c:v>47.961345000000001</c:v>
                </c:pt>
                <c:pt idx="46">
                  <c:v>47.825885999999997</c:v>
                </c:pt>
                <c:pt idx="47">
                  <c:v>47.690427</c:v>
                </c:pt>
                <c:pt idx="48">
                  <c:v>47.554968000000002</c:v>
                </c:pt>
                <c:pt idx="49">
                  <c:v>47.341631</c:v>
                </c:pt>
                <c:pt idx="50">
                  <c:v>47.114750000000001</c:v>
                </c:pt>
                <c:pt idx="51">
                  <c:v>46.887869000000002</c:v>
                </c:pt>
                <c:pt idx="52">
                  <c:v>46.647536000000002</c:v>
                </c:pt>
                <c:pt idx="53">
                  <c:v>46.329853999999997</c:v>
                </c:pt>
                <c:pt idx="54">
                  <c:v>46.012172</c:v>
                </c:pt>
                <c:pt idx="55">
                  <c:v>45.694490000000002</c:v>
                </c:pt>
                <c:pt idx="56">
                  <c:v>45.338504</c:v>
                </c:pt>
                <c:pt idx="57">
                  <c:v>44.934638</c:v>
                </c:pt>
                <c:pt idx="58">
                  <c:v>44.530771999999999</c:v>
                </c:pt>
                <c:pt idx="59">
                  <c:v>44.126905999999998</c:v>
                </c:pt>
                <c:pt idx="60">
                  <c:v>43.665520000000001</c:v>
                </c:pt>
                <c:pt idx="61">
                  <c:v>43.184001999999992</c:v>
                </c:pt>
                <c:pt idx="62">
                  <c:v>42.702483999999991</c:v>
                </c:pt>
                <c:pt idx="63">
                  <c:v>42.218547999999998</c:v>
                </c:pt>
                <c:pt idx="64">
                  <c:v>41.671743999999997</c:v>
                </c:pt>
                <c:pt idx="65">
                  <c:v>41.124940000000002</c:v>
                </c:pt>
                <c:pt idx="66">
                  <c:v>40.578136000000001</c:v>
                </c:pt>
                <c:pt idx="67">
                  <c:v>40.014853000000002</c:v>
                </c:pt>
                <c:pt idx="68">
                  <c:v>39.418612000000003</c:v>
                </c:pt>
                <c:pt idx="69">
                  <c:v>38.822370999999997</c:v>
                </c:pt>
                <c:pt idx="70">
                  <c:v>38.226129999999998</c:v>
                </c:pt>
                <c:pt idx="71">
                  <c:v>37.610865999999987</c:v>
                </c:pt>
                <c:pt idx="72">
                  <c:v>36.984411999999992</c:v>
                </c:pt>
                <c:pt idx="73">
                  <c:v>36.357958000000004</c:v>
                </c:pt>
                <c:pt idx="74">
                  <c:v>35.731503999999987</c:v>
                </c:pt>
                <c:pt idx="75">
                  <c:v>35.097799999999999</c:v>
                </c:pt>
                <c:pt idx="76">
                  <c:v>34.463516000000013</c:v>
                </c:pt>
                <c:pt idx="77">
                  <c:v>33.829231999999998</c:v>
                </c:pt>
                <c:pt idx="78">
                  <c:v>33.198752000000013</c:v>
                </c:pt>
                <c:pt idx="79">
                  <c:v>32.581586000000001</c:v>
                </c:pt>
                <c:pt idx="80">
                  <c:v>31.96442</c:v>
                </c:pt>
                <c:pt idx="81">
                  <c:v>31.347254</c:v>
                </c:pt>
                <c:pt idx="82">
                  <c:v>30.752852000000001</c:v>
                </c:pt>
                <c:pt idx="83">
                  <c:v>30.179587999999999</c:v>
                </c:pt>
                <c:pt idx="84">
                  <c:v>29.606324000000001</c:v>
                </c:pt>
                <c:pt idx="85">
                  <c:v>29.033059999999988</c:v>
                </c:pt>
                <c:pt idx="86">
                  <c:v>28.517700000000001</c:v>
                </c:pt>
                <c:pt idx="87">
                  <c:v>28.015499999999999</c:v>
                </c:pt>
                <c:pt idx="88">
                  <c:v>27.513300000000001</c:v>
                </c:pt>
                <c:pt idx="89">
                  <c:v>27.021854999999999</c:v>
                </c:pt>
                <c:pt idx="90">
                  <c:v>26.61645</c:v>
                </c:pt>
                <c:pt idx="91">
                  <c:v>26.211044999999999</c:v>
                </c:pt>
                <c:pt idx="92">
                  <c:v>25.80564</c:v>
                </c:pt>
                <c:pt idx="93">
                  <c:v>25.448888</c:v>
                </c:pt>
                <c:pt idx="94">
                  <c:v>25.162904000000001</c:v>
                </c:pt>
                <c:pt idx="95">
                  <c:v>24.876919999999998</c:v>
                </c:pt>
                <c:pt idx="96">
                  <c:v>24.590935999999999</c:v>
                </c:pt>
                <c:pt idx="97">
                  <c:v>24.401605</c:v>
                </c:pt>
                <c:pt idx="98">
                  <c:v>24.252970000000001</c:v>
                </c:pt>
                <c:pt idx="99">
                  <c:v>24.104334999999999</c:v>
                </c:pt>
                <c:pt idx="100">
                  <c:v>23.9557</c:v>
                </c:pt>
              </c:numCache>
            </c:numRef>
          </c:yVal>
          <c:smooth val="1"/>
          <c:extLst>
            <c:ext xmlns:c16="http://schemas.microsoft.com/office/drawing/2014/chart" uri="{C3380CC4-5D6E-409C-BE32-E72D297353CC}">
              <c16:uniqueId val="{00000003-E31A-471D-9908-617DC363F19A}"/>
            </c:ext>
          </c:extLst>
        </c:ser>
        <c:ser>
          <c:idx val="4"/>
          <c:order val="3"/>
          <c:tx>
            <c:v>Right 1</c:v>
          </c:tx>
          <c:spPr>
            <a:ln w="19050">
              <a:solidFill>
                <a:srgbClr val="00B050"/>
              </a:solidFill>
            </a:ln>
          </c:spPr>
          <c:marker>
            <c:symbol val="none"/>
          </c:marker>
          <c:xVal>
            <c:numRef>
              <c:f>'Right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1 Kin'!$P$2:$P$102</c:f>
              <c:numCache>
                <c:formatCode>General</c:formatCode>
                <c:ptCount val="101"/>
                <c:pt idx="0">
                  <c:v>36.222499999999997</c:v>
                </c:pt>
                <c:pt idx="1">
                  <c:v>36.663271000000002</c:v>
                </c:pt>
                <c:pt idx="2">
                  <c:v>37.104042</c:v>
                </c:pt>
                <c:pt idx="3">
                  <c:v>37.544812999999998</c:v>
                </c:pt>
                <c:pt idx="4">
                  <c:v>37.994256</c:v>
                </c:pt>
                <c:pt idx="5">
                  <c:v>38.450744999999998</c:v>
                </c:pt>
                <c:pt idx="6">
                  <c:v>38.907234000000003</c:v>
                </c:pt>
                <c:pt idx="7">
                  <c:v>39.364397999999987</c:v>
                </c:pt>
                <c:pt idx="8">
                  <c:v>39.827412000000002</c:v>
                </c:pt>
                <c:pt idx="9">
                  <c:v>40.290425999999997</c:v>
                </c:pt>
                <c:pt idx="10">
                  <c:v>40.753439999999998</c:v>
                </c:pt>
                <c:pt idx="11">
                  <c:v>41.21349</c:v>
                </c:pt>
                <c:pt idx="12">
                  <c:v>41.671979999999998</c:v>
                </c:pt>
                <c:pt idx="13">
                  <c:v>42.130470000000003</c:v>
                </c:pt>
                <c:pt idx="14">
                  <c:v>42.585473999999998</c:v>
                </c:pt>
                <c:pt idx="15">
                  <c:v>43.027115000000002</c:v>
                </c:pt>
                <c:pt idx="16">
                  <c:v>43.468755999999999</c:v>
                </c:pt>
                <c:pt idx="17">
                  <c:v>43.910397000000003</c:v>
                </c:pt>
                <c:pt idx="18">
                  <c:v>44.329707999999997</c:v>
                </c:pt>
                <c:pt idx="19">
                  <c:v>44.741914000000001</c:v>
                </c:pt>
                <c:pt idx="20">
                  <c:v>45.154119999999999</c:v>
                </c:pt>
                <c:pt idx="21">
                  <c:v>45.553446999999998</c:v>
                </c:pt>
                <c:pt idx="22">
                  <c:v>45.924154000000001</c:v>
                </c:pt>
                <c:pt idx="23">
                  <c:v>46.294860999999997</c:v>
                </c:pt>
                <c:pt idx="24">
                  <c:v>46.665568</c:v>
                </c:pt>
                <c:pt idx="25">
                  <c:v>46.991149999999998</c:v>
                </c:pt>
                <c:pt idx="26">
                  <c:v>47.309512000000012</c:v>
                </c:pt>
                <c:pt idx="27">
                  <c:v>47.627874000000013</c:v>
                </c:pt>
                <c:pt idx="28">
                  <c:v>47.920736000000012</c:v>
                </c:pt>
                <c:pt idx="29">
                  <c:v>48.177473000000013</c:v>
                </c:pt>
                <c:pt idx="30">
                  <c:v>48.43421</c:v>
                </c:pt>
                <c:pt idx="31">
                  <c:v>48.690947000000001</c:v>
                </c:pt>
                <c:pt idx="32">
                  <c:v>48.880595999999997</c:v>
                </c:pt>
                <c:pt idx="33">
                  <c:v>49.067849000000002</c:v>
                </c:pt>
                <c:pt idx="34">
                  <c:v>49.255102000000001</c:v>
                </c:pt>
                <c:pt idx="35">
                  <c:v>49.403039999999997</c:v>
                </c:pt>
                <c:pt idx="36">
                  <c:v>49.514284000000004</c:v>
                </c:pt>
                <c:pt idx="37">
                  <c:v>49.625528000000003</c:v>
                </c:pt>
                <c:pt idx="38">
                  <c:v>49.731133999999997</c:v>
                </c:pt>
                <c:pt idx="39">
                  <c:v>49.760626999999999</c:v>
                </c:pt>
                <c:pt idx="40">
                  <c:v>49.790120000000002</c:v>
                </c:pt>
                <c:pt idx="41">
                  <c:v>49.819612999999997</c:v>
                </c:pt>
                <c:pt idx="42">
                  <c:v>49.795124000000001</c:v>
                </c:pt>
                <c:pt idx="43">
                  <c:v>49.737645999999998</c:v>
                </c:pt>
                <c:pt idx="44">
                  <c:v>49.680167999999988</c:v>
                </c:pt>
                <c:pt idx="45">
                  <c:v>49.606879999999997</c:v>
                </c:pt>
                <c:pt idx="46">
                  <c:v>49.457704</c:v>
                </c:pt>
                <c:pt idx="47">
                  <c:v>49.308528000000003</c:v>
                </c:pt>
                <c:pt idx="48">
                  <c:v>49.159351999999998</c:v>
                </c:pt>
                <c:pt idx="49">
                  <c:v>48.940666</c:v>
                </c:pt>
                <c:pt idx="50">
                  <c:v>48.695500000000003</c:v>
                </c:pt>
                <c:pt idx="51">
                  <c:v>48.450333999999998</c:v>
                </c:pt>
                <c:pt idx="52">
                  <c:v>48.177775999999987</c:v>
                </c:pt>
                <c:pt idx="53">
                  <c:v>47.833313999999987</c:v>
                </c:pt>
                <c:pt idx="54">
                  <c:v>47.488852000000001</c:v>
                </c:pt>
                <c:pt idx="55">
                  <c:v>47.144390000000001</c:v>
                </c:pt>
                <c:pt idx="56">
                  <c:v>46.716312000000002</c:v>
                </c:pt>
                <c:pt idx="57">
                  <c:v>46.270814000000001</c:v>
                </c:pt>
                <c:pt idx="58">
                  <c:v>45.825316000000001</c:v>
                </c:pt>
                <c:pt idx="59">
                  <c:v>45.341768999999999</c:v>
                </c:pt>
                <c:pt idx="60">
                  <c:v>44.795960000000001</c:v>
                </c:pt>
                <c:pt idx="61">
                  <c:v>44.250151000000002</c:v>
                </c:pt>
                <c:pt idx="62">
                  <c:v>43.704341999999997</c:v>
                </c:pt>
                <c:pt idx="63">
                  <c:v>43.069136</c:v>
                </c:pt>
                <c:pt idx="64">
                  <c:v>42.427307999999996</c:v>
                </c:pt>
                <c:pt idx="65">
                  <c:v>41.78548</c:v>
                </c:pt>
                <c:pt idx="66">
                  <c:v>41.101764000000003</c:v>
                </c:pt>
                <c:pt idx="67">
                  <c:v>40.373168</c:v>
                </c:pt>
                <c:pt idx="68">
                  <c:v>39.644571999999997</c:v>
                </c:pt>
                <c:pt idx="69">
                  <c:v>38.913522999999998</c:v>
                </c:pt>
                <c:pt idx="70">
                  <c:v>38.113790000000002</c:v>
                </c:pt>
                <c:pt idx="71">
                  <c:v>37.314056999999998</c:v>
                </c:pt>
                <c:pt idx="72">
                  <c:v>36.514324000000002</c:v>
                </c:pt>
                <c:pt idx="73">
                  <c:v>35.686608999999997</c:v>
                </c:pt>
                <c:pt idx="74">
                  <c:v>34.839142000000002</c:v>
                </c:pt>
                <c:pt idx="75">
                  <c:v>33.991674999999987</c:v>
                </c:pt>
                <c:pt idx="76">
                  <c:v>33.142004</c:v>
                </c:pt>
                <c:pt idx="77">
                  <c:v>32.278557999999997</c:v>
                </c:pt>
                <c:pt idx="78">
                  <c:v>31.415112000000001</c:v>
                </c:pt>
                <c:pt idx="79">
                  <c:v>30.551666000000012</c:v>
                </c:pt>
                <c:pt idx="80">
                  <c:v>29.704219999999999</c:v>
                </c:pt>
                <c:pt idx="81">
                  <c:v>28.863973999999999</c:v>
                </c:pt>
                <c:pt idx="82">
                  <c:v>28.023728000000009</c:v>
                </c:pt>
                <c:pt idx="83">
                  <c:v>27.199728999999991</c:v>
                </c:pt>
                <c:pt idx="84">
                  <c:v>26.426791999999999</c:v>
                </c:pt>
                <c:pt idx="85">
                  <c:v>25.653854999999989</c:v>
                </c:pt>
                <c:pt idx="86">
                  <c:v>24.880917999999991</c:v>
                </c:pt>
                <c:pt idx="87">
                  <c:v>24.196784000000001</c:v>
                </c:pt>
                <c:pt idx="88">
                  <c:v>23.535816000000001</c:v>
                </c:pt>
                <c:pt idx="89">
                  <c:v>22.874848</c:v>
                </c:pt>
                <c:pt idx="90">
                  <c:v>22.26642</c:v>
                </c:pt>
                <c:pt idx="91">
                  <c:v>21.757818</c:v>
                </c:pt>
                <c:pt idx="92">
                  <c:v>21.249216000000001</c:v>
                </c:pt>
                <c:pt idx="93">
                  <c:v>20.740614000000001</c:v>
                </c:pt>
                <c:pt idx="94">
                  <c:v>20.397397999999999</c:v>
                </c:pt>
                <c:pt idx="95">
                  <c:v>20.073264999999999</c:v>
                </c:pt>
                <c:pt idx="96">
                  <c:v>19.749131999999999</c:v>
                </c:pt>
                <c:pt idx="97">
                  <c:v>19.516935</c:v>
                </c:pt>
                <c:pt idx="98">
                  <c:v>19.39789</c:v>
                </c:pt>
                <c:pt idx="99">
                  <c:v>19.278845</c:v>
                </c:pt>
                <c:pt idx="100">
                  <c:v>19.159800000000001</c:v>
                </c:pt>
              </c:numCache>
            </c:numRef>
          </c:yVal>
          <c:smooth val="1"/>
          <c:extLst>
            <c:ext xmlns:c16="http://schemas.microsoft.com/office/drawing/2014/chart" uri="{C3380CC4-5D6E-409C-BE32-E72D297353CC}">
              <c16:uniqueId val="{00000002-E31A-471D-9908-617DC363F19A}"/>
            </c:ext>
          </c:extLst>
        </c:ser>
        <c:ser>
          <c:idx val="3"/>
          <c:order val="4"/>
          <c:tx>
            <c:v>Left 3</c:v>
          </c:tx>
          <c:spPr>
            <a:ln w="19050">
              <a:solidFill>
                <a:srgbClr val="FF0000"/>
              </a:solidFill>
            </a:ln>
          </c:spPr>
          <c:marker>
            <c:symbol val="none"/>
          </c:marker>
          <c:xVal>
            <c:numRef>
              <c:f>'Left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3 Kin'!$P$2:$P$102</c:f>
              <c:numCache>
                <c:formatCode>General</c:formatCode>
                <c:ptCount val="101"/>
                <c:pt idx="0">
                  <c:v>38.1128</c:v>
                </c:pt>
                <c:pt idx="1">
                  <c:v>38.307409999999997</c:v>
                </c:pt>
                <c:pt idx="2">
                  <c:v>38.502020000000002</c:v>
                </c:pt>
                <c:pt idx="3">
                  <c:v>38.696629999999999</c:v>
                </c:pt>
                <c:pt idx="4">
                  <c:v>38.895012000000001</c:v>
                </c:pt>
                <c:pt idx="5">
                  <c:v>39.114139999999999</c:v>
                </c:pt>
                <c:pt idx="6">
                  <c:v>39.333267999999997</c:v>
                </c:pt>
                <c:pt idx="7">
                  <c:v>39.552395999999987</c:v>
                </c:pt>
                <c:pt idx="8">
                  <c:v>39.777188000000002</c:v>
                </c:pt>
                <c:pt idx="9">
                  <c:v>40.014724000000001</c:v>
                </c:pt>
                <c:pt idx="10">
                  <c:v>40.25226</c:v>
                </c:pt>
                <c:pt idx="11">
                  <c:v>40.489795999999998</c:v>
                </c:pt>
                <c:pt idx="12">
                  <c:v>40.728484000000002</c:v>
                </c:pt>
                <c:pt idx="13">
                  <c:v>40.968516000000001</c:v>
                </c:pt>
                <c:pt idx="14">
                  <c:v>41.208548</c:v>
                </c:pt>
                <c:pt idx="15">
                  <c:v>41.44858</c:v>
                </c:pt>
                <c:pt idx="16">
                  <c:v>41.676772</c:v>
                </c:pt>
                <c:pt idx="17">
                  <c:v>41.897564000000003</c:v>
                </c:pt>
                <c:pt idx="18">
                  <c:v>42.118355999999999</c:v>
                </c:pt>
                <c:pt idx="19">
                  <c:v>42.339147999999987</c:v>
                </c:pt>
                <c:pt idx="20">
                  <c:v>42.527760000000001</c:v>
                </c:pt>
                <c:pt idx="21">
                  <c:v>42.706718000000002</c:v>
                </c:pt>
                <c:pt idx="22">
                  <c:v>42.885675999999997</c:v>
                </c:pt>
                <c:pt idx="23">
                  <c:v>43.064634000000012</c:v>
                </c:pt>
                <c:pt idx="24">
                  <c:v>43.187047999999997</c:v>
                </c:pt>
                <c:pt idx="25">
                  <c:v>43.304749999999999</c:v>
                </c:pt>
                <c:pt idx="26">
                  <c:v>43.422452</c:v>
                </c:pt>
                <c:pt idx="27">
                  <c:v>43.534374</c:v>
                </c:pt>
                <c:pt idx="28">
                  <c:v>43.576936000000003</c:v>
                </c:pt>
                <c:pt idx="29">
                  <c:v>43.619498</c:v>
                </c:pt>
                <c:pt idx="30">
                  <c:v>43.662059999999997</c:v>
                </c:pt>
                <c:pt idx="31">
                  <c:v>43.685476000000001</c:v>
                </c:pt>
                <c:pt idx="32">
                  <c:v>43.645071999999999</c:v>
                </c:pt>
                <c:pt idx="33">
                  <c:v>43.604667999999997</c:v>
                </c:pt>
                <c:pt idx="34">
                  <c:v>43.564264000000001</c:v>
                </c:pt>
                <c:pt idx="35">
                  <c:v>43.491140000000001</c:v>
                </c:pt>
                <c:pt idx="36">
                  <c:v>43.365664000000002</c:v>
                </c:pt>
                <c:pt idx="37">
                  <c:v>43.240188000000003</c:v>
                </c:pt>
                <c:pt idx="38">
                  <c:v>43.114711999999997</c:v>
                </c:pt>
                <c:pt idx="39">
                  <c:v>42.944758</c:v>
                </c:pt>
                <c:pt idx="40">
                  <c:v>42.73668</c:v>
                </c:pt>
                <c:pt idx="41">
                  <c:v>42.528601999999999</c:v>
                </c:pt>
                <c:pt idx="42">
                  <c:v>42.320523999999999</c:v>
                </c:pt>
                <c:pt idx="43">
                  <c:v>42.059489999999997</c:v>
                </c:pt>
                <c:pt idx="44">
                  <c:v>41.774920000000002</c:v>
                </c:pt>
                <c:pt idx="45">
                  <c:v>41.490349999999999</c:v>
                </c:pt>
                <c:pt idx="46">
                  <c:v>41.205779999999997</c:v>
                </c:pt>
                <c:pt idx="47">
                  <c:v>40.863394</c:v>
                </c:pt>
                <c:pt idx="48">
                  <c:v>40.510496000000003</c:v>
                </c:pt>
                <c:pt idx="49">
                  <c:v>40.157598</c:v>
                </c:pt>
                <c:pt idx="50">
                  <c:v>39.804699999999997</c:v>
                </c:pt>
                <c:pt idx="51">
                  <c:v>39.392443999999998</c:v>
                </c:pt>
                <c:pt idx="52">
                  <c:v>38.980187999999998</c:v>
                </c:pt>
                <c:pt idx="53">
                  <c:v>38.567931999999999</c:v>
                </c:pt>
                <c:pt idx="54">
                  <c:v>38.147739999999999</c:v>
                </c:pt>
                <c:pt idx="55">
                  <c:v>37.683899999999987</c:v>
                </c:pt>
                <c:pt idx="56">
                  <c:v>37.220059999999997</c:v>
                </c:pt>
                <c:pt idx="57">
                  <c:v>36.756219999999999</c:v>
                </c:pt>
                <c:pt idx="58">
                  <c:v>36.277987999999993</c:v>
                </c:pt>
                <c:pt idx="59">
                  <c:v>35.767373999999997</c:v>
                </c:pt>
                <c:pt idx="60">
                  <c:v>35.25676</c:v>
                </c:pt>
                <c:pt idx="61">
                  <c:v>34.746146000000003</c:v>
                </c:pt>
                <c:pt idx="62">
                  <c:v>34.214556000000002</c:v>
                </c:pt>
                <c:pt idx="63">
                  <c:v>33.658493999999997</c:v>
                </c:pt>
                <c:pt idx="64">
                  <c:v>33.102432</c:v>
                </c:pt>
                <c:pt idx="65">
                  <c:v>32.546370000000003</c:v>
                </c:pt>
                <c:pt idx="66">
                  <c:v>31.961939999999998</c:v>
                </c:pt>
                <c:pt idx="67">
                  <c:v>31.359780000000001</c:v>
                </c:pt>
                <c:pt idx="68">
                  <c:v>30.757619999999999</c:v>
                </c:pt>
                <c:pt idx="69">
                  <c:v>30.155460000000001</c:v>
                </c:pt>
                <c:pt idx="70">
                  <c:v>29.519220000000001</c:v>
                </c:pt>
                <c:pt idx="71">
                  <c:v>28.872755999999988</c:v>
                </c:pt>
                <c:pt idx="72">
                  <c:v>28.226292000000001</c:v>
                </c:pt>
                <c:pt idx="73">
                  <c:v>27.579827999999999</c:v>
                </c:pt>
                <c:pt idx="74">
                  <c:v>26.902475999999989</c:v>
                </c:pt>
                <c:pt idx="75">
                  <c:v>26.222549999999991</c:v>
                </c:pt>
                <c:pt idx="76">
                  <c:v>25.542624</c:v>
                </c:pt>
                <c:pt idx="77">
                  <c:v>24.862165999999991</c:v>
                </c:pt>
                <c:pt idx="78">
                  <c:v>24.175323999999989</c:v>
                </c:pt>
                <c:pt idx="79">
                  <c:v>23.488482000000001</c:v>
                </c:pt>
                <c:pt idx="80">
                  <c:v>22.801639999999988</c:v>
                </c:pt>
                <c:pt idx="81">
                  <c:v>22.123701999999991</c:v>
                </c:pt>
                <c:pt idx="82">
                  <c:v>21.475444</c:v>
                </c:pt>
                <c:pt idx="83">
                  <c:v>20.82718599999999</c:v>
                </c:pt>
                <c:pt idx="84">
                  <c:v>20.178927999999999</c:v>
                </c:pt>
                <c:pt idx="85">
                  <c:v>19.568929999999991</c:v>
                </c:pt>
                <c:pt idx="86">
                  <c:v>19.020147999999999</c:v>
                </c:pt>
                <c:pt idx="87">
                  <c:v>18.471366</c:v>
                </c:pt>
                <c:pt idx="88">
                  <c:v>17.92258399999999</c:v>
                </c:pt>
                <c:pt idx="89">
                  <c:v>17.462394</c:v>
                </c:pt>
                <c:pt idx="90">
                  <c:v>17.078140000000001</c:v>
                </c:pt>
                <c:pt idx="91">
                  <c:v>16.693885999999999</c:v>
                </c:pt>
                <c:pt idx="92">
                  <c:v>16.309632000000001</c:v>
                </c:pt>
                <c:pt idx="93">
                  <c:v>16.077010000000001</c:v>
                </c:pt>
                <c:pt idx="94">
                  <c:v>15.91178</c:v>
                </c:pt>
                <c:pt idx="95">
                  <c:v>15.746549999999999</c:v>
                </c:pt>
                <c:pt idx="96">
                  <c:v>15.58132</c:v>
                </c:pt>
                <c:pt idx="97">
                  <c:v>15.628544</c:v>
                </c:pt>
                <c:pt idx="98">
                  <c:v>15.714396000000001</c:v>
                </c:pt>
                <c:pt idx="99">
                  <c:v>15.800248</c:v>
                </c:pt>
                <c:pt idx="100">
                  <c:v>15.886100000000001</c:v>
                </c:pt>
              </c:numCache>
            </c:numRef>
          </c:yVal>
          <c:smooth val="1"/>
          <c:extLst>
            <c:ext xmlns:c16="http://schemas.microsoft.com/office/drawing/2014/chart" uri="{C3380CC4-5D6E-409C-BE32-E72D297353CC}">
              <c16:uniqueId val="{00000001-E31A-471D-9908-617DC363F19A}"/>
            </c:ext>
          </c:extLst>
        </c:ser>
        <c:ser>
          <c:idx val="2"/>
          <c:order val="5"/>
          <c:tx>
            <c:v>Left 2</c:v>
          </c:tx>
          <c:spPr>
            <a:ln w="19050">
              <a:solidFill>
                <a:srgbClr val="FF0000"/>
              </a:solidFill>
            </a:ln>
          </c:spPr>
          <c:marker>
            <c:symbol val="none"/>
          </c:marker>
          <c:xVal>
            <c:numRef>
              <c:f>'Left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2 Kin'!$P$2:$P$102</c:f>
              <c:numCache>
                <c:formatCode>General</c:formatCode>
                <c:ptCount val="101"/>
                <c:pt idx="0">
                  <c:v>40.278599999999997</c:v>
                </c:pt>
                <c:pt idx="1">
                  <c:v>40.471871999999998</c:v>
                </c:pt>
                <c:pt idx="2">
                  <c:v>40.665143999999998</c:v>
                </c:pt>
                <c:pt idx="3">
                  <c:v>40.858415999999998</c:v>
                </c:pt>
                <c:pt idx="4">
                  <c:v>41.051687999999999</c:v>
                </c:pt>
                <c:pt idx="5">
                  <c:v>41.227760000000004</c:v>
                </c:pt>
                <c:pt idx="6">
                  <c:v>41.400391999999997</c:v>
                </c:pt>
                <c:pt idx="7">
                  <c:v>41.573023999999997</c:v>
                </c:pt>
                <c:pt idx="8">
                  <c:v>41.745655999999997</c:v>
                </c:pt>
                <c:pt idx="9">
                  <c:v>41.900624000000001</c:v>
                </c:pt>
                <c:pt idx="10">
                  <c:v>42.046759999999999</c:v>
                </c:pt>
                <c:pt idx="11">
                  <c:v>42.192895999999998</c:v>
                </c:pt>
                <c:pt idx="12">
                  <c:v>42.339032000000003</c:v>
                </c:pt>
                <c:pt idx="13">
                  <c:v>42.468176</c:v>
                </c:pt>
                <c:pt idx="14">
                  <c:v>42.580328000000002</c:v>
                </c:pt>
                <c:pt idx="15">
                  <c:v>42.692480000000003</c:v>
                </c:pt>
                <c:pt idx="16">
                  <c:v>42.804631999999998</c:v>
                </c:pt>
                <c:pt idx="17">
                  <c:v>42.902511999999987</c:v>
                </c:pt>
                <c:pt idx="18">
                  <c:v>42.971848000000001</c:v>
                </c:pt>
                <c:pt idx="19">
                  <c:v>43.041184000000001</c:v>
                </c:pt>
                <c:pt idx="20">
                  <c:v>43.110520000000001</c:v>
                </c:pt>
                <c:pt idx="21">
                  <c:v>43.171188000000001</c:v>
                </c:pt>
                <c:pt idx="22">
                  <c:v>43.188516</c:v>
                </c:pt>
                <c:pt idx="23">
                  <c:v>43.205843999999999</c:v>
                </c:pt>
                <c:pt idx="24">
                  <c:v>43.223171999999998</c:v>
                </c:pt>
                <c:pt idx="25">
                  <c:v>43.240499999999997</c:v>
                </c:pt>
                <c:pt idx="26">
                  <c:v>43.197203999999999</c:v>
                </c:pt>
                <c:pt idx="27">
                  <c:v>43.153908000000001</c:v>
                </c:pt>
                <c:pt idx="28">
                  <c:v>43.110612000000003</c:v>
                </c:pt>
                <c:pt idx="29">
                  <c:v>43.067315999999998</c:v>
                </c:pt>
                <c:pt idx="30">
                  <c:v>42.967739999999999</c:v>
                </c:pt>
                <c:pt idx="31">
                  <c:v>42.856907999999997</c:v>
                </c:pt>
                <c:pt idx="32">
                  <c:v>42.746076000000002</c:v>
                </c:pt>
                <c:pt idx="33">
                  <c:v>42.635244</c:v>
                </c:pt>
                <c:pt idx="34">
                  <c:v>42.476716000000003</c:v>
                </c:pt>
                <c:pt idx="35">
                  <c:v>42.294339999999998</c:v>
                </c:pt>
                <c:pt idx="36">
                  <c:v>42.111964</c:v>
                </c:pt>
                <c:pt idx="37">
                  <c:v>41.929588000000003</c:v>
                </c:pt>
                <c:pt idx="38">
                  <c:v>41.711236</c:v>
                </c:pt>
                <c:pt idx="39">
                  <c:v>41.456907999999999</c:v>
                </c:pt>
                <c:pt idx="40">
                  <c:v>41.202579999999998</c:v>
                </c:pt>
                <c:pt idx="41">
                  <c:v>40.948251999999997</c:v>
                </c:pt>
                <c:pt idx="42">
                  <c:v>40.671163999999997</c:v>
                </c:pt>
                <c:pt idx="43">
                  <c:v>40.348556000000002</c:v>
                </c:pt>
                <c:pt idx="44">
                  <c:v>40.025948</c:v>
                </c:pt>
                <c:pt idx="45">
                  <c:v>39.703339999999997</c:v>
                </c:pt>
                <c:pt idx="46">
                  <c:v>39.370595999999999</c:v>
                </c:pt>
                <c:pt idx="47">
                  <c:v>38.987172000000001</c:v>
                </c:pt>
                <c:pt idx="48">
                  <c:v>38.603748000000003</c:v>
                </c:pt>
                <c:pt idx="49">
                  <c:v>38.220323999999998</c:v>
                </c:pt>
                <c:pt idx="50">
                  <c:v>37.8369</c:v>
                </c:pt>
                <c:pt idx="51">
                  <c:v>37.402979999999999</c:v>
                </c:pt>
                <c:pt idx="52">
                  <c:v>36.969059999999999</c:v>
                </c:pt>
                <c:pt idx="53">
                  <c:v>36.535139999999998</c:v>
                </c:pt>
                <c:pt idx="54">
                  <c:v>36.101219999999998</c:v>
                </c:pt>
                <c:pt idx="55">
                  <c:v>35.63514</c:v>
                </c:pt>
                <c:pt idx="56">
                  <c:v>35.162627999999998</c:v>
                </c:pt>
                <c:pt idx="57">
                  <c:v>34.690116000000003</c:v>
                </c:pt>
                <c:pt idx="58">
                  <c:v>34.217603999999987</c:v>
                </c:pt>
                <c:pt idx="59">
                  <c:v>33.727620000000002</c:v>
                </c:pt>
                <c:pt idx="60">
                  <c:v>33.228900000000003</c:v>
                </c:pt>
                <c:pt idx="61">
                  <c:v>32.730179999999997</c:v>
                </c:pt>
                <c:pt idx="62">
                  <c:v>32.231459999999998</c:v>
                </c:pt>
                <c:pt idx="63">
                  <c:v>31.725828</c:v>
                </c:pt>
                <c:pt idx="64">
                  <c:v>31.213284000000002</c:v>
                </c:pt>
                <c:pt idx="65">
                  <c:v>30.70074</c:v>
                </c:pt>
                <c:pt idx="66">
                  <c:v>30.188196000000001</c:v>
                </c:pt>
                <c:pt idx="67">
                  <c:v>29.675276</c:v>
                </c:pt>
                <c:pt idx="68">
                  <c:v>29.161604000000001</c:v>
                </c:pt>
                <c:pt idx="69">
                  <c:v>28.647932000000001</c:v>
                </c:pt>
                <c:pt idx="70">
                  <c:v>28.134260000000001</c:v>
                </c:pt>
                <c:pt idx="71">
                  <c:v>27.622727999999999</c:v>
                </c:pt>
                <c:pt idx="72">
                  <c:v>27.121896</c:v>
                </c:pt>
                <c:pt idx="73">
                  <c:v>26.621064000000001</c:v>
                </c:pt>
                <c:pt idx="74">
                  <c:v>26.120231999999991</c:v>
                </c:pt>
                <c:pt idx="75">
                  <c:v>25.619399999999999</c:v>
                </c:pt>
                <c:pt idx="76">
                  <c:v>25.147872</c:v>
                </c:pt>
                <c:pt idx="77">
                  <c:v>24.676344</c:v>
                </c:pt>
                <c:pt idx="78">
                  <c:v>24.204816000000001</c:v>
                </c:pt>
                <c:pt idx="79">
                  <c:v>23.733288000000002</c:v>
                </c:pt>
                <c:pt idx="80">
                  <c:v>23.302219999999998</c:v>
                </c:pt>
                <c:pt idx="81">
                  <c:v>22.879244</c:v>
                </c:pt>
                <c:pt idx="82">
                  <c:v>22.456268000000001</c:v>
                </c:pt>
                <c:pt idx="83">
                  <c:v>22.033291999999999</c:v>
                </c:pt>
                <c:pt idx="84">
                  <c:v>21.657115999999998</c:v>
                </c:pt>
                <c:pt idx="85">
                  <c:v>21.30434</c:v>
                </c:pt>
                <c:pt idx="86">
                  <c:v>20.951564000000001</c:v>
                </c:pt>
                <c:pt idx="87">
                  <c:v>20.598787999999999</c:v>
                </c:pt>
                <c:pt idx="88">
                  <c:v>20.292211999999999</c:v>
                </c:pt>
                <c:pt idx="89">
                  <c:v>20.031835999999998</c:v>
                </c:pt>
                <c:pt idx="90">
                  <c:v>19.771460000000001</c:v>
                </c:pt>
                <c:pt idx="91">
                  <c:v>19.511084</c:v>
                </c:pt>
                <c:pt idx="92">
                  <c:v>19.288340000000002</c:v>
                </c:pt>
                <c:pt idx="93">
                  <c:v>19.14086</c:v>
                </c:pt>
                <c:pt idx="94">
                  <c:v>18.993379999999998</c:v>
                </c:pt>
                <c:pt idx="95">
                  <c:v>18.8459</c:v>
                </c:pt>
                <c:pt idx="96">
                  <c:v>18.719984</c:v>
                </c:pt>
                <c:pt idx="97">
                  <c:v>18.701888</c:v>
                </c:pt>
                <c:pt idx="98">
                  <c:v>18.683792</c:v>
                </c:pt>
                <c:pt idx="99">
                  <c:v>18.665696000000001</c:v>
                </c:pt>
                <c:pt idx="100">
                  <c:v>18.647600000000001</c:v>
                </c:pt>
              </c:numCache>
            </c:numRef>
          </c:yVal>
          <c:smooth val="1"/>
          <c:extLst>
            <c:ext xmlns:c16="http://schemas.microsoft.com/office/drawing/2014/chart" uri="{C3380CC4-5D6E-409C-BE32-E72D297353CC}">
              <c16:uniqueId val="{00000000-E31A-471D-9908-617DC363F19A}"/>
            </c:ext>
          </c:extLst>
        </c:ser>
        <c:ser>
          <c:idx val="0"/>
          <c:order val="6"/>
          <c:tx>
            <c:v>Left 1</c:v>
          </c:tx>
          <c:spPr>
            <a:ln w="19050">
              <a:solidFill>
                <a:srgbClr val="FF0000"/>
              </a:solidFill>
            </a:ln>
          </c:spPr>
          <c:marker>
            <c:symbol val="none"/>
          </c:marker>
          <c:xVal>
            <c:numRef>
              <c:f>'Left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1 Kin'!$P$2:$P$102</c:f>
              <c:numCache>
                <c:formatCode>General</c:formatCode>
                <c:ptCount val="101"/>
                <c:pt idx="0">
                  <c:v>40.113399999999999</c:v>
                </c:pt>
                <c:pt idx="1">
                  <c:v>40.228549999999998</c:v>
                </c:pt>
                <c:pt idx="2">
                  <c:v>40.343699999999998</c:v>
                </c:pt>
                <c:pt idx="3">
                  <c:v>40.458849999999998</c:v>
                </c:pt>
                <c:pt idx="4">
                  <c:v>40.573999999999998</c:v>
                </c:pt>
                <c:pt idx="5">
                  <c:v>40.719875000000002</c:v>
                </c:pt>
                <c:pt idx="6">
                  <c:v>40.865749999999998</c:v>
                </c:pt>
                <c:pt idx="7">
                  <c:v>41.011625000000002</c:v>
                </c:pt>
                <c:pt idx="8">
                  <c:v>41.157499999999999</c:v>
                </c:pt>
                <c:pt idx="9">
                  <c:v>41.332725000000003</c:v>
                </c:pt>
                <c:pt idx="10">
                  <c:v>41.507950000000001</c:v>
                </c:pt>
                <c:pt idx="11">
                  <c:v>41.683175000000013</c:v>
                </c:pt>
                <c:pt idx="12">
                  <c:v>41.858400000000003</c:v>
                </c:pt>
                <c:pt idx="13">
                  <c:v>42.050975000000001</c:v>
                </c:pt>
                <c:pt idx="14">
                  <c:v>42.243549999999999</c:v>
                </c:pt>
                <c:pt idx="15">
                  <c:v>42.436124999999997</c:v>
                </c:pt>
                <c:pt idx="16">
                  <c:v>42.628700000000002</c:v>
                </c:pt>
                <c:pt idx="17">
                  <c:v>42.818874999999998</c:v>
                </c:pt>
                <c:pt idx="18">
                  <c:v>43.009050000000002</c:v>
                </c:pt>
                <c:pt idx="19">
                  <c:v>43.199224999999998</c:v>
                </c:pt>
                <c:pt idx="20">
                  <c:v>43.389400000000002</c:v>
                </c:pt>
                <c:pt idx="21">
                  <c:v>43.554299999999998</c:v>
                </c:pt>
                <c:pt idx="22">
                  <c:v>43.719200000000001</c:v>
                </c:pt>
                <c:pt idx="23">
                  <c:v>43.884099999999997</c:v>
                </c:pt>
                <c:pt idx="24">
                  <c:v>44.048999999999999</c:v>
                </c:pt>
                <c:pt idx="25">
                  <c:v>44.166899999999998</c:v>
                </c:pt>
                <c:pt idx="26">
                  <c:v>44.284799999999997</c:v>
                </c:pt>
                <c:pt idx="27">
                  <c:v>44.402700000000003</c:v>
                </c:pt>
                <c:pt idx="28">
                  <c:v>44.520600000000002</c:v>
                </c:pt>
                <c:pt idx="29">
                  <c:v>44.573900000000002</c:v>
                </c:pt>
                <c:pt idx="30">
                  <c:v>44.627200000000002</c:v>
                </c:pt>
                <c:pt idx="31">
                  <c:v>44.680500000000002</c:v>
                </c:pt>
                <c:pt idx="32">
                  <c:v>44.733800000000002</c:v>
                </c:pt>
                <c:pt idx="33">
                  <c:v>44.710374999999999</c:v>
                </c:pt>
                <c:pt idx="34">
                  <c:v>44.686950000000003</c:v>
                </c:pt>
                <c:pt idx="35">
                  <c:v>44.663525</c:v>
                </c:pt>
                <c:pt idx="36">
                  <c:v>44.640099999999997</c:v>
                </c:pt>
                <c:pt idx="37">
                  <c:v>44.533524999999997</c:v>
                </c:pt>
                <c:pt idx="38">
                  <c:v>44.426949999999998</c:v>
                </c:pt>
                <c:pt idx="39">
                  <c:v>44.320374999999999</c:v>
                </c:pt>
                <c:pt idx="40">
                  <c:v>44.213799999999999</c:v>
                </c:pt>
                <c:pt idx="41">
                  <c:v>44.023150000000001</c:v>
                </c:pt>
                <c:pt idx="42">
                  <c:v>43.832500000000003</c:v>
                </c:pt>
                <c:pt idx="43">
                  <c:v>43.641849999999998</c:v>
                </c:pt>
                <c:pt idx="44">
                  <c:v>43.4512</c:v>
                </c:pt>
                <c:pt idx="45">
                  <c:v>43.180374999999998</c:v>
                </c:pt>
                <c:pt idx="46">
                  <c:v>42.909550000000003</c:v>
                </c:pt>
                <c:pt idx="47">
                  <c:v>42.638725000000001</c:v>
                </c:pt>
                <c:pt idx="48">
                  <c:v>42.367899999999999</c:v>
                </c:pt>
                <c:pt idx="49">
                  <c:v>42.024650000000001</c:v>
                </c:pt>
                <c:pt idx="50">
                  <c:v>41.681399999999996</c:v>
                </c:pt>
                <c:pt idx="51">
                  <c:v>41.338149999999999</c:v>
                </c:pt>
                <c:pt idx="52">
                  <c:v>40.994900000000001</c:v>
                </c:pt>
                <c:pt idx="53">
                  <c:v>40.589149999999997</c:v>
                </c:pt>
                <c:pt idx="54">
                  <c:v>40.183399999999999</c:v>
                </c:pt>
                <c:pt idx="55">
                  <c:v>39.777649999999987</c:v>
                </c:pt>
                <c:pt idx="56">
                  <c:v>39.371899999999997</c:v>
                </c:pt>
                <c:pt idx="57">
                  <c:v>38.913249999999998</c:v>
                </c:pt>
                <c:pt idx="58">
                  <c:v>38.454599999999999</c:v>
                </c:pt>
                <c:pt idx="59">
                  <c:v>37.995950000000001</c:v>
                </c:pt>
                <c:pt idx="60">
                  <c:v>37.537300000000002</c:v>
                </c:pt>
                <c:pt idx="61">
                  <c:v>37.032200000000003</c:v>
                </c:pt>
                <c:pt idx="62">
                  <c:v>36.527099999999997</c:v>
                </c:pt>
                <c:pt idx="63">
                  <c:v>36.021999999999998</c:v>
                </c:pt>
                <c:pt idx="64">
                  <c:v>35.5169</c:v>
                </c:pt>
                <c:pt idx="65">
                  <c:v>34.966975000000012</c:v>
                </c:pt>
                <c:pt idx="66">
                  <c:v>34.417050000000003</c:v>
                </c:pt>
                <c:pt idx="67">
                  <c:v>33.867124999999987</c:v>
                </c:pt>
                <c:pt idx="68">
                  <c:v>33.3172</c:v>
                </c:pt>
                <c:pt idx="69">
                  <c:v>32.720874999999992</c:v>
                </c:pt>
                <c:pt idx="70">
                  <c:v>32.124549999999999</c:v>
                </c:pt>
                <c:pt idx="71">
                  <c:v>31.528224999999999</c:v>
                </c:pt>
                <c:pt idx="72">
                  <c:v>30.931899999999999</c:v>
                </c:pt>
                <c:pt idx="73">
                  <c:v>30.289725000000001</c:v>
                </c:pt>
                <c:pt idx="74">
                  <c:v>29.647549999999999</c:v>
                </c:pt>
                <c:pt idx="75">
                  <c:v>29.005375000000001</c:v>
                </c:pt>
                <c:pt idx="76">
                  <c:v>28.363199999999999</c:v>
                </c:pt>
                <c:pt idx="77">
                  <c:v>27.685299999999991</c:v>
                </c:pt>
                <c:pt idx="78">
                  <c:v>27.007400000000001</c:v>
                </c:pt>
                <c:pt idx="79">
                  <c:v>26.329499999999999</c:v>
                </c:pt>
                <c:pt idx="80">
                  <c:v>25.651599999999998</c:v>
                </c:pt>
                <c:pt idx="81">
                  <c:v>24.964449999999999</c:v>
                </c:pt>
                <c:pt idx="82">
                  <c:v>24.2773</c:v>
                </c:pt>
                <c:pt idx="83">
                  <c:v>23.590150000000001</c:v>
                </c:pt>
                <c:pt idx="84">
                  <c:v>22.902999999999999</c:v>
                </c:pt>
                <c:pt idx="85">
                  <c:v>22.25142499999999</c:v>
                </c:pt>
                <c:pt idx="86">
                  <c:v>21.59985</c:v>
                </c:pt>
                <c:pt idx="87">
                  <c:v>20.94827500000001</c:v>
                </c:pt>
                <c:pt idx="88">
                  <c:v>20.296700000000001</c:v>
                </c:pt>
                <c:pt idx="89">
                  <c:v>19.738849999999999</c:v>
                </c:pt>
                <c:pt idx="90">
                  <c:v>19.181000000000001</c:v>
                </c:pt>
                <c:pt idx="91">
                  <c:v>18.623149999999999</c:v>
                </c:pt>
                <c:pt idx="92">
                  <c:v>18.065300000000001</c:v>
                </c:pt>
                <c:pt idx="93">
                  <c:v>17.6614</c:v>
                </c:pt>
                <c:pt idx="94">
                  <c:v>17.2575</c:v>
                </c:pt>
                <c:pt idx="95">
                  <c:v>16.8536</c:v>
                </c:pt>
                <c:pt idx="96">
                  <c:v>16.4497</c:v>
                </c:pt>
                <c:pt idx="97">
                  <c:v>16.249199999999998</c:v>
                </c:pt>
                <c:pt idx="98">
                  <c:v>16.0487</c:v>
                </c:pt>
                <c:pt idx="99">
                  <c:v>15.8482</c:v>
                </c:pt>
                <c:pt idx="100">
                  <c:v>15.6477</c:v>
                </c:pt>
              </c:numCache>
            </c:numRef>
          </c:yVal>
          <c:smooth val="1"/>
          <c:extLst>
            <c:ext xmlns:c16="http://schemas.microsoft.com/office/drawing/2014/chart" uri="{C3380CC4-5D6E-409C-BE32-E72D297353CC}">
              <c16:uniqueId val="{00000001-A139-4C80-8D6D-D8720F9DA6C8}"/>
            </c:ext>
          </c:extLst>
        </c:ser>
        <c:dLbls>
          <c:showLegendKey val="0"/>
          <c:showVal val="0"/>
          <c:showCatName val="0"/>
          <c:showSerName val="0"/>
          <c:showPercent val="0"/>
          <c:showBubbleSize val="0"/>
        </c:dLbls>
        <c:axId val="89456000"/>
        <c:axId val="89523328"/>
      </c:scatterChart>
      <c:valAx>
        <c:axId val="89456000"/>
        <c:scaling>
          <c:orientation val="minMax"/>
          <c:max val="100"/>
        </c:scaling>
        <c:delete val="0"/>
        <c:axPos val="b"/>
        <c:numFmt formatCode="General" sourceLinked="1"/>
        <c:majorTickMark val="out"/>
        <c:minorTickMark val="none"/>
        <c:tickLblPos val="nextTo"/>
        <c:txPr>
          <a:bodyPr/>
          <a:lstStyle/>
          <a:p>
            <a:pPr>
              <a:defRPr lang="en-US" sz="800"/>
            </a:pPr>
            <a:endParaRPr lang="en-US"/>
          </a:p>
        </c:txPr>
        <c:crossAx val="89523328"/>
        <c:crosses val="autoZero"/>
        <c:crossBetween val="midCat"/>
        <c:majorUnit val="20"/>
      </c:valAx>
      <c:valAx>
        <c:axId val="89523328"/>
        <c:scaling>
          <c:orientation val="minMax"/>
        </c:scaling>
        <c:delete val="0"/>
        <c:axPos val="l"/>
        <c:title>
          <c:tx>
            <c:rich>
              <a:bodyPr rot="-5400000" vert="horz"/>
              <a:lstStyle/>
              <a:p>
                <a:pPr>
                  <a:defRPr lang="en-AU" sz="900"/>
                </a:pPr>
                <a:r>
                  <a:rPr lang="en-US" sz="900"/>
                  <a:t>Angle (degrees)</a:t>
                </a:r>
              </a:p>
            </c:rich>
          </c:tx>
          <c:layout>
            <c:manualLayout>
              <c:xMode val="edge"/>
              <c:yMode val="edge"/>
              <c:x val="6.2355452540091916E-3"/>
              <c:y val="0.31986340162509314"/>
            </c:manualLayout>
          </c:layout>
          <c:overlay val="0"/>
        </c:title>
        <c:numFmt formatCode="0" sourceLinked="0"/>
        <c:majorTickMark val="out"/>
        <c:minorTickMark val="none"/>
        <c:tickLblPos val="nextTo"/>
        <c:txPr>
          <a:bodyPr/>
          <a:lstStyle/>
          <a:p>
            <a:pPr>
              <a:defRPr lang="en-US" sz="800"/>
            </a:pPr>
            <a:endParaRPr lang="en-US"/>
          </a:p>
        </c:txPr>
        <c:crossAx val="89456000"/>
        <c:crosses val="autoZero"/>
        <c:crossBetween val="midCat"/>
        <c:majorUnit val="20"/>
      </c:valAx>
    </c:plotArea>
    <c:plotVisOnly val="1"/>
    <c:dispBlanksAs val="gap"/>
    <c:showDLblsOverMax val="0"/>
  </c:chart>
  <c:printSettings>
    <c:headerFooter/>
    <c:pageMargins b="0.75000000000001421" l="0.70000000000000095" r="0.70000000000000095" t="0.75000000000001421" header="0.3000000000000001" footer="0.3000000000000001"/>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US" sz="1200"/>
            </a:pPr>
            <a:r>
              <a:rPr lang="en-US" sz="1200"/>
              <a:t>Hip Angle</a:t>
            </a:r>
          </a:p>
        </c:rich>
      </c:tx>
      <c:overlay val="0"/>
    </c:title>
    <c:autoTitleDeleted val="0"/>
    <c:plotArea>
      <c:layout>
        <c:manualLayout>
          <c:layoutTarget val="inner"/>
          <c:xMode val="edge"/>
          <c:yMode val="edge"/>
          <c:x val="8.7454835914308166E-2"/>
          <c:y val="4.006615662641011E-2"/>
          <c:w val="0.88026047267767671"/>
          <c:h val="0.8722086441474074"/>
        </c:manualLayout>
      </c:layout>
      <c:scatterChart>
        <c:scatterStyle val="smoothMarker"/>
        <c:varyColors val="0"/>
        <c:ser>
          <c:idx val="1"/>
          <c:order val="0"/>
          <c:tx>
            <c:v>Normative</c:v>
          </c:tx>
          <c:spPr>
            <a:ln>
              <a:solidFill>
                <a:schemeClr val="tx1"/>
              </a:solidFill>
            </a:ln>
          </c:spPr>
          <c:marker>
            <c:symbol val="none"/>
          </c:marker>
          <c:xVal>
            <c:numRef>
              <c:f>Normative!$A$2:$A$102</c:f>
              <c:numCache>
                <c:formatCode>General</c:formatCode>
                <c:ptCount val="101"/>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numCache>
            </c:numRef>
          </c:xVal>
          <c:yVal>
            <c:numRef>
              <c:f>Normative!$M$2:$M$102</c:f>
              <c:numCache>
                <c:formatCode>General</c:formatCode>
                <c:ptCount val="101"/>
                <c:pt idx="0">
                  <c:v>39.42889095333333</c:v>
                </c:pt>
                <c:pt idx="1">
                  <c:v>39.42889095333333</c:v>
                </c:pt>
                <c:pt idx="2">
                  <c:v>38.11827155666667</c:v>
                </c:pt>
                <c:pt idx="3">
                  <c:v>37.959330256666668</c:v>
                </c:pt>
                <c:pt idx="4">
                  <c:v>36.734667776666662</c:v>
                </c:pt>
                <c:pt idx="5">
                  <c:v>36.494119156666663</c:v>
                </c:pt>
                <c:pt idx="6">
                  <c:v>35.212842553333338</c:v>
                </c:pt>
                <c:pt idx="7">
                  <c:v>34.797638036666669</c:v>
                </c:pt>
                <c:pt idx="8">
                  <c:v>33.818671139999999</c:v>
                </c:pt>
                <c:pt idx="9">
                  <c:v>33.126993133333329</c:v>
                </c:pt>
                <c:pt idx="10">
                  <c:v>32.227680316666664</c:v>
                </c:pt>
                <c:pt idx="11">
                  <c:v>31.587748750000003</c:v>
                </c:pt>
                <c:pt idx="12">
                  <c:v>30.717395106666668</c:v>
                </c:pt>
                <c:pt idx="13">
                  <c:v>29.950598476666663</c:v>
                </c:pt>
                <c:pt idx="14">
                  <c:v>28.842579766666667</c:v>
                </c:pt>
                <c:pt idx="15">
                  <c:v>28.214627043333337</c:v>
                </c:pt>
                <c:pt idx="16">
                  <c:v>26.993039583333335</c:v>
                </c:pt>
                <c:pt idx="17">
                  <c:v>26.334965756666669</c:v>
                </c:pt>
                <c:pt idx="18">
                  <c:v>24.632923639999998</c:v>
                </c:pt>
                <c:pt idx="19">
                  <c:v>23.993480890000001</c:v>
                </c:pt>
                <c:pt idx="20">
                  <c:v>22.558348943333336</c:v>
                </c:pt>
                <c:pt idx="21">
                  <c:v>21.728663586666666</c:v>
                </c:pt>
                <c:pt idx="22">
                  <c:v>20.128408790000002</c:v>
                </c:pt>
                <c:pt idx="23">
                  <c:v>19.303954826666669</c:v>
                </c:pt>
                <c:pt idx="24">
                  <c:v>17.745852190000001</c:v>
                </c:pt>
                <c:pt idx="25">
                  <c:v>15.873596803333333</c:v>
                </c:pt>
                <c:pt idx="26">
                  <c:v>14.366180300000002</c:v>
                </c:pt>
                <c:pt idx="27">
                  <c:v>12.830048696666665</c:v>
                </c:pt>
                <c:pt idx="28">
                  <c:v>11.839637763333334</c:v>
                </c:pt>
                <c:pt idx="29">
                  <c:v>10.014621596666666</c:v>
                </c:pt>
                <c:pt idx="30">
                  <c:v>8.7572062733333329</c:v>
                </c:pt>
                <c:pt idx="31">
                  <c:v>7.1267489566666669</c:v>
                </c:pt>
                <c:pt idx="32">
                  <c:v>5.9642485133333336</c:v>
                </c:pt>
                <c:pt idx="33">
                  <c:v>3.7270104200000005</c:v>
                </c:pt>
                <c:pt idx="34">
                  <c:v>2.4792881699999993</c:v>
                </c:pt>
                <c:pt idx="35">
                  <c:v>0.80912547999999995</c:v>
                </c:pt>
                <c:pt idx="36">
                  <c:v>-0.31494160333333321</c:v>
                </c:pt>
                <c:pt idx="37">
                  <c:v>-2.0448419266666669</c:v>
                </c:pt>
                <c:pt idx="38">
                  <c:v>-3.6581354666666668</c:v>
                </c:pt>
                <c:pt idx="39">
                  <c:v>-4.9551480466666664</c:v>
                </c:pt>
                <c:pt idx="40">
                  <c:v>-6.1933549633333334</c:v>
                </c:pt>
                <c:pt idx="41">
                  <c:v>-7.4793679566666667</c:v>
                </c:pt>
                <c:pt idx="42">
                  <c:v>-8.6732766833333326</c:v>
                </c:pt>
                <c:pt idx="43">
                  <c:v>-10.079902673333333</c:v>
                </c:pt>
                <c:pt idx="44">
                  <c:v>-10.707983956666666</c:v>
                </c:pt>
                <c:pt idx="45">
                  <c:v>-12.268391476666665</c:v>
                </c:pt>
                <c:pt idx="46">
                  <c:v>-12.537287796666666</c:v>
                </c:pt>
                <c:pt idx="47">
                  <c:v>-13.747400993333333</c:v>
                </c:pt>
                <c:pt idx="48">
                  <c:v>-13.882410143333335</c:v>
                </c:pt>
                <c:pt idx="49">
                  <c:v>-14.830126796666667</c:v>
                </c:pt>
                <c:pt idx="50">
                  <c:v>-15.514009176666667</c:v>
                </c:pt>
              </c:numCache>
            </c:numRef>
          </c:yVal>
          <c:smooth val="1"/>
          <c:extLst>
            <c:ext xmlns:c16="http://schemas.microsoft.com/office/drawing/2014/chart" uri="{C3380CC4-5D6E-409C-BE32-E72D297353CC}">
              <c16:uniqueId val="{00000002-122A-4B9D-B91B-0644A65A4C9D}"/>
            </c:ext>
          </c:extLst>
        </c:ser>
        <c:ser>
          <c:idx val="6"/>
          <c:order val="1"/>
          <c:tx>
            <c:v>Right 3</c:v>
          </c:tx>
          <c:spPr>
            <a:ln w="19050">
              <a:solidFill>
                <a:srgbClr val="00B050"/>
              </a:solidFill>
            </a:ln>
          </c:spPr>
          <c:marker>
            <c:symbol val="none"/>
          </c:marker>
          <c:xVal>
            <c:numRef>
              <c:f>'Right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3 Kin'!$M$2:$M$102</c:f>
              <c:numCache>
                <c:formatCode>General</c:formatCode>
                <c:ptCount val="101"/>
                <c:pt idx="0">
                  <c:v>36.3474</c:v>
                </c:pt>
                <c:pt idx="1">
                  <c:v>36.057811999999998</c:v>
                </c:pt>
                <c:pt idx="2">
                  <c:v>35.768223999999996</c:v>
                </c:pt>
                <c:pt idx="3">
                  <c:v>35.478636000000002</c:v>
                </c:pt>
                <c:pt idx="4">
                  <c:v>35.185876</c:v>
                </c:pt>
                <c:pt idx="5">
                  <c:v>34.87567</c:v>
                </c:pt>
                <c:pt idx="6">
                  <c:v>34.565463999999999</c:v>
                </c:pt>
                <c:pt idx="7">
                  <c:v>34.255257999999998</c:v>
                </c:pt>
                <c:pt idx="8">
                  <c:v>33.937187999999999</c:v>
                </c:pt>
                <c:pt idx="9">
                  <c:v>33.601424000000002</c:v>
                </c:pt>
                <c:pt idx="10">
                  <c:v>33.265659999999997</c:v>
                </c:pt>
                <c:pt idx="11">
                  <c:v>32.929895999999999</c:v>
                </c:pt>
                <c:pt idx="12">
                  <c:v>32.578028000000003</c:v>
                </c:pt>
                <c:pt idx="13">
                  <c:v>32.207371999999999</c:v>
                </c:pt>
                <c:pt idx="14">
                  <c:v>31.836715999999999</c:v>
                </c:pt>
                <c:pt idx="15">
                  <c:v>31.466059999999999</c:v>
                </c:pt>
                <c:pt idx="16">
                  <c:v>31.065467999999999</c:v>
                </c:pt>
                <c:pt idx="17">
                  <c:v>30.646166000000001</c:v>
                </c:pt>
                <c:pt idx="18">
                  <c:v>30.226863999999999</c:v>
                </c:pt>
                <c:pt idx="19">
                  <c:v>29.807562000000001</c:v>
                </c:pt>
                <c:pt idx="20">
                  <c:v>29.338999999999999</c:v>
                </c:pt>
                <c:pt idx="21">
                  <c:v>28.85566</c:v>
                </c:pt>
                <c:pt idx="22">
                  <c:v>28.372319999999998</c:v>
                </c:pt>
                <c:pt idx="23">
                  <c:v>27.88898</c:v>
                </c:pt>
                <c:pt idx="24">
                  <c:v>27.335152000000001</c:v>
                </c:pt>
                <c:pt idx="25">
                  <c:v>26.775449999999999</c:v>
                </c:pt>
                <c:pt idx="26">
                  <c:v>26.215748000000001</c:v>
                </c:pt>
                <c:pt idx="27">
                  <c:v>25.649813999999999</c:v>
                </c:pt>
                <c:pt idx="28">
                  <c:v>25.009096</c:v>
                </c:pt>
                <c:pt idx="29">
                  <c:v>24.368378</c:v>
                </c:pt>
                <c:pt idx="30">
                  <c:v>23.72766</c:v>
                </c:pt>
                <c:pt idx="31">
                  <c:v>23.06944</c:v>
                </c:pt>
                <c:pt idx="32">
                  <c:v>22.352879999999999</c:v>
                </c:pt>
                <c:pt idx="33">
                  <c:v>21.636320000000001</c:v>
                </c:pt>
                <c:pt idx="34">
                  <c:v>20.91976</c:v>
                </c:pt>
                <c:pt idx="35">
                  <c:v>20.17944</c:v>
                </c:pt>
                <c:pt idx="36">
                  <c:v>19.401104</c:v>
                </c:pt>
                <c:pt idx="37">
                  <c:v>18.62276799999999</c:v>
                </c:pt>
                <c:pt idx="38">
                  <c:v>17.844432000000001</c:v>
                </c:pt>
                <c:pt idx="39">
                  <c:v>17.043289999999999</c:v>
                </c:pt>
                <c:pt idx="40">
                  <c:v>16.222599999999989</c:v>
                </c:pt>
                <c:pt idx="41">
                  <c:v>15.401910000000001</c:v>
                </c:pt>
                <c:pt idx="42">
                  <c:v>14.58122</c:v>
                </c:pt>
                <c:pt idx="43">
                  <c:v>13.745302000000001</c:v>
                </c:pt>
                <c:pt idx="44">
                  <c:v>12.902616</c:v>
                </c:pt>
                <c:pt idx="45">
                  <c:v>12.05993</c:v>
                </c:pt>
                <c:pt idx="46">
                  <c:v>11.217244000000001</c:v>
                </c:pt>
                <c:pt idx="47">
                  <c:v>10.370965399999999</c:v>
                </c:pt>
                <c:pt idx="48">
                  <c:v>9.5240336000000045</c:v>
                </c:pt>
                <c:pt idx="49">
                  <c:v>8.6771018000000026</c:v>
                </c:pt>
                <c:pt idx="50">
                  <c:v>7.8301699999999999</c:v>
                </c:pt>
                <c:pt idx="51">
                  <c:v>6.9931441999999979</c:v>
                </c:pt>
                <c:pt idx="52">
                  <c:v>6.1561184000000022</c:v>
                </c:pt>
                <c:pt idx="53">
                  <c:v>5.3190925999999994</c:v>
                </c:pt>
                <c:pt idx="54">
                  <c:v>4.4853079999999981</c:v>
                </c:pt>
                <c:pt idx="55">
                  <c:v>3.6693499999999961</c:v>
                </c:pt>
                <c:pt idx="56">
                  <c:v>2.8533919999999999</c:v>
                </c:pt>
                <c:pt idx="57">
                  <c:v>2.037433999999998</c:v>
                </c:pt>
                <c:pt idx="58">
                  <c:v>1.231014399999997</c:v>
                </c:pt>
                <c:pt idx="59">
                  <c:v>0.44605620000000062</c:v>
                </c:pt>
                <c:pt idx="60">
                  <c:v>-0.33890200000000142</c:v>
                </c:pt>
                <c:pt idx="61">
                  <c:v>-1.1238602000000031</c:v>
                </c:pt>
                <c:pt idx="62">
                  <c:v>-1.889822400000005</c:v>
                </c:pt>
                <c:pt idx="63">
                  <c:v>-2.6336226000000011</c:v>
                </c:pt>
                <c:pt idx="64">
                  <c:v>-3.3774228000000028</c:v>
                </c:pt>
                <c:pt idx="65">
                  <c:v>-4.1212229999999996</c:v>
                </c:pt>
                <c:pt idx="66">
                  <c:v>-4.8328296000000046</c:v>
                </c:pt>
                <c:pt idx="67">
                  <c:v>-5.524315200000002</c:v>
                </c:pt>
                <c:pt idx="68">
                  <c:v>-6.2158007999999976</c:v>
                </c:pt>
                <c:pt idx="69">
                  <c:v>-6.9072864000000056</c:v>
                </c:pt>
                <c:pt idx="70">
                  <c:v>-7.5492560000000024</c:v>
                </c:pt>
                <c:pt idx="71">
                  <c:v>-8.1763708000000079</c:v>
                </c:pt>
                <c:pt idx="72">
                  <c:v>-8.8034856000000055</c:v>
                </c:pt>
                <c:pt idx="73">
                  <c:v>-9.4306004000000012</c:v>
                </c:pt>
                <c:pt idx="74">
                  <c:v>-9.9868864000000066</c:v>
                </c:pt>
                <c:pt idx="75">
                  <c:v>-10.537269999999999</c:v>
                </c:pt>
                <c:pt idx="76">
                  <c:v>-11.087653599999999</c:v>
                </c:pt>
                <c:pt idx="77">
                  <c:v>-11.63123600000001</c:v>
                </c:pt>
                <c:pt idx="78">
                  <c:v>-12.093204</c:v>
                </c:pt>
                <c:pt idx="79">
                  <c:v>-12.555172000000001</c:v>
                </c:pt>
                <c:pt idx="80">
                  <c:v>-13.01714000000001</c:v>
                </c:pt>
                <c:pt idx="81">
                  <c:v>-13.456428000000001</c:v>
                </c:pt>
                <c:pt idx="82">
                  <c:v>-13.820116000000001</c:v>
                </c:pt>
                <c:pt idx="83">
                  <c:v>-14.183804</c:v>
                </c:pt>
                <c:pt idx="84">
                  <c:v>-14.547492</c:v>
                </c:pt>
                <c:pt idx="85">
                  <c:v>-14.87092</c:v>
                </c:pt>
                <c:pt idx="86">
                  <c:v>-15.129932</c:v>
                </c:pt>
                <c:pt idx="87">
                  <c:v>-15.388944</c:v>
                </c:pt>
                <c:pt idx="88">
                  <c:v>-15.647956000000001</c:v>
                </c:pt>
                <c:pt idx="89">
                  <c:v>-15.849945999999999</c:v>
                </c:pt>
                <c:pt idx="90">
                  <c:v>-16.003060000000001</c:v>
                </c:pt>
                <c:pt idx="91">
                  <c:v>-16.156174</c:v>
                </c:pt>
                <c:pt idx="92">
                  <c:v>-16.309287999999999</c:v>
                </c:pt>
                <c:pt idx="93">
                  <c:v>-16.392939999999999</c:v>
                </c:pt>
                <c:pt idx="94">
                  <c:v>-16.445720000000001</c:v>
                </c:pt>
                <c:pt idx="95">
                  <c:v>-16.4985</c:v>
                </c:pt>
                <c:pt idx="96">
                  <c:v>-16.551279999999998</c:v>
                </c:pt>
                <c:pt idx="97">
                  <c:v>-16.530315999999999</c:v>
                </c:pt>
                <c:pt idx="98">
                  <c:v>-16.495944000000001</c:v>
                </c:pt>
                <c:pt idx="99">
                  <c:v>-16.461572</c:v>
                </c:pt>
                <c:pt idx="100">
                  <c:v>-16.427199999999999</c:v>
                </c:pt>
              </c:numCache>
            </c:numRef>
          </c:yVal>
          <c:smooth val="1"/>
          <c:extLst>
            <c:ext xmlns:c16="http://schemas.microsoft.com/office/drawing/2014/chart" uri="{C3380CC4-5D6E-409C-BE32-E72D297353CC}">
              <c16:uniqueId val="{00000004-391A-4CD4-9354-CB474E58408D}"/>
            </c:ext>
          </c:extLst>
        </c:ser>
        <c:ser>
          <c:idx val="5"/>
          <c:order val="2"/>
          <c:tx>
            <c:v>Right 2</c:v>
          </c:tx>
          <c:spPr>
            <a:ln w="19050">
              <a:solidFill>
                <a:srgbClr val="00B050"/>
              </a:solidFill>
            </a:ln>
          </c:spPr>
          <c:marker>
            <c:symbol val="none"/>
          </c:marker>
          <c:xVal>
            <c:numRef>
              <c:f>'Right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2 Kin'!$M$2:$M$102</c:f>
              <c:numCache>
                <c:formatCode>General</c:formatCode>
                <c:ptCount val="101"/>
                <c:pt idx="0">
                  <c:v>39.211599999999997</c:v>
                </c:pt>
                <c:pt idx="1">
                  <c:v>38.870995000000001</c:v>
                </c:pt>
                <c:pt idx="2">
                  <c:v>38.530389999999997</c:v>
                </c:pt>
                <c:pt idx="3">
                  <c:v>38.189785000000001</c:v>
                </c:pt>
                <c:pt idx="4">
                  <c:v>37.842356000000002</c:v>
                </c:pt>
                <c:pt idx="5">
                  <c:v>37.478720000000003</c:v>
                </c:pt>
                <c:pt idx="6">
                  <c:v>37.115084000000003</c:v>
                </c:pt>
                <c:pt idx="7">
                  <c:v>36.751448000000003</c:v>
                </c:pt>
                <c:pt idx="8">
                  <c:v>36.370196</c:v>
                </c:pt>
                <c:pt idx="9">
                  <c:v>35.976832999999999</c:v>
                </c:pt>
                <c:pt idx="10">
                  <c:v>35.583469999999998</c:v>
                </c:pt>
                <c:pt idx="11">
                  <c:v>35.190106999999998</c:v>
                </c:pt>
                <c:pt idx="12">
                  <c:v>34.765664000000001</c:v>
                </c:pt>
                <c:pt idx="13">
                  <c:v>34.337336000000001</c:v>
                </c:pt>
                <c:pt idx="14">
                  <c:v>33.909008</c:v>
                </c:pt>
                <c:pt idx="15">
                  <c:v>33.473554999999998</c:v>
                </c:pt>
                <c:pt idx="16">
                  <c:v>33.006751999999999</c:v>
                </c:pt>
                <c:pt idx="17">
                  <c:v>32.539949</c:v>
                </c:pt>
                <c:pt idx="18">
                  <c:v>32.073146000000001</c:v>
                </c:pt>
                <c:pt idx="19">
                  <c:v>31.586998999999999</c:v>
                </c:pt>
                <c:pt idx="20">
                  <c:v>31.080020000000001</c:v>
                </c:pt>
                <c:pt idx="21">
                  <c:v>30.573041</c:v>
                </c:pt>
                <c:pt idx="22">
                  <c:v>30.066061999999999</c:v>
                </c:pt>
                <c:pt idx="23">
                  <c:v>29.527877</c:v>
                </c:pt>
                <c:pt idx="24">
                  <c:v>28.980775999999999</c:v>
                </c:pt>
                <c:pt idx="25">
                  <c:v>28.433675000000001</c:v>
                </c:pt>
                <c:pt idx="26">
                  <c:v>27.883731999999998</c:v>
                </c:pt>
                <c:pt idx="27">
                  <c:v>27.298264</c:v>
                </c:pt>
                <c:pt idx="28">
                  <c:v>26.712796000000001</c:v>
                </c:pt>
                <c:pt idx="29">
                  <c:v>26.127327999999999</c:v>
                </c:pt>
                <c:pt idx="30">
                  <c:v>25.528790000000001</c:v>
                </c:pt>
                <c:pt idx="31">
                  <c:v>24.908033</c:v>
                </c:pt>
                <c:pt idx="32">
                  <c:v>24.287275999999999</c:v>
                </c:pt>
                <c:pt idx="33">
                  <c:v>23.666519000000001</c:v>
                </c:pt>
                <c:pt idx="34">
                  <c:v>23.025061999999998</c:v>
                </c:pt>
                <c:pt idx="35">
                  <c:v>22.373255</c:v>
                </c:pt>
                <c:pt idx="36">
                  <c:v>21.721447999999999</c:v>
                </c:pt>
                <c:pt idx="37">
                  <c:v>21.069641000000001</c:v>
                </c:pt>
                <c:pt idx="38">
                  <c:v>20.392848000000001</c:v>
                </c:pt>
                <c:pt idx="39">
                  <c:v>19.715094000000001</c:v>
                </c:pt>
                <c:pt idx="40">
                  <c:v>19.03734</c:v>
                </c:pt>
                <c:pt idx="41">
                  <c:v>18.354308</c:v>
                </c:pt>
                <c:pt idx="42">
                  <c:v>17.656196000000001</c:v>
                </c:pt>
                <c:pt idx="43">
                  <c:v>16.958083999999999</c:v>
                </c:pt>
                <c:pt idx="44">
                  <c:v>16.259972000000001</c:v>
                </c:pt>
                <c:pt idx="45">
                  <c:v>15.55391</c:v>
                </c:pt>
                <c:pt idx="46">
                  <c:v>14.841488</c:v>
                </c:pt>
                <c:pt idx="47">
                  <c:v>14.129066</c:v>
                </c:pt>
                <c:pt idx="48">
                  <c:v>13.416644</c:v>
                </c:pt>
                <c:pt idx="49">
                  <c:v>12.697575000000001</c:v>
                </c:pt>
                <c:pt idx="50">
                  <c:v>11.977349999999999</c:v>
                </c:pt>
                <c:pt idx="51">
                  <c:v>11.25712499999999</c:v>
                </c:pt>
                <c:pt idx="52">
                  <c:v>10.536770799999999</c:v>
                </c:pt>
                <c:pt idx="53">
                  <c:v>9.8156736999999978</c:v>
                </c:pt>
                <c:pt idx="54">
                  <c:v>9.0945765999999981</c:v>
                </c:pt>
                <c:pt idx="55">
                  <c:v>8.3734794999999984</c:v>
                </c:pt>
                <c:pt idx="56">
                  <c:v>7.6553596000000006</c:v>
                </c:pt>
                <c:pt idx="57">
                  <c:v>6.9409612000000003</c:v>
                </c:pt>
                <c:pt idx="58">
                  <c:v>6.2265627999999982</c:v>
                </c:pt>
                <c:pt idx="59">
                  <c:v>5.5121644000000014</c:v>
                </c:pt>
                <c:pt idx="60">
                  <c:v>4.8088799999999994</c:v>
                </c:pt>
                <c:pt idx="61">
                  <c:v>4.1094854999999972</c:v>
                </c:pt>
                <c:pt idx="62">
                  <c:v>3.410090999999996</c:v>
                </c:pt>
                <c:pt idx="63">
                  <c:v>2.711587339999999</c:v>
                </c:pt>
                <c:pt idx="64">
                  <c:v>2.0362455199999978</c:v>
                </c:pt>
                <c:pt idx="65">
                  <c:v>1.360903700000003</c:v>
                </c:pt>
                <c:pt idx="66">
                  <c:v>0.68556187999999718</c:v>
                </c:pt>
                <c:pt idx="67">
                  <c:v>2.1442340000000559E-2</c:v>
                </c:pt>
                <c:pt idx="68">
                  <c:v>-0.62023263999999778</c:v>
                </c:pt>
                <c:pt idx="69">
                  <c:v>-1.261907620000005</c:v>
                </c:pt>
                <c:pt idx="70">
                  <c:v>-1.903582600000004</c:v>
                </c:pt>
                <c:pt idx="71">
                  <c:v>-2.5178801000000091</c:v>
                </c:pt>
                <c:pt idx="72">
                  <c:v>-3.1160732000000051</c:v>
                </c:pt>
                <c:pt idx="73">
                  <c:v>-3.7142663000000011</c:v>
                </c:pt>
                <c:pt idx="74">
                  <c:v>-4.312459400000006</c:v>
                </c:pt>
                <c:pt idx="75">
                  <c:v>-4.8617125000000021</c:v>
                </c:pt>
                <c:pt idx="76">
                  <c:v>-5.4070503999999984</c:v>
                </c:pt>
                <c:pt idx="77">
                  <c:v>-5.9523883000000026</c:v>
                </c:pt>
                <c:pt idx="78">
                  <c:v>-6.4841673999999996</c:v>
                </c:pt>
                <c:pt idx="79">
                  <c:v>-6.9684906999999976</c:v>
                </c:pt>
                <c:pt idx="80">
                  <c:v>-7.4528140000000036</c:v>
                </c:pt>
                <c:pt idx="81">
                  <c:v>-7.9371373000000034</c:v>
                </c:pt>
                <c:pt idx="82">
                  <c:v>-8.3866454000000008</c:v>
                </c:pt>
                <c:pt idx="83">
                  <c:v>-8.8038251000000027</c:v>
                </c:pt>
                <c:pt idx="84">
                  <c:v>-9.2210048000000011</c:v>
                </c:pt>
                <c:pt idx="85">
                  <c:v>-9.638184500000003</c:v>
                </c:pt>
                <c:pt idx="86">
                  <c:v>-9.9978232000000009</c:v>
                </c:pt>
                <c:pt idx="87">
                  <c:v>-10.344384399999999</c:v>
                </c:pt>
                <c:pt idx="88">
                  <c:v>-10.690945599999999</c:v>
                </c:pt>
                <c:pt idx="89">
                  <c:v>-11.029612</c:v>
                </c:pt>
                <c:pt idx="90">
                  <c:v>-11.305120000000001</c:v>
                </c:pt>
                <c:pt idx="91">
                  <c:v>-11.580628000000001</c:v>
                </c:pt>
                <c:pt idx="92">
                  <c:v>-11.856135999999999</c:v>
                </c:pt>
                <c:pt idx="93">
                  <c:v>-12.103759</c:v>
                </c:pt>
                <c:pt idx="94">
                  <c:v>-12.310822</c:v>
                </c:pt>
                <c:pt idx="95">
                  <c:v>-12.517885</c:v>
                </c:pt>
                <c:pt idx="96">
                  <c:v>-12.724947999999999</c:v>
                </c:pt>
                <c:pt idx="97">
                  <c:v>-12.887494</c:v>
                </c:pt>
                <c:pt idx="98">
                  <c:v>-13.031295999999999</c:v>
                </c:pt>
                <c:pt idx="99">
                  <c:v>-13.175098</c:v>
                </c:pt>
                <c:pt idx="100">
                  <c:v>-13.318899999999999</c:v>
                </c:pt>
              </c:numCache>
            </c:numRef>
          </c:yVal>
          <c:smooth val="1"/>
          <c:extLst>
            <c:ext xmlns:c16="http://schemas.microsoft.com/office/drawing/2014/chart" uri="{C3380CC4-5D6E-409C-BE32-E72D297353CC}">
              <c16:uniqueId val="{00000003-391A-4CD4-9354-CB474E58408D}"/>
            </c:ext>
          </c:extLst>
        </c:ser>
        <c:ser>
          <c:idx val="4"/>
          <c:order val="3"/>
          <c:tx>
            <c:v>Right 1</c:v>
          </c:tx>
          <c:spPr>
            <a:ln w="19050">
              <a:solidFill>
                <a:srgbClr val="00B050"/>
              </a:solidFill>
            </a:ln>
          </c:spPr>
          <c:marker>
            <c:symbol val="none"/>
          </c:marker>
          <c:xVal>
            <c:numRef>
              <c:f>'Right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1 Kin'!$M$2:$M$102</c:f>
              <c:numCache>
                <c:formatCode>General</c:formatCode>
                <c:ptCount val="101"/>
                <c:pt idx="0">
                  <c:v>41.419800000000002</c:v>
                </c:pt>
                <c:pt idx="1">
                  <c:v>41.078122</c:v>
                </c:pt>
                <c:pt idx="2">
                  <c:v>40.736443999999999</c:v>
                </c:pt>
                <c:pt idx="3">
                  <c:v>40.394765999999997</c:v>
                </c:pt>
                <c:pt idx="4">
                  <c:v>40.0548</c:v>
                </c:pt>
                <c:pt idx="5">
                  <c:v>39.716225000000001</c:v>
                </c:pt>
                <c:pt idx="6">
                  <c:v>39.377650000000003</c:v>
                </c:pt>
                <c:pt idx="7">
                  <c:v>39.038696999999999</c:v>
                </c:pt>
                <c:pt idx="8">
                  <c:v>38.696468000000003</c:v>
                </c:pt>
                <c:pt idx="9">
                  <c:v>38.354239</c:v>
                </c:pt>
                <c:pt idx="10">
                  <c:v>38.012009999999997</c:v>
                </c:pt>
                <c:pt idx="11">
                  <c:v>37.662941000000004</c:v>
                </c:pt>
                <c:pt idx="12">
                  <c:v>37.310271999999998</c:v>
                </c:pt>
                <c:pt idx="13">
                  <c:v>36.957602999999999</c:v>
                </c:pt>
                <c:pt idx="14">
                  <c:v>36.601376000000002</c:v>
                </c:pt>
                <c:pt idx="15">
                  <c:v>36.23151</c:v>
                </c:pt>
                <c:pt idx="16">
                  <c:v>35.861644000000013</c:v>
                </c:pt>
                <c:pt idx="17">
                  <c:v>35.491777999999996</c:v>
                </c:pt>
                <c:pt idx="18">
                  <c:v>35.103982000000002</c:v>
                </c:pt>
                <c:pt idx="19">
                  <c:v>34.710481000000001</c:v>
                </c:pt>
                <c:pt idx="20">
                  <c:v>34.316980000000001</c:v>
                </c:pt>
                <c:pt idx="21">
                  <c:v>33.914281000000003</c:v>
                </c:pt>
                <c:pt idx="22">
                  <c:v>33.491142000000004</c:v>
                </c:pt>
                <c:pt idx="23">
                  <c:v>33.068002999999997</c:v>
                </c:pt>
                <c:pt idx="24">
                  <c:v>32.644863999999998</c:v>
                </c:pt>
                <c:pt idx="25">
                  <c:v>32.191749999999999</c:v>
                </c:pt>
                <c:pt idx="26">
                  <c:v>31.733840000000001</c:v>
                </c:pt>
                <c:pt idx="27">
                  <c:v>31.275929999999999</c:v>
                </c:pt>
                <c:pt idx="28">
                  <c:v>30.801915999999999</c:v>
                </c:pt>
                <c:pt idx="29">
                  <c:v>30.305088000000001</c:v>
                </c:pt>
                <c:pt idx="30">
                  <c:v>29.808260000000001</c:v>
                </c:pt>
                <c:pt idx="31">
                  <c:v>29.311432</c:v>
                </c:pt>
                <c:pt idx="32">
                  <c:v>28.774144</c:v>
                </c:pt>
                <c:pt idx="33">
                  <c:v>28.235410999999999</c:v>
                </c:pt>
                <c:pt idx="34">
                  <c:v>27.696677999999999</c:v>
                </c:pt>
                <c:pt idx="35">
                  <c:v>27.135370000000002</c:v>
                </c:pt>
                <c:pt idx="36">
                  <c:v>26.552992</c:v>
                </c:pt>
                <c:pt idx="37">
                  <c:v>25.970614000000001</c:v>
                </c:pt>
                <c:pt idx="38">
                  <c:v>25.385187999999999</c:v>
                </c:pt>
                <c:pt idx="39">
                  <c:v>24.758614000000001</c:v>
                </c:pt>
                <c:pt idx="40">
                  <c:v>24.13204</c:v>
                </c:pt>
                <c:pt idx="41">
                  <c:v>23.505465999999998</c:v>
                </c:pt>
                <c:pt idx="42">
                  <c:v>22.851856000000002</c:v>
                </c:pt>
                <c:pt idx="43">
                  <c:v>22.181723999999999</c:v>
                </c:pt>
                <c:pt idx="44">
                  <c:v>21.511592</c:v>
                </c:pt>
                <c:pt idx="45">
                  <c:v>20.834254999999999</c:v>
                </c:pt>
                <c:pt idx="46">
                  <c:v>20.122333999999999</c:v>
                </c:pt>
                <c:pt idx="47">
                  <c:v>19.410412999999998</c:v>
                </c:pt>
                <c:pt idx="48">
                  <c:v>18.698492000000002</c:v>
                </c:pt>
                <c:pt idx="49">
                  <c:v>17.958473000000001</c:v>
                </c:pt>
                <c:pt idx="50">
                  <c:v>17.207750000000001</c:v>
                </c:pt>
                <c:pt idx="51">
                  <c:v>16.457027</c:v>
                </c:pt>
                <c:pt idx="52">
                  <c:v>15.696832000000001</c:v>
                </c:pt>
                <c:pt idx="53">
                  <c:v>14.911773</c:v>
                </c:pt>
                <c:pt idx="54">
                  <c:v>14.126714</c:v>
                </c:pt>
                <c:pt idx="55">
                  <c:v>13.341654999999999</c:v>
                </c:pt>
                <c:pt idx="56">
                  <c:v>12.533291999999999</c:v>
                </c:pt>
                <c:pt idx="57">
                  <c:v>11.720074</c:v>
                </c:pt>
                <c:pt idx="58">
                  <c:v>10.906855999999999</c:v>
                </c:pt>
                <c:pt idx="59">
                  <c:v>10.0861371</c:v>
                </c:pt>
                <c:pt idx="60">
                  <c:v>9.2531440000000025</c:v>
                </c:pt>
                <c:pt idx="61">
                  <c:v>8.4201509000000012</c:v>
                </c:pt>
                <c:pt idx="62">
                  <c:v>7.5871578</c:v>
                </c:pt>
                <c:pt idx="63">
                  <c:v>6.7458838000000032</c:v>
                </c:pt>
                <c:pt idx="64">
                  <c:v>5.9039963999999996</c:v>
                </c:pt>
                <c:pt idx="65">
                  <c:v>5.0621090000000031</c:v>
                </c:pt>
                <c:pt idx="66">
                  <c:v>4.2224223999999957</c:v>
                </c:pt>
                <c:pt idx="67">
                  <c:v>3.3850938000000022</c:v>
                </c:pt>
                <c:pt idx="68">
                  <c:v>2.5477652000000082</c:v>
                </c:pt>
                <c:pt idx="69">
                  <c:v>1.711137300000003</c:v>
                </c:pt>
                <c:pt idx="70">
                  <c:v>0.89412900000000584</c:v>
                </c:pt>
                <c:pt idx="71">
                  <c:v>7.7120699999997155E-2</c:v>
                </c:pt>
                <c:pt idx="72">
                  <c:v>-0.73988760000000009</c:v>
                </c:pt>
                <c:pt idx="73">
                  <c:v>-1.5349080999999971</c:v>
                </c:pt>
                <c:pt idx="74">
                  <c:v>-2.3144078000000059</c:v>
                </c:pt>
                <c:pt idx="75">
                  <c:v>-3.0939075000000029</c:v>
                </c:pt>
                <c:pt idx="76">
                  <c:v>-3.8658283999999998</c:v>
                </c:pt>
                <c:pt idx="77">
                  <c:v>-4.5903818000000047</c:v>
                </c:pt>
                <c:pt idx="78">
                  <c:v>-5.314935199999999</c:v>
                </c:pt>
                <c:pt idx="79">
                  <c:v>-6.0394885999999932</c:v>
                </c:pt>
                <c:pt idx="80">
                  <c:v>-6.71509</c:v>
                </c:pt>
                <c:pt idx="81">
                  <c:v>-7.368662999999998</c:v>
                </c:pt>
                <c:pt idx="82">
                  <c:v>-8.0222359999999959</c:v>
                </c:pt>
                <c:pt idx="83">
                  <c:v>-8.6554915000000019</c:v>
                </c:pt>
                <c:pt idx="84">
                  <c:v>-9.2248920000000005</c:v>
                </c:pt>
                <c:pt idx="85">
                  <c:v>-9.7942925000000063</c:v>
                </c:pt>
                <c:pt idx="86">
                  <c:v>-10.363693</c:v>
                </c:pt>
                <c:pt idx="87">
                  <c:v>-10.859137</c:v>
                </c:pt>
                <c:pt idx="88">
                  <c:v>-11.335288</c:v>
                </c:pt>
                <c:pt idx="89">
                  <c:v>-11.811439</c:v>
                </c:pt>
                <c:pt idx="90">
                  <c:v>-12.254</c:v>
                </c:pt>
                <c:pt idx="91">
                  <c:v>-12.63274</c:v>
                </c:pt>
                <c:pt idx="92">
                  <c:v>-13.011480000000001</c:v>
                </c:pt>
                <c:pt idx="93">
                  <c:v>-13.390219999999999</c:v>
                </c:pt>
                <c:pt idx="94">
                  <c:v>-13.682328</c:v>
                </c:pt>
                <c:pt idx="95">
                  <c:v>-13.96444</c:v>
                </c:pt>
                <c:pt idx="96">
                  <c:v>-14.246551999999999</c:v>
                </c:pt>
                <c:pt idx="97">
                  <c:v>-14.487779</c:v>
                </c:pt>
                <c:pt idx="98">
                  <c:v>-14.678686000000001</c:v>
                </c:pt>
                <c:pt idx="99">
                  <c:v>-14.869593</c:v>
                </c:pt>
                <c:pt idx="100">
                  <c:v>-15.060499999999999</c:v>
                </c:pt>
              </c:numCache>
            </c:numRef>
          </c:yVal>
          <c:smooth val="1"/>
          <c:extLst>
            <c:ext xmlns:c16="http://schemas.microsoft.com/office/drawing/2014/chart" uri="{C3380CC4-5D6E-409C-BE32-E72D297353CC}">
              <c16:uniqueId val="{00000002-391A-4CD4-9354-CB474E58408D}"/>
            </c:ext>
          </c:extLst>
        </c:ser>
        <c:ser>
          <c:idx val="3"/>
          <c:order val="4"/>
          <c:tx>
            <c:v>Left 3</c:v>
          </c:tx>
          <c:spPr>
            <a:ln w="19050">
              <a:solidFill>
                <a:srgbClr val="FF0000"/>
              </a:solidFill>
            </a:ln>
          </c:spPr>
          <c:marker>
            <c:symbol val="none"/>
          </c:marker>
          <c:xVal>
            <c:numRef>
              <c:f>'Left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3 Kin'!$M$2:$M$102</c:f>
              <c:numCache>
                <c:formatCode>General</c:formatCode>
                <c:ptCount val="101"/>
                <c:pt idx="0">
                  <c:v>46.789200000000001</c:v>
                </c:pt>
                <c:pt idx="1">
                  <c:v>46.430633999999998</c:v>
                </c:pt>
                <c:pt idx="2">
                  <c:v>46.072068000000002</c:v>
                </c:pt>
                <c:pt idx="3">
                  <c:v>45.713501999999998</c:v>
                </c:pt>
                <c:pt idx="4">
                  <c:v>45.348464</c:v>
                </c:pt>
                <c:pt idx="5">
                  <c:v>44.947830000000003</c:v>
                </c:pt>
                <c:pt idx="6">
                  <c:v>44.547196</c:v>
                </c:pt>
                <c:pt idx="7">
                  <c:v>44.146562000000003</c:v>
                </c:pt>
                <c:pt idx="8">
                  <c:v>43.734192</c:v>
                </c:pt>
                <c:pt idx="9">
                  <c:v>43.295416000000003</c:v>
                </c:pt>
                <c:pt idx="10">
                  <c:v>42.856639999999999</c:v>
                </c:pt>
                <c:pt idx="11">
                  <c:v>42.417864000000002</c:v>
                </c:pt>
                <c:pt idx="12">
                  <c:v>41.963056000000002</c:v>
                </c:pt>
                <c:pt idx="13">
                  <c:v>41.489544000000002</c:v>
                </c:pt>
                <c:pt idx="14">
                  <c:v>41.016032000000003</c:v>
                </c:pt>
                <c:pt idx="15">
                  <c:v>40.542520000000003</c:v>
                </c:pt>
                <c:pt idx="16">
                  <c:v>40.047695999999988</c:v>
                </c:pt>
                <c:pt idx="17">
                  <c:v>39.539552</c:v>
                </c:pt>
                <c:pt idx="18">
                  <c:v>39.031407999999999</c:v>
                </c:pt>
                <c:pt idx="19">
                  <c:v>38.523263999999998</c:v>
                </c:pt>
                <c:pt idx="20">
                  <c:v>37.985319999999987</c:v>
                </c:pt>
                <c:pt idx="21">
                  <c:v>37.438436000000003</c:v>
                </c:pt>
                <c:pt idx="22">
                  <c:v>36.891551999999997</c:v>
                </c:pt>
                <c:pt idx="23">
                  <c:v>36.344667999999999</c:v>
                </c:pt>
                <c:pt idx="24">
                  <c:v>35.755159999999997</c:v>
                </c:pt>
                <c:pt idx="25">
                  <c:v>35.162100000000002</c:v>
                </c:pt>
                <c:pt idx="26">
                  <c:v>34.569040000000001</c:v>
                </c:pt>
                <c:pt idx="27">
                  <c:v>33.971795999999998</c:v>
                </c:pt>
                <c:pt idx="28">
                  <c:v>33.324344000000004</c:v>
                </c:pt>
                <c:pt idx="29">
                  <c:v>32.676892000000002</c:v>
                </c:pt>
                <c:pt idx="30">
                  <c:v>32.029440000000001</c:v>
                </c:pt>
                <c:pt idx="31">
                  <c:v>31.368074</c:v>
                </c:pt>
                <c:pt idx="32">
                  <c:v>30.660328</c:v>
                </c:pt>
                <c:pt idx="33">
                  <c:v>29.952582</c:v>
                </c:pt>
                <c:pt idx="34">
                  <c:v>29.244835999999999</c:v>
                </c:pt>
                <c:pt idx="35">
                  <c:v>28.513480000000001</c:v>
                </c:pt>
                <c:pt idx="36">
                  <c:v>27.744347999999999</c:v>
                </c:pt>
                <c:pt idx="37">
                  <c:v>26.975216</c:v>
                </c:pt>
                <c:pt idx="38">
                  <c:v>26.206084000000001</c:v>
                </c:pt>
                <c:pt idx="39">
                  <c:v>25.406697999999999</c:v>
                </c:pt>
                <c:pt idx="40">
                  <c:v>24.581379999999999</c:v>
                </c:pt>
                <c:pt idx="41">
                  <c:v>23.756062</c:v>
                </c:pt>
                <c:pt idx="42">
                  <c:v>22.930744000000001</c:v>
                </c:pt>
                <c:pt idx="43">
                  <c:v>22.074304000000001</c:v>
                </c:pt>
                <c:pt idx="44">
                  <c:v>21.204031999999991</c:v>
                </c:pt>
                <c:pt idx="45">
                  <c:v>20.333760000000002</c:v>
                </c:pt>
                <c:pt idx="46">
                  <c:v>19.463488000000002</c:v>
                </c:pt>
                <c:pt idx="47">
                  <c:v>18.568201999999999</c:v>
                </c:pt>
                <c:pt idx="48">
                  <c:v>17.668368000000001</c:v>
                </c:pt>
                <c:pt idx="49">
                  <c:v>16.768533999999999</c:v>
                </c:pt>
                <c:pt idx="50">
                  <c:v>15.8687</c:v>
                </c:pt>
                <c:pt idx="51">
                  <c:v>14.95636</c:v>
                </c:pt>
                <c:pt idx="52">
                  <c:v>14.04402</c:v>
                </c:pt>
                <c:pt idx="53">
                  <c:v>13.131679999999999</c:v>
                </c:pt>
                <c:pt idx="54">
                  <c:v>12.2199104</c:v>
                </c:pt>
                <c:pt idx="55">
                  <c:v>11.311278</c:v>
                </c:pt>
                <c:pt idx="56">
                  <c:v>10.4026456</c:v>
                </c:pt>
                <c:pt idx="57">
                  <c:v>9.4940131999999977</c:v>
                </c:pt>
                <c:pt idx="58">
                  <c:v>8.5908767999999966</c:v>
                </c:pt>
                <c:pt idx="59">
                  <c:v>7.700106400000001</c:v>
                </c:pt>
                <c:pt idx="60">
                  <c:v>6.8093359999999992</c:v>
                </c:pt>
                <c:pt idx="61">
                  <c:v>5.9185655999999973</c:v>
                </c:pt>
                <c:pt idx="62">
                  <c:v>5.0417235999999956</c:v>
                </c:pt>
                <c:pt idx="63">
                  <c:v>4.1811313999999999</c:v>
                </c:pt>
                <c:pt idx="64">
                  <c:v>3.320539199999998</c:v>
                </c:pt>
                <c:pt idx="65">
                  <c:v>2.459947000000001</c:v>
                </c:pt>
                <c:pt idx="66">
                  <c:v>1.6252667999999939</c:v>
                </c:pt>
                <c:pt idx="67">
                  <c:v>0.80678159999999766</c:v>
                </c:pt>
                <c:pt idx="68">
                  <c:v>-1.1703599999998371E-2</c:v>
                </c:pt>
                <c:pt idx="69">
                  <c:v>-0.83018880000000594</c:v>
                </c:pt>
                <c:pt idx="70">
                  <c:v>-1.6059300000000021</c:v>
                </c:pt>
                <c:pt idx="71">
                  <c:v>-2.3688480000000101</c:v>
                </c:pt>
                <c:pt idx="72">
                  <c:v>-3.131766000000006</c:v>
                </c:pt>
                <c:pt idx="73">
                  <c:v>-3.894684000000002</c:v>
                </c:pt>
                <c:pt idx="74">
                  <c:v>-4.5914436000000087</c:v>
                </c:pt>
                <c:pt idx="75">
                  <c:v>-5.282690000000005</c:v>
                </c:pt>
                <c:pt idx="76">
                  <c:v>-5.9739364000000013</c:v>
                </c:pt>
                <c:pt idx="77">
                  <c:v>-6.6582750000000068</c:v>
                </c:pt>
                <c:pt idx="78">
                  <c:v>-7.2597200000000042</c:v>
                </c:pt>
                <c:pt idx="79">
                  <c:v>-7.8611650000000006</c:v>
                </c:pt>
                <c:pt idx="80">
                  <c:v>-8.4626100000000068</c:v>
                </c:pt>
                <c:pt idx="81">
                  <c:v>-9.0392624000000037</c:v>
                </c:pt>
                <c:pt idx="82">
                  <c:v>-9.5332728000000007</c:v>
                </c:pt>
                <c:pt idx="83">
                  <c:v>-10.02728320000001</c:v>
                </c:pt>
                <c:pt idx="84">
                  <c:v>-10.5212936</c:v>
                </c:pt>
                <c:pt idx="85">
                  <c:v>-10.96890000000001</c:v>
                </c:pt>
                <c:pt idx="86">
                  <c:v>-11.34226</c:v>
                </c:pt>
                <c:pt idx="87">
                  <c:v>-11.715619999999999</c:v>
                </c:pt>
                <c:pt idx="88">
                  <c:v>-12.08898000000001</c:v>
                </c:pt>
                <c:pt idx="89">
                  <c:v>-12.39451</c:v>
                </c:pt>
                <c:pt idx="90">
                  <c:v>-12.6419</c:v>
                </c:pt>
                <c:pt idx="91">
                  <c:v>-12.889290000000001</c:v>
                </c:pt>
                <c:pt idx="92">
                  <c:v>-13.13668</c:v>
                </c:pt>
                <c:pt idx="93">
                  <c:v>-13.299974000000001</c:v>
                </c:pt>
                <c:pt idx="94">
                  <c:v>-13.425891999999999</c:v>
                </c:pt>
                <c:pt idx="95">
                  <c:v>-13.55181</c:v>
                </c:pt>
                <c:pt idx="96">
                  <c:v>-13.677728</c:v>
                </c:pt>
                <c:pt idx="97">
                  <c:v>-13.712478000000001</c:v>
                </c:pt>
                <c:pt idx="98">
                  <c:v>-13.730651999999999</c:v>
                </c:pt>
                <c:pt idx="99">
                  <c:v>-13.748825999999999</c:v>
                </c:pt>
                <c:pt idx="100">
                  <c:v>-13.766999999999999</c:v>
                </c:pt>
              </c:numCache>
            </c:numRef>
          </c:yVal>
          <c:smooth val="1"/>
          <c:extLst>
            <c:ext xmlns:c16="http://schemas.microsoft.com/office/drawing/2014/chart" uri="{C3380CC4-5D6E-409C-BE32-E72D297353CC}">
              <c16:uniqueId val="{00000001-391A-4CD4-9354-CB474E58408D}"/>
            </c:ext>
          </c:extLst>
        </c:ser>
        <c:ser>
          <c:idx val="2"/>
          <c:order val="5"/>
          <c:tx>
            <c:v>Left 2</c:v>
          </c:tx>
          <c:spPr>
            <a:ln w="19050">
              <a:solidFill>
                <a:srgbClr val="FF0000"/>
              </a:solidFill>
            </a:ln>
          </c:spPr>
          <c:marker>
            <c:symbol val="none"/>
          </c:marker>
          <c:xVal>
            <c:numRef>
              <c:f>'Left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2 Kin'!$M$2:$M$102</c:f>
              <c:numCache>
                <c:formatCode>General</c:formatCode>
                <c:ptCount val="101"/>
                <c:pt idx="0">
                  <c:v>40.481200000000001</c:v>
                </c:pt>
                <c:pt idx="1">
                  <c:v>40.022680000000001</c:v>
                </c:pt>
                <c:pt idx="2">
                  <c:v>39.564160000000001</c:v>
                </c:pt>
                <c:pt idx="3">
                  <c:v>39.105640000000001</c:v>
                </c:pt>
                <c:pt idx="4">
                  <c:v>38.647120000000001</c:v>
                </c:pt>
                <c:pt idx="5">
                  <c:v>38.150219999999997</c:v>
                </c:pt>
                <c:pt idx="6">
                  <c:v>37.645643999999997</c:v>
                </c:pt>
                <c:pt idx="7">
                  <c:v>37.141067999999997</c:v>
                </c:pt>
                <c:pt idx="8">
                  <c:v>36.636491999999997</c:v>
                </c:pt>
                <c:pt idx="9">
                  <c:v>36.102635999999997</c:v>
                </c:pt>
                <c:pt idx="10">
                  <c:v>35.554139999999997</c:v>
                </c:pt>
                <c:pt idx="11">
                  <c:v>35.005643999999997</c:v>
                </c:pt>
                <c:pt idx="12">
                  <c:v>34.457147999999997</c:v>
                </c:pt>
                <c:pt idx="13">
                  <c:v>33.888587999999999</c:v>
                </c:pt>
                <c:pt idx="14">
                  <c:v>33.299964000000003</c:v>
                </c:pt>
                <c:pt idx="15">
                  <c:v>32.71134</c:v>
                </c:pt>
                <c:pt idx="16">
                  <c:v>32.122715999999997</c:v>
                </c:pt>
                <c:pt idx="17">
                  <c:v>31.522396000000001</c:v>
                </c:pt>
                <c:pt idx="18">
                  <c:v>30.898683999999999</c:v>
                </c:pt>
                <c:pt idx="19">
                  <c:v>30.274972000000002</c:v>
                </c:pt>
                <c:pt idx="20">
                  <c:v>29.651260000000001</c:v>
                </c:pt>
                <c:pt idx="21">
                  <c:v>29.022667999999999</c:v>
                </c:pt>
                <c:pt idx="22">
                  <c:v>28.369675999999998</c:v>
                </c:pt>
                <c:pt idx="23">
                  <c:v>27.716684000000001</c:v>
                </c:pt>
                <c:pt idx="24">
                  <c:v>27.063692</c:v>
                </c:pt>
                <c:pt idx="25">
                  <c:v>26.410699999999999</c:v>
                </c:pt>
                <c:pt idx="26">
                  <c:v>25.734572</c:v>
                </c:pt>
                <c:pt idx="27">
                  <c:v>25.058444000000001</c:v>
                </c:pt>
                <c:pt idx="28">
                  <c:v>24.382315999999999</c:v>
                </c:pt>
                <c:pt idx="29">
                  <c:v>23.706188000000001</c:v>
                </c:pt>
                <c:pt idx="30">
                  <c:v>23.01576</c:v>
                </c:pt>
                <c:pt idx="31">
                  <c:v>22.322472000000001</c:v>
                </c:pt>
                <c:pt idx="32">
                  <c:v>21.629183999999999</c:v>
                </c:pt>
                <c:pt idx="33">
                  <c:v>20.935896</c:v>
                </c:pt>
                <c:pt idx="34">
                  <c:v>20.234976</c:v>
                </c:pt>
                <c:pt idx="35">
                  <c:v>19.530239999999999</c:v>
                </c:pt>
                <c:pt idx="36">
                  <c:v>18.825503999999999</c:v>
                </c:pt>
                <c:pt idx="37">
                  <c:v>18.120768000000002</c:v>
                </c:pt>
                <c:pt idx="38">
                  <c:v>17.412839999999999</c:v>
                </c:pt>
                <c:pt idx="39">
                  <c:v>16.701720000000002</c:v>
                </c:pt>
                <c:pt idx="40">
                  <c:v>15.990600000000001</c:v>
                </c:pt>
                <c:pt idx="41">
                  <c:v>15.27948</c:v>
                </c:pt>
                <c:pt idx="42">
                  <c:v>14.567792000000001</c:v>
                </c:pt>
                <c:pt idx="43">
                  <c:v>13.854968</c:v>
                </c:pt>
                <c:pt idx="44">
                  <c:v>13.142144</c:v>
                </c:pt>
                <c:pt idx="45">
                  <c:v>12.429320000000001</c:v>
                </c:pt>
                <c:pt idx="46">
                  <c:v>11.716974799999999</c:v>
                </c:pt>
                <c:pt idx="47">
                  <c:v>11.0070236</c:v>
                </c:pt>
                <c:pt idx="48">
                  <c:v>10.297072399999999</c:v>
                </c:pt>
                <c:pt idx="49">
                  <c:v>9.5871212000000021</c:v>
                </c:pt>
                <c:pt idx="50">
                  <c:v>8.8771699999999996</c:v>
                </c:pt>
                <c:pt idx="51">
                  <c:v>8.1749155999999985</c:v>
                </c:pt>
                <c:pt idx="52">
                  <c:v>7.4726612000000019</c:v>
                </c:pt>
                <c:pt idx="53">
                  <c:v>6.7704067999999999</c:v>
                </c:pt>
                <c:pt idx="54">
                  <c:v>6.0681523999999989</c:v>
                </c:pt>
                <c:pt idx="55">
                  <c:v>5.3770859999999976</c:v>
                </c:pt>
                <c:pt idx="56">
                  <c:v>4.6882572000000016</c:v>
                </c:pt>
                <c:pt idx="57">
                  <c:v>3.9994284000000002</c:v>
                </c:pt>
                <c:pt idx="58">
                  <c:v>3.3105995999999989</c:v>
                </c:pt>
                <c:pt idx="59">
                  <c:v>2.635469840000003</c:v>
                </c:pt>
                <c:pt idx="60">
                  <c:v>1.9671896000000011</c:v>
                </c:pt>
                <c:pt idx="61">
                  <c:v>1.2989093599999999</c:v>
                </c:pt>
                <c:pt idx="62">
                  <c:v>0.63062911999999871</c:v>
                </c:pt>
                <c:pt idx="63">
                  <c:v>-2.2983279999998388E-2</c:v>
                </c:pt>
                <c:pt idx="64">
                  <c:v>-0.66192783999999982</c:v>
                </c:pt>
                <c:pt idx="65">
                  <c:v>-1.300872399999996</c:v>
                </c:pt>
                <c:pt idx="66">
                  <c:v>-1.9398169600000019</c:v>
                </c:pt>
                <c:pt idx="67">
                  <c:v>-2.5654879999999989</c:v>
                </c:pt>
                <c:pt idx="68">
                  <c:v>-3.164611999999996</c:v>
                </c:pt>
                <c:pt idx="69">
                  <c:v>-3.7637360000000011</c:v>
                </c:pt>
                <c:pt idx="70">
                  <c:v>-4.3628599999999977</c:v>
                </c:pt>
                <c:pt idx="71">
                  <c:v>-4.9534172000000032</c:v>
                </c:pt>
                <c:pt idx="72">
                  <c:v>-5.5011404000000006</c:v>
                </c:pt>
                <c:pt idx="73">
                  <c:v>-6.0488635999999971</c:v>
                </c:pt>
                <c:pt idx="74">
                  <c:v>-6.5965868000000034</c:v>
                </c:pt>
                <c:pt idx="75">
                  <c:v>-7.1443099999999999</c:v>
                </c:pt>
                <c:pt idx="76">
                  <c:v>-7.6289251999999976</c:v>
                </c:pt>
                <c:pt idx="77">
                  <c:v>-8.1135404000000015</c:v>
                </c:pt>
                <c:pt idx="78">
                  <c:v>-8.5981555999999983</c:v>
                </c:pt>
                <c:pt idx="79">
                  <c:v>-9.0827707999999969</c:v>
                </c:pt>
                <c:pt idx="80">
                  <c:v>-9.5060920000000007</c:v>
                </c:pt>
                <c:pt idx="81">
                  <c:v>-9.9171543999999994</c:v>
                </c:pt>
                <c:pt idx="82">
                  <c:v>-10.3282168</c:v>
                </c:pt>
                <c:pt idx="83">
                  <c:v>-10.7392792</c:v>
                </c:pt>
                <c:pt idx="84">
                  <c:v>-11.09614</c:v>
                </c:pt>
                <c:pt idx="85">
                  <c:v>-11.4259</c:v>
                </c:pt>
                <c:pt idx="86">
                  <c:v>-11.755660000000001</c:v>
                </c:pt>
                <c:pt idx="87">
                  <c:v>-12.085419999999999</c:v>
                </c:pt>
                <c:pt idx="88">
                  <c:v>-12.372579999999999</c:v>
                </c:pt>
                <c:pt idx="89">
                  <c:v>-12.617139999999999</c:v>
                </c:pt>
                <c:pt idx="90">
                  <c:v>-12.861700000000001</c:v>
                </c:pt>
                <c:pt idx="91">
                  <c:v>-13.106260000000001</c:v>
                </c:pt>
                <c:pt idx="92">
                  <c:v>-13.322604</c:v>
                </c:pt>
                <c:pt idx="93">
                  <c:v>-13.482516</c:v>
                </c:pt>
                <c:pt idx="94">
                  <c:v>-13.642428000000001</c:v>
                </c:pt>
                <c:pt idx="95">
                  <c:v>-13.802339999999999</c:v>
                </c:pt>
                <c:pt idx="96">
                  <c:v>-13.948976</c:v>
                </c:pt>
                <c:pt idx="97">
                  <c:v>-14.029232</c:v>
                </c:pt>
                <c:pt idx="98">
                  <c:v>-14.109488000000001</c:v>
                </c:pt>
                <c:pt idx="99">
                  <c:v>-14.189743999999999</c:v>
                </c:pt>
                <c:pt idx="100">
                  <c:v>-14.27</c:v>
                </c:pt>
              </c:numCache>
            </c:numRef>
          </c:yVal>
          <c:smooth val="1"/>
          <c:extLst>
            <c:ext xmlns:c16="http://schemas.microsoft.com/office/drawing/2014/chart" uri="{C3380CC4-5D6E-409C-BE32-E72D297353CC}">
              <c16:uniqueId val="{00000000-391A-4CD4-9354-CB474E58408D}"/>
            </c:ext>
          </c:extLst>
        </c:ser>
        <c:ser>
          <c:idx val="0"/>
          <c:order val="6"/>
          <c:tx>
            <c:v>Left 1</c:v>
          </c:tx>
          <c:spPr>
            <a:ln w="19050">
              <a:solidFill>
                <a:srgbClr val="FF0000"/>
              </a:solidFill>
            </a:ln>
          </c:spPr>
          <c:marker>
            <c:symbol val="none"/>
          </c:marker>
          <c:xVal>
            <c:numRef>
              <c:f>'Left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1 Kin'!$M$2:$M$102</c:f>
              <c:numCache>
                <c:formatCode>General</c:formatCode>
                <c:ptCount val="101"/>
                <c:pt idx="0">
                  <c:v>43.163899999999998</c:v>
                </c:pt>
                <c:pt idx="1">
                  <c:v>42.710175</c:v>
                </c:pt>
                <c:pt idx="2">
                  <c:v>42.256450000000001</c:v>
                </c:pt>
                <c:pt idx="3">
                  <c:v>41.802725000000002</c:v>
                </c:pt>
                <c:pt idx="4">
                  <c:v>41.348999999999997</c:v>
                </c:pt>
                <c:pt idx="5">
                  <c:v>40.883599999999987</c:v>
                </c:pt>
                <c:pt idx="6">
                  <c:v>40.418199999999999</c:v>
                </c:pt>
                <c:pt idx="7">
                  <c:v>39.952800000000003</c:v>
                </c:pt>
                <c:pt idx="8">
                  <c:v>39.487400000000001</c:v>
                </c:pt>
                <c:pt idx="9">
                  <c:v>39.017474999999997</c:v>
                </c:pt>
                <c:pt idx="10">
                  <c:v>38.547550000000001</c:v>
                </c:pt>
                <c:pt idx="11">
                  <c:v>38.077624999999998</c:v>
                </c:pt>
                <c:pt idx="12">
                  <c:v>37.607700000000001</c:v>
                </c:pt>
                <c:pt idx="13">
                  <c:v>37.135375000000003</c:v>
                </c:pt>
                <c:pt idx="14">
                  <c:v>36.663049999999998</c:v>
                </c:pt>
                <c:pt idx="15">
                  <c:v>36.190725</c:v>
                </c:pt>
                <c:pt idx="16">
                  <c:v>35.718400000000003</c:v>
                </c:pt>
                <c:pt idx="17">
                  <c:v>35.239475000000013</c:v>
                </c:pt>
                <c:pt idx="18">
                  <c:v>34.760550000000002</c:v>
                </c:pt>
                <c:pt idx="19">
                  <c:v>34.281625000000012</c:v>
                </c:pt>
                <c:pt idx="20">
                  <c:v>33.802700000000002</c:v>
                </c:pt>
                <c:pt idx="21">
                  <c:v>33.307324999999999</c:v>
                </c:pt>
                <c:pt idx="22">
                  <c:v>32.811950000000003</c:v>
                </c:pt>
                <c:pt idx="23">
                  <c:v>32.316575</c:v>
                </c:pt>
                <c:pt idx="24">
                  <c:v>31.821200000000001</c:v>
                </c:pt>
                <c:pt idx="25">
                  <c:v>31.296325</c:v>
                </c:pt>
                <c:pt idx="26">
                  <c:v>30.771450000000002</c:v>
                </c:pt>
                <c:pt idx="27">
                  <c:v>30.246575</c:v>
                </c:pt>
                <c:pt idx="28">
                  <c:v>29.721699999999998</c:v>
                </c:pt>
                <c:pt idx="29">
                  <c:v>29.15455</c:v>
                </c:pt>
                <c:pt idx="30">
                  <c:v>28.587399999999999</c:v>
                </c:pt>
                <c:pt idx="31">
                  <c:v>28.020250000000001</c:v>
                </c:pt>
                <c:pt idx="32">
                  <c:v>27.453099999999999</c:v>
                </c:pt>
                <c:pt idx="33">
                  <c:v>26.834399999999999</c:v>
                </c:pt>
                <c:pt idx="34">
                  <c:v>26.215699999999998</c:v>
                </c:pt>
                <c:pt idx="35">
                  <c:v>25.597000000000001</c:v>
                </c:pt>
                <c:pt idx="36">
                  <c:v>24.978300000000001</c:v>
                </c:pt>
                <c:pt idx="37">
                  <c:v>24.304649999999999</c:v>
                </c:pt>
                <c:pt idx="38">
                  <c:v>23.631</c:v>
                </c:pt>
                <c:pt idx="39">
                  <c:v>22.957350000000002</c:v>
                </c:pt>
                <c:pt idx="40">
                  <c:v>22.2837</c:v>
                </c:pt>
                <c:pt idx="41">
                  <c:v>21.558275000000009</c:v>
                </c:pt>
                <c:pt idx="42">
                  <c:v>20.832850000000001</c:v>
                </c:pt>
                <c:pt idx="43">
                  <c:v>20.107424999999999</c:v>
                </c:pt>
                <c:pt idx="44">
                  <c:v>19.382000000000001</c:v>
                </c:pt>
                <c:pt idx="45">
                  <c:v>18.613150000000001</c:v>
                </c:pt>
                <c:pt idx="46">
                  <c:v>17.8443</c:v>
                </c:pt>
                <c:pt idx="47">
                  <c:v>17.07545</c:v>
                </c:pt>
                <c:pt idx="48">
                  <c:v>16.3066</c:v>
                </c:pt>
                <c:pt idx="49">
                  <c:v>15.505850000000001</c:v>
                </c:pt>
                <c:pt idx="50">
                  <c:v>14.7051</c:v>
                </c:pt>
                <c:pt idx="51">
                  <c:v>13.904350000000001</c:v>
                </c:pt>
                <c:pt idx="52">
                  <c:v>13.1036</c:v>
                </c:pt>
                <c:pt idx="53">
                  <c:v>12.282875000000001</c:v>
                </c:pt>
                <c:pt idx="54">
                  <c:v>11.462149999999999</c:v>
                </c:pt>
                <c:pt idx="55">
                  <c:v>10.641425</c:v>
                </c:pt>
                <c:pt idx="56">
                  <c:v>9.8207000000000004</c:v>
                </c:pt>
                <c:pt idx="57">
                  <c:v>8.9911324999999991</c:v>
                </c:pt>
                <c:pt idx="58">
                  <c:v>8.1615649999999977</c:v>
                </c:pt>
                <c:pt idx="59">
                  <c:v>7.3319975000000017</c:v>
                </c:pt>
                <c:pt idx="60">
                  <c:v>6.5024300000000004</c:v>
                </c:pt>
                <c:pt idx="61">
                  <c:v>5.6741799999999989</c:v>
                </c:pt>
                <c:pt idx="62">
                  <c:v>4.8459299999999974</c:v>
                </c:pt>
                <c:pt idx="63">
                  <c:v>4.0176800000000021</c:v>
                </c:pt>
                <c:pt idx="64">
                  <c:v>3.1894300000000002</c:v>
                </c:pt>
                <c:pt idx="65">
                  <c:v>2.3730939750000029</c:v>
                </c:pt>
                <c:pt idx="66">
                  <c:v>1.556757949999994</c:v>
                </c:pt>
                <c:pt idx="67">
                  <c:v>0.74042192499999748</c:v>
                </c:pt>
                <c:pt idx="68">
                  <c:v>-7.5914099999999998E-2</c:v>
                </c:pt>
                <c:pt idx="69">
                  <c:v>-0.86745807500000571</c:v>
                </c:pt>
                <c:pt idx="70">
                  <c:v>-1.65900205</c:v>
                </c:pt>
                <c:pt idx="71">
                  <c:v>-2.4505460250000062</c:v>
                </c:pt>
                <c:pt idx="72">
                  <c:v>-3.2420900000000001</c:v>
                </c:pt>
                <c:pt idx="73">
                  <c:v>-3.9924499999999972</c:v>
                </c:pt>
                <c:pt idx="74">
                  <c:v>-4.7428100000000057</c:v>
                </c:pt>
                <c:pt idx="75">
                  <c:v>-5.4931700000000028</c:v>
                </c:pt>
                <c:pt idx="76">
                  <c:v>-6.2435299999999998</c:v>
                </c:pt>
                <c:pt idx="77">
                  <c:v>-6.9331775000000047</c:v>
                </c:pt>
                <c:pt idx="78">
                  <c:v>-7.6228249999999997</c:v>
                </c:pt>
                <c:pt idx="79">
                  <c:v>-8.3124724999999948</c:v>
                </c:pt>
                <c:pt idx="80">
                  <c:v>-9.0021199999999997</c:v>
                </c:pt>
                <c:pt idx="81">
                  <c:v>-9.6108899999999977</c:v>
                </c:pt>
                <c:pt idx="82">
                  <c:v>-10.219659999999999</c:v>
                </c:pt>
                <c:pt idx="83">
                  <c:v>-10.828430000000001</c:v>
                </c:pt>
                <c:pt idx="84">
                  <c:v>-11.437200000000001</c:v>
                </c:pt>
                <c:pt idx="85">
                  <c:v>-11.947749999999999</c:v>
                </c:pt>
                <c:pt idx="86">
                  <c:v>-12.458299999999999</c:v>
                </c:pt>
                <c:pt idx="87">
                  <c:v>-12.96885</c:v>
                </c:pt>
                <c:pt idx="88">
                  <c:v>-13.4794</c:v>
                </c:pt>
                <c:pt idx="89">
                  <c:v>-13.88045</c:v>
                </c:pt>
                <c:pt idx="90">
                  <c:v>-14.281499999999999</c:v>
                </c:pt>
                <c:pt idx="91">
                  <c:v>-14.682550000000001</c:v>
                </c:pt>
                <c:pt idx="92">
                  <c:v>-15.083600000000001</c:v>
                </c:pt>
                <c:pt idx="93">
                  <c:v>-15.3714</c:v>
                </c:pt>
                <c:pt idx="94">
                  <c:v>-15.6592</c:v>
                </c:pt>
                <c:pt idx="95">
                  <c:v>-15.946999999999999</c:v>
                </c:pt>
                <c:pt idx="96">
                  <c:v>-16.2348</c:v>
                </c:pt>
                <c:pt idx="97">
                  <c:v>-16.412800000000001</c:v>
                </c:pt>
                <c:pt idx="98">
                  <c:v>-16.590800000000002</c:v>
                </c:pt>
                <c:pt idx="99">
                  <c:v>-16.768799999999999</c:v>
                </c:pt>
                <c:pt idx="100">
                  <c:v>-16.9468</c:v>
                </c:pt>
              </c:numCache>
            </c:numRef>
          </c:yVal>
          <c:smooth val="1"/>
          <c:extLst>
            <c:ext xmlns:c16="http://schemas.microsoft.com/office/drawing/2014/chart" uri="{C3380CC4-5D6E-409C-BE32-E72D297353CC}">
              <c16:uniqueId val="{00000001-3B76-4212-A349-EEA8906D549C}"/>
            </c:ext>
          </c:extLst>
        </c:ser>
        <c:dLbls>
          <c:showLegendKey val="0"/>
          <c:showVal val="0"/>
          <c:showCatName val="0"/>
          <c:showSerName val="0"/>
          <c:showPercent val="0"/>
          <c:showBubbleSize val="0"/>
        </c:dLbls>
        <c:axId val="86415616"/>
        <c:axId val="86433792"/>
      </c:scatterChart>
      <c:valAx>
        <c:axId val="86415616"/>
        <c:scaling>
          <c:orientation val="minMax"/>
          <c:max val="100"/>
        </c:scaling>
        <c:delete val="0"/>
        <c:axPos val="b"/>
        <c:numFmt formatCode="General" sourceLinked="1"/>
        <c:majorTickMark val="out"/>
        <c:minorTickMark val="none"/>
        <c:tickLblPos val="nextTo"/>
        <c:txPr>
          <a:bodyPr/>
          <a:lstStyle/>
          <a:p>
            <a:pPr>
              <a:defRPr lang="en-US" sz="800"/>
            </a:pPr>
            <a:endParaRPr lang="en-US"/>
          </a:p>
        </c:txPr>
        <c:crossAx val="86433792"/>
        <c:crosses val="autoZero"/>
        <c:crossBetween val="midCat"/>
        <c:majorUnit val="20"/>
      </c:valAx>
      <c:valAx>
        <c:axId val="86433792"/>
        <c:scaling>
          <c:orientation val="minMax"/>
        </c:scaling>
        <c:delete val="0"/>
        <c:axPos val="l"/>
        <c:title>
          <c:tx>
            <c:rich>
              <a:bodyPr rot="-5400000" vert="horz"/>
              <a:lstStyle/>
              <a:p>
                <a:pPr>
                  <a:defRPr lang="en-AU" sz="900"/>
                </a:pPr>
                <a:r>
                  <a:rPr lang="en-US" sz="900"/>
                  <a:t>Angle (degrees)</a:t>
                </a:r>
              </a:p>
            </c:rich>
          </c:tx>
          <c:layout>
            <c:manualLayout>
              <c:xMode val="edge"/>
              <c:yMode val="edge"/>
              <c:x val="7.8807368782308996E-4"/>
              <c:y val="0.33402271733993133"/>
            </c:manualLayout>
          </c:layout>
          <c:overlay val="0"/>
        </c:title>
        <c:numFmt formatCode="0" sourceLinked="0"/>
        <c:majorTickMark val="out"/>
        <c:minorTickMark val="none"/>
        <c:tickLblPos val="nextTo"/>
        <c:txPr>
          <a:bodyPr/>
          <a:lstStyle/>
          <a:p>
            <a:pPr>
              <a:defRPr lang="en-US" sz="800"/>
            </a:pPr>
            <a:endParaRPr lang="en-US"/>
          </a:p>
        </c:txPr>
        <c:crossAx val="86415616"/>
        <c:crosses val="autoZero"/>
        <c:crossBetween val="midCat"/>
      </c:valAx>
    </c:plotArea>
    <c:plotVisOnly val="1"/>
    <c:dispBlanksAs val="gap"/>
    <c:showDLblsOverMax val="0"/>
  </c:chart>
  <c:printSettings>
    <c:headerFooter/>
    <c:pageMargins b="0.75000000000001421" l="0.70000000000000095" r="0.70000000000000095" t="0.75000000000001421" header="0.3000000000000001" footer="0.3000000000000001"/>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US" sz="1200"/>
            </a:pPr>
            <a:r>
              <a:rPr lang="en-US" sz="1200"/>
              <a:t>Sagittal</a:t>
            </a:r>
            <a:r>
              <a:rPr lang="en-US" sz="1200" baseline="0"/>
              <a:t> Pelvic</a:t>
            </a:r>
            <a:r>
              <a:rPr lang="en-US" sz="1200"/>
              <a:t> Angle</a:t>
            </a:r>
          </a:p>
        </c:rich>
      </c:tx>
      <c:overlay val="0"/>
    </c:title>
    <c:autoTitleDeleted val="0"/>
    <c:plotArea>
      <c:layout>
        <c:manualLayout>
          <c:layoutTarget val="inner"/>
          <c:xMode val="edge"/>
          <c:yMode val="edge"/>
          <c:x val="9.3895297155991778E-2"/>
          <c:y val="4.1839214542626603E-2"/>
          <c:w val="0.87382008110709608"/>
          <c:h val="0.84524251207729462"/>
        </c:manualLayout>
      </c:layout>
      <c:scatterChart>
        <c:scatterStyle val="smoothMarker"/>
        <c:varyColors val="0"/>
        <c:ser>
          <c:idx val="1"/>
          <c:order val="0"/>
          <c:tx>
            <c:v>Normative</c:v>
          </c:tx>
          <c:spPr>
            <a:ln>
              <a:solidFill>
                <a:schemeClr val="tx1"/>
              </a:solidFill>
            </a:ln>
          </c:spPr>
          <c:marker>
            <c:symbol val="none"/>
          </c:marker>
          <c:xVal>
            <c:numRef>
              <c:f>Normative!$A$2:$A$102</c:f>
              <c:numCache>
                <c:formatCode>General</c:formatCode>
                <c:ptCount val="101"/>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numCache>
            </c:numRef>
          </c:xVal>
          <c:yVal>
            <c:numRef>
              <c:f>Normative!$J$2:$J$102</c:f>
              <c:numCache>
                <c:formatCode>General</c:formatCode>
                <c:ptCount val="101"/>
                <c:pt idx="0">
                  <c:v>10.300447893333333</c:v>
                </c:pt>
                <c:pt idx="1">
                  <c:v>10.300447893333333</c:v>
                </c:pt>
                <c:pt idx="2">
                  <c:v>10.568526979999998</c:v>
                </c:pt>
                <c:pt idx="3">
                  <c:v>10.599180179999999</c:v>
                </c:pt>
                <c:pt idx="4">
                  <c:v>10.888180479999999</c:v>
                </c:pt>
                <c:pt idx="5">
                  <c:v>10.917636679999998</c:v>
                </c:pt>
                <c:pt idx="6">
                  <c:v>11.214546053333333</c:v>
                </c:pt>
                <c:pt idx="7">
                  <c:v>11.283344169999999</c:v>
                </c:pt>
                <c:pt idx="8">
                  <c:v>11.511131163333335</c:v>
                </c:pt>
                <c:pt idx="9">
                  <c:v>11.621239293333334</c:v>
                </c:pt>
                <c:pt idx="10">
                  <c:v>11.757681250000001</c:v>
                </c:pt>
                <c:pt idx="11">
                  <c:v>11.82962025</c:v>
                </c:pt>
                <c:pt idx="12">
                  <c:v>11.92610477</c:v>
                </c:pt>
                <c:pt idx="13">
                  <c:v>12.029507623333334</c:v>
                </c:pt>
                <c:pt idx="14">
                  <c:v>12.035652496666666</c:v>
                </c:pt>
                <c:pt idx="15">
                  <c:v>12.07070843</c:v>
                </c:pt>
                <c:pt idx="16">
                  <c:v>12.010516103333334</c:v>
                </c:pt>
                <c:pt idx="17">
                  <c:v>12.027138886666666</c:v>
                </c:pt>
                <c:pt idx="18">
                  <c:v>11.910583663333332</c:v>
                </c:pt>
                <c:pt idx="19">
                  <c:v>11.904233923333333</c:v>
                </c:pt>
                <c:pt idx="20">
                  <c:v>11.772370106666667</c:v>
                </c:pt>
                <c:pt idx="21">
                  <c:v>11.745481466666666</c:v>
                </c:pt>
                <c:pt idx="22">
                  <c:v>11.618485443333332</c:v>
                </c:pt>
                <c:pt idx="23">
                  <c:v>11.574690283333332</c:v>
                </c:pt>
                <c:pt idx="24">
                  <c:v>11.46443365</c:v>
                </c:pt>
                <c:pt idx="25">
                  <c:v>11.406493456666666</c:v>
                </c:pt>
                <c:pt idx="26">
                  <c:v>11.32057833</c:v>
                </c:pt>
                <c:pt idx="27">
                  <c:v>11.246258600000001</c:v>
                </c:pt>
                <c:pt idx="28">
                  <c:v>11.190834083333334</c:v>
                </c:pt>
                <c:pt idx="29">
                  <c:v>11.134132679999999</c:v>
                </c:pt>
                <c:pt idx="30">
                  <c:v>11.092146763333336</c:v>
                </c:pt>
                <c:pt idx="31">
                  <c:v>11.049096309999999</c:v>
                </c:pt>
                <c:pt idx="32">
                  <c:v>11.016560856666667</c:v>
                </c:pt>
                <c:pt idx="33">
                  <c:v>11.004733060000001</c:v>
                </c:pt>
                <c:pt idx="34">
                  <c:v>11.00219706</c:v>
                </c:pt>
                <c:pt idx="35">
                  <c:v>11.034335833333333</c:v>
                </c:pt>
                <c:pt idx="36">
                  <c:v>11.056484770000001</c:v>
                </c:pt>
                <c:pt idx="37">
                  <c:v>11.157691546666666</c:v>
                </c:pt>
                <c:pt idx="38">
                  <c:v>11.275909533333333</c:v>
                </c:pt>
                <c:pt idx="39">
                  <c:v>11.428380486666665</c:v>
                </c:pt>
                <c:pt idx="40">
                  <c:v>11.571391586666667</c:v>
                </c:pt>
                <c:pt idx="41">
                  <c:v>11.802549036666667</c:v>
                </c:pt>
                <c:pt idx="42">
                  <c:v>12.033678163333335</c:v>
                </c:pt>
                <c:pt idx="43">
                  <c:v>12.365566113333333</c:v>
                </c:pt>
                <c:pt idx="44">
                  <c:v>12.578702413333335</c:v>
                </c:pt>
                <c:pt idx="45">
                  <c:v>13.090555380000001</c:v>
                </c:pt>
                <c:pt idx="46">
                  <c:v>13.26617036</c:v>
                </c:pt>
                <c:pt idx="47">
                  <c:v>13.811621849999998</c:v>
                </c:pt>
                <c:pt idx="48">
                  <c:v>13.974613499999998</c:v>
                </c:pt>
                <c:pt idx="49">
                  <c:v>14.575602703333335</c:v>
                </c:pt>
                <c:pt idx="50">
                  <c:v>15.345104206666667</c:v>
                </c:pt>
              </c:numCache>
            </c:numRef>
          </c:yVal>
          <c:smooth val="1"/>
          <c:extLst>
            <c:ext xmlns:c16="http://schemas.microsoft.com/office/drawing/2014/chart" uri="{C3380CC4-5D6E-409C-BE32-E72D297353CC}">
              <c16:uniqueId val="{00000000-410B-487C-87D8-A2A6E831D77E}"/>
            </c:ext>
          </c:extLst>
        </c:ser>
        <c:ser>
          <c:idx val="6"/>
          <c:order val="1"/>
          <c:tx>
            <c:v>Right 3</c:v>
          </c:tx>
          <c:spPr>
            <a:ln w="19050">
              <a:solidFill>
                <a:srgbClr val="00B050"/>
              </a:solidFill>
            </a:ln>
          </c:spPr>
          <c:marker>
            <c:symbol val="none"/>
          </c:marker>
          <c:xVal>
            <c:numRef>
              <c:f>'Right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3 Kin'!$J$2:$J$102</c:f>
              <c:numCache>
                <c:formatCode>General</c:formatCode>
                <c:ptCount val="101"/>
                <c:pt idx="0">
                  <c:v>8.0606899999999992</c:v>
                </c:pt>
                <c:pt idx="1">
                  <c:v>8.2187101999999985</c:v>
                </c:pt>
                <c:pt idx="2">
                  <c:v>8.3767303999999996</c:v>
                </c:pt>
                <c:pt idx="3">
                  <c:v>8.5347505999999989</c:v>
                </c:pt>
                <c:pt idx="4">
                  <c:v>8.6919348000000003</c:v>
                </c:pt>
                <c:pt idx="5">
                  <c:v>8.8445210000000003</c:v>
                </c:pt>
                <c:pt idx="6">
                  <c:v>8.9971072000000003</c:v>
                </c:pt>
                <c:pt idx="7">
                  <c:v>9.1496934000000003</c:v>
                </c:pt>
                <c:pt idx="8">
                  <c:v>9.2974156000000008</c:v>
                </c:pt>
                <c:pt idx="9">
                  <c:v>9.434193800000001</c:v>
                </c:pt>
                <c:pt idx="10">
                  <c:v>9.5709719999999994</c:v>
                </c:pt>
                <c:pt idx="11">
                  <c:v>9.7077501999999996</c:v>
                </c:pt>
                <c:pt idx="12">
                  <c:v>9.8327480000000005</c:v>
                </c:pt>
                <c:pt idx="13">
                  <c:v>9.9440019999999993</c:v>
                </c:pt>
                <c:pt idx="14">
                  <c:v>10.055256</c:v>
                </c:pt>
                <c:pt idx="15">
                  <c:v>10.166510000000001</c:v>
                </c:pt>
                <c:pt idx="16">
                  <c:v>10.257044</c:v>
                </c:pt>
                <c:pt idx="17">
                  <c:v>10.334628</c:v>
                </c:pt>
                <c:pt idx="18">
                  <c:v>10.412212</c:v>
                </c:pt>
                <c:pt idx="19">
                  <c:v>10.489796</c:v>
                </c:pt>
                <c:pt idx="20">
                  <c:v>10.5373</c:v>
                </c:pt>
                <c:pt idx="21">
                  <c:v>10.57578</c:v>
                </c:pt>
                <c:pt idx="22">
                  <c:v>10.61426</c:v>
                </c:pt>
                <c:pt idx="23">
                  <c:v>10.65274</c:v>
                </c:pt>
                <c:pt idx="24">
                  <c:v>10.653347999999999</c:v>
                </c:pt>
                <c:pt idx="25">
                  <c:v>10.6508</c:v>
                </c:pt>
                <c:pt idx="26">
                  <c:v>10.648251999999999</c:v>
                </c:pt>
                <c:pt idx="27">
                  <c:v>10.642721999999999</c:v>
                </c:pt>
                <c:pt idx="28">
                  <c:v>10.601407999999999</c:v>
                </c:pt>
                <c:pt idx="29">
                  <c:v>10.560093999999999</c:v>
                </c:pt>
                <c:pt idx="30">
                  <c:v>10.51878</c:v>
                </c:pt>
                <c:pt idx="31">
                  <c:v>10.47002</c:v>
                </c:pt>
                <c:pt idx="32">
                  <c:v>10.39644</c:v>
                </c:pt>
                <c:pt idx="33">
                  <c:v>10.32286</c:v>
                </c:pt>
                <c:pt idx="34">
                  <c:v>10.249280000000001</c:v>
                </c:pt>
                <c:pt idx="35">
                  <c:v>10.167178</c:v>
                </c:pt>
                <c:pt idx="36">
                  <c:v>10.0714408</c:v>
                </c:pt>
                <c:pt idx="37">
                  <c:v>9.9757035999999992</c:v>
                </c:pt>
                <c:pt idx="38">
                  <c:v>9.8799663999999989</c:v>
                </c:pt>
                <c:pt idx="39">
                  <c:v>9.7791863999999986</c:v>
                </c:pt>
                <c:pt idx="40">
                  <c:v>9.6740839999999988</c:v>
                </c:pt>
                <c:pt idx="41">
                  <c:v>9.5689816000000008</c:v>
                </c:pt>
                <c:pt idx="42">
                  <c:v>9.4638791999999992</c:v>
                </c:pt>
                <c:pt idx="43">
                  <c:v>9.3620222000000002</c:v>
                </c:pt>
                <c:pt idx="44">
                  <c:v>9.2616075999999996</c:v>
                </c:pt>
                <c:pt idx="45">
                  <c:v>9.1611930000000008</c:v>
                </c:pt>
                <c:pt idx="46">
                  <c:v>9.0607784000000002</c:v>
                </c:pt>
                <c:pt idx="47">
                  <c:v>8.9762280000000008</c:v>
                </c:pt>
                <c:pt idx="48">
                  <c:v>8.8945620000000005</c:v>
                </c:pt>
                <c:pt idx="49">
                  <c:v>8.8128960000000003</c:v>
                </c:pt>
                <c:pt idx="50">
                  <c:v>8.73123</c:v>
                </c:pt>
                <c:pt idx="51">
                  <c:v>8.6813307999999996</c:v>
                </c:pt>
                <c:pt idx="52">
                  <c:v>8.6314316000000009</c:v>
                </c:pt>
                <c:pt idx="53">
                  <c:v>8.5815324000000004</c:v>
                </c:pt>
                <c:pt idx="54">
                  <c:v>8.5382432000000001</c:v>
                </c:pt>
                <c:pt idx="55">
                  <c:v>8.5313090000000003</c:v>
                </c:pt>
                <c:pt idx="56">
                  <c:v>8.5243748000000004</c:v>
                </c:pt>
                <c:pt idx="57">
                  <c:v>8.5174405999999987</c:v>
                </c:pt>
                <c:pt idx="58">
                  <c:v>8.5264223999999995</c:v>
                </c:pt>
                <c:pt idx="59">
                  <c:v>8.5712151999999993</c:v>
                </c:pt>
                <c:pt idx="60">
                  <c:v>8.616007999999999</c:v>
                </c:pt>
                <c:pt idx="61">
                  <c:v>8.6608008000000005</c:v>
                </c:pt>
                <c:pt idx="62">
                  <c:v>8.7321376000000015</c:v>
                </c:pt>
                <c:pt idx="63">
                  <c:v>8.8344424000000004</c:v>
                </c:pt>
                <c:pt idx="64">
                  <c:v>8.936747200000001</c:v>
                </c:pt>
                <c:pt idx="65">
                  <c:v>9.0390519999999999</c:v>
                </c:pt>
                <c:pt idx="66">
                  <c:v>9.1781776000000015</c:v>
                </c:pt>
                <c:pt idx="67">
                  <c:v>9.3403162000000002</c:v>
                </c:pt>
                <c:pt idx="68">
                  <c:v>9.5024547999999989</c:v>
                </c:pt>
                <c:pt idx="69">
                  <c:v>9.6645934000000011</c:v>
                </c:pt>
                <c:pt idx="70">
                  <c:v>9.8714480000000009</c:v>
                </c:pt>
                <c:pt idx="71">
                  <c:v>10.0917174</c:v>
                </c:pt>
                <c:pt idx="72">
                  <c:v>10.3119868</c:v>
                </c:pt>
                <c:pt idx="73">
                  <c:v>10.532256200000001</c:v>
                </c:pt>
                <c:pt idx="74">
                  <c:v>10.800744</c:v>
                </c:pt>
                <c:pt idx="75">
                  <c:v>11.07325</c:v>
                </c:pt>
                <c:pt idx="76">
                  <c:v>11.345756</c:v>
                </c:pt>
                <c:pt idx="77">
                  <c:v>11.621510000000001</c:v>
                </c:pt>
                <c:pt idx="78">
                  <c:v>11.93624</c:v>
                </c:pt>
                <c:pt idx="79">
                  <c:v>12.250970000000001</c:v>
                </c:pt>
                <c:pt idx="80">
                  <c:v>12.5657</c:v>
                </c:pt>
                <c:pt idx="81">
                  <c:v>12.887072</c:v>
                </c:pt>
                <c:pt idx="82">
                  <c:v>13.230584</c:v>
                </c:pt>
                <c:pt idx="83">
                  <c:v>13.574096000000001</c:v>
                </c:pt>
                <c:pt idx="84">
                  <c:v>13.917608</c:v>
                </c:pt>
                <c:pt idx="85">
                  <c:v>14.266159999999999</c:v>
                </c:pt>
                <c:pt idx="86">
                  <c:v>14.622776</c:v>
                </c:pt>
                <c:pt idx="87">
                  <c:v>14.979392000000001</c:v>
                </c:pt>
                <c:pt idx="88">
                  <c:v>15.33600800000001</c:v>
                </c:pt>
                <c:pt idx="89">
                  <c:v>15.690776</c:v>
                </c:pt>
                <c:pt idx="90">
                  <c:v>16.043959999999998</c:v>
                </c:pt>
                <c:pt idx="91">
                  <c:v>16.397144000000001</c:v>
                </c:pt>
                <c:pt idx="92">
                  <c:v>16.750328</c:v>
                </c:pt>
                <c:pt idx="93">
                  <c:v>17.090029999999999</c:v>
                </c:pt>
                <c:pt idx="94">
                  <c:v>17.423739999999999</c:v>
                </c:pt>
                <c:pt idx="95">
                  <c:v>17.757449999999999</c:v>
                </c:pt>
                <c:pt idx="96">
                  <c:v>18.091159999999999</c:v>
                </c:pt>
                <c:pt idx="97">
                  <c:v>18.396336000000002</c:v>
                </c:pt>
                <c:pt idx="98">
                  <c:v>18.696324000000001</c:v>
                </c:pt>
                <c:pt idx="99">
                  <c:v>18.996312</c:v>
                </c:pt>
                <c:pt idx="100">
                  <c:v>19.296299999999999</c:v>
                </c:pt>
              </c:numCache>
            </c:numRef>
          </c:yVal>
          <c:smooth val="1"/>
          <c:extLst>
            <c:ext xmlns:c16="http://schemas.microsoft.com/office/drawing/2014/chart" uri="{C3380CC4-5D6E-409C-BE32-E72D297353CC}">
              <c16:uniqueId val="{00000004-18C3-4D75-9CFA-87677937B5E8}"/>
            </c:ext>
          </c:extLst>
        </c:ser>
        <c:ser>
          <c:idx val="5"/>
          <c:order val="2"/>
          <c:tx>
            <c:v>Right 2</c:v>
          </c:tx>
          <c:spPr>
            <a:ln w="19050">
              <a:solidFill>
                <a:srgbClr val="00B050"/>
              </a:solidFill>
            </a:ln>
          </c:spPr>
          <c:marker>
            <c:symbol val="none"/>
          </c:marker>
          <c:xVal>
            <c:numRef>
              <c:f>'Right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2 Kin'!$J$2:$J$102</c:f>
              <c:numCache>
                <c:formatCode>General</c:formatCode>
                <c:ptCount val="101"/>
                <c:pt idx="0">
                  <c:v>7.5970800000000001</c:v>
                </c:pt>
                <c:pt idx="1">
                  <c:v>7.6959512999999999</c:v>
                </c:pt>
                <c:pt idx="2">
                  <c:v>7.7948225999999998</c:v>
                </c:pt>
                <c:pt idx="3">
                  <c:v>7.8936938999999997</c:v>
                </c:pt>
                <c:pt idx="4">
                  <c:v>7.9916619999999998</c:v>
                </c:pt>
                <c:pt idx="5">
                  <c:v>8.0874849999999991</c:v>
                </c:pt>
                <c:pt idx="6">
                  <c:v>8.1833080000000002</c:v>
                </c:pt>
                <c:pt idx="7">
                  <c:v>8.2791309999999996</c:v>
                </c:pt>
                <c:pt idx="8">
                  <c:v>8.3702932000000008</c:v>
                </c:pt>
                <c:pt idx="9">
                  <c:v>8.4582511</c:v>
                </c:pt>
                <c:pt idx="10">
                  <c:v>8.5462090000000011</c:v>
                </c:pt>
                <c:pt idx="11">
                  <c:v>8.6341669000000003</c:v>
                </c:pt>
                <c:pt idx="12">
                  <c:v>8.7116824000000008</c:v>
                </c:pt>
                <c:pt idx="13">
                  <c:v>8.7878925999999993</c:v>
                </c:pt>
                <c:pt idx="14">
                  <c:v>8.8641027999999995</c:v>
                </c:pt>
                <c:pt idx="15">
                  <c:v>8.9376254999999993</c:v>
                </c:pt>
                <c:pt idx="16">
                  <c:v>8.9993231999999992</c:v>
                </c:pt>
                <c:pt idx="17">
                  <c:v>9.061020899999999</c:v>
                </c:pt>
                <c:pt idx="18">
                  <c:v>9.1227185999999989</c:v>
                </c:pt>
                <c:pt idx="19">
                  <c:v>9.1767202999999995</c:v>
                </c:pt>
                <c:pt idx="20">
                  <c:v>9.2224339999999998</c:v>
                </c:pt>
                <c:pt idx="21">
                  <c:v>9.2681477000000001</c:v>
                </c:pt>
                <c:pt idx="22">
                  <c:v>9.3138614000000004</c:v>
                </c:pt>
                <c:pt idx="23">
                  <c:v>9.3470234000000012</c:v>
                </c:pt>
                <c:pt idx="24">
                  <c:v>9.3765992000000011</c:v>
                </c:pt>
                <c:pt idx="25">
                  <c:v>9.4061750000000011</c:v>
                </c:pt>
                <c:pt idx="26">
                  <c:v>9.4346399999999999</c:v>
                </c:pt>
                <c:pt idx="27">
                  <c:v>9.4492200000000004</c:v>
                </c:pt>
                <c:pt idx="28">
                  <c:v>9.4638000000000009</c:v>
                </c:pt>
                <c:pt idx="29">
                  <c:v>9.4783799999999996</c:v>
                </c:pt>
                <c:pt idx="30">
                  <c:v>9.4882629999999999</c:v>
                </c:pt>
                <c:pt idx="31">
                  <c:v>9.4901610999999999</c:v>
                </c:pt>
                <c:pt idx="32">
                  <c:v>9.4920591999999999</c:v>
                </c:pt>
                <c:pt idx="33">
                  <c:v>9.4939572999999999</c:v>
                </c:pt>
                <c:pt idx="34">
                  <c:v>9.4896273999999998</c:v>
                </c:pt>
                <c:pt idx="35">
                  <c:v>9.4821834999999997</c:v>
                </c:pt>
                <c:pt idx="36">
                  <c:v>9.4747395999999995</c:v>
                </c:pt>
                <c:pt idx="37">
                  <c:v>9.4672956999999993</c:v>
                </c:pt>
                <c:pt idx="38">
                  <c:v>9.4548416</c:v>
                </c:pt>
                <c:pt idx="39">
                  <c:v>9.4421947999999993</c:v>
                </c:pt>
                <c:pt idx="40">
                  <c:v>9.4295480000000005</c:v>
                </c:pt>
                <c:pt idx="41">
                  <c:v>9.4167731000000003</c:v>
                </c:pt>
                <c:pt idx="42">
                  <c:v>9.4036322000000006</c:v>
                </c:pt>
                <c:pt idx="43">
                  <c:v>9.3904913000000008</c:v>
                </c:pt>
                <c:pt idx="44">
                  <c:v>9.377350400000001</c:v>
                </c:pt>
                <c:pt idx="45">
                  <c:v>9.3667670000000012</c:v>
                </c:pt>
                <c:pt idx="46">
                  <c:v>9.3582296000000014</c:v>
                </c:pt>
                <c:pt idx="47">
                  <c:v>9.3496921999999998</c:v>
                </c:pt>
                <c:pt idx="48">
                  <c:v>9.3411548</c:v>
                </c:pt>
                <c:pt idx="49">
                  <c:v>9.3410124000000003</c:v>
                </c:pt>
                <c:pt idx="50">
                  <c:v>9.3423300000000005</c:v>
                </c:pt>
                <c:pt idx="51">
                  <c:v>9.3436476000000006</c:v>
                </c:pt>
                <c:pt idx="52">
                  <c:v>9.3471972000000001</c:v>
                </c:pt>
                <c:pt idx="53">
                  <c:v>9.3635808000000011</c:v>
                </c:pt>
                <c:pt idx="54">
                  <c:v>9.3799644000000004</c:v>
                </c:pt>
                <c:pt idx="55">
                  <c:v>9.3963479999999997</c:v>
                </c:pt>
                <c:pt idx="56">
                  <c:v>9.4216139999999999</c:v>
                </c:pt>
                <c:pt idx="57">
                  <c:v>9.4579830000000005</c:v>
                </c:pt>
                <c:pt idx="58">
                  <c:v>9.494352000000001</c:v>
                </c:pt>
                <c:pt idx="59">
                  <c:v>9.5307209999999998</c:v>
                </c:pt>
                <c:pt idx="60">
                  <c:v>9.5851620000000004</c:v>
                </c:pt>
                <c:pt idx="61">
                  <c:v>9.6459282000000002</c:v>
                </c:pt>
                <c:pt idx="62">
                  <c:v>9.7066943999999999</c:v>
                </c:pt>
                <c:pt idx="63">
                  <c:v>9.7684978999999998</c:v>
                </c:pt>
                <c:pt idx="64">
                  <c:v>9.8572711999999996</c:v>
                </c:pt>
                <c:pt idx="65">
                  <c:v>9.9460444999999993</c:v>
                </c:pt>
                <c:pt idx="66">
                  <c:v>10.034817800000001</c:v>
                </c:pt>
                <c:pt idx="67">
                  <c:v>10.133725999999999</c:v>
                </c:pt>
                <c:pt idx="68">
                  <c:v>10.252903999999999</c:v>
                </c:pt>
                <c:pt idx="69">
                  <c:v>10.372082000000001</c:v>
                </c:pt>
                <c:pt idx="70">
                  <c:v>10.49126</c:v>
                </c:pt>
                <c:pt idx="71">
                  <c:v>10.630243</c:v>
                </c:pt>
                <c:pt idx="72">
                  <c:v>10.780875999999999</c:v>
                </c:pt>
                <c:pt idx="73">
                  <c:v>10.931509</c:v>
                </c:pt>
                <c:pt idx="74">
                  <c:v>11.082141999999999</c:v>
                </c:pt>
                <c:pt idx="75">
                  <c:v>11.261100000000001</c:v>
                </c:pt>
                <c:pt idx="76">
                  <c:v>11.442323999999999</c:v>
                </c:pt>
                <c:pt idx="77">
                  <c:v>11.623548</c:v>
                </c:pt>
                <c:pt idx="78">
                  <c:v>11.810957999999999</c:v>
                </c:pt>
                <c:pt idx="79">
                  <c:v>12.020019</c:v>
                </c:pt>
                <c:pt idx="80">
                  <c:v>12.22908</c:v>
                </c:pt>
                <c:pt idx="81">
                  <c:v>12.438141</c:v>
                </c:pt>
                <c:pt idx="82">
                  <c:v>12.659088000000001</c:v>
                </c:pt>
                <c:pt idx="83">
                  <c:v>12.891071999999999</c:v>
                </c:pt>
                <c:pt idx="84">
                  <c:v>13.123056</c:v>
                </c:pt>
                <c:pt idx="85">
                  <c:v>13.355040000000001</c:v>
                </c:pt>
                <c:pt idx="86">
                  <c:v>13.600135999999999</c:v>
                </c:pt>
                <c:pt idx="87">
                  <c:v>13.848212</c:v>
                </c:pt>
                <c:pt idx="88">
                  <c:v>14.096287999999999</c:v>
                </c:pt>
                <c:pt idx="89">
                  <c:v>14.345204000000001</c:v>
                </c:pt>
                <c:pt idx="90">
                  <c:v>14.60084</c:v>
                </c:pt>
                <c:pt idx="91">
                  <c:v>14.856476000000001</c:v>
                </c:pt>
                <c:pt idx="92">
                  <c:v>15.112112</c:v>
                </c:pt>
                <c:pt idx="93">
                  <c:v>15.366934000000001</c:v>
                </c:pt>
                <c:pt idx="94">
                  <c:v>15.620571999999999</c:v>
                </c:pt>
                <c:pt idx="95">
                  <c:v>15.87421</c:v>
                </c:pt>
                <c:pt idx="96">
                  <c:v>16.127848</c:v>
                </c:pt>
                <c:pt idx="97">
                  <c:v>16.373031000000001</c:v>
                </c:pt>
                <c:pt idx="98">
                  <c:v>16.614654000000002</c:v>
                </c:pt>
                <c:pt idx="99">
                  <c:v>16.856276999999999</c:v>
                </c:pt>
                <c:pt idx="100">
                  <c:v>17.097899999999999</c:v>
                </c:pt>
              </c:numCache>
            </c:numRef>
          </c:yVal>
          <c:smooth val="1"/>
          <c:extLst>
            <c:ext xmlns:c16="http://schemas.microsoft.com/office/drawing/2014/chart" uri="{C3380CC4-5D6E-409C-BE32-E72D297353CC}">
              <c16:uniqueId val="{00000003-18C3-4D75-9CFA-87677937B5E8}"/>
            </c:ext>
          </c:extLst>
        </c:ser>
        <c:ser>
          <c:idx val="4"/>
          <c:order val="3"/>
          <c:tx>
            <c:v>Right 1</c:v>
          </c:tx>
          <c:spPr>
            <a:ln w="19050">
              <a:solidFill>
                <a:srgbClr val="00B050"/>
              </a:solidFill>
            </a:ln>
          </c:spPr>
          <c:marker>
            <c:symbol val="none"/>
          </c:marker>
          <c:xVal>
            <c:numRef>
              <c:f>'Right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1 Kin'!$J$2:$J$102</c:f>
              <c:numCache>
                <c:formatCode>General</c:formatCode>
                <c:ptCount val="101"/>
                <c:pt idx="0">
                  <c:v>10.6248</c:v>
                </c:pt>
                <c:pt idx="1">
                  <c:v>10.714352</c:v>
                </c:pt>
                <c:pt idx="2">
                  <c:v>10.803903999999999</c:v>
                </c:pt>
                <c:pt idx="3">
                  <c:v>10.893456</c:v>
                </c:pt>
                <c:pt idx="4">
                  <c:v>10.988799999999999</c:v>
                </c:pt>
                <c:pt idx="5">
                  <c:v>11.088850000000001</c:v>
                </c:pt>
                <c:pt idx="6">
                  <c:v>11.1889</c:v>
                </c:pt>
                <c:pt idx="7">
                  <c:v>11.289490000000001</c:v>
                </c:pt>
                <c:pt idx="8">
                  <c:v>11.39476</c:v>
                </c:pt>
                <c:pt idx="9">
                  <c:v>11.500030000000001</c:v>
                </c:pt>
                <c:pt idx="10">
                  <c:v>11.6053</c:v>
                </c:pt>
                <c:pt idx="11">
                  <c:v>11.71095</c:v>
                </c:pt>
                <c:pt idx="12">
                  <c:v>11.816800000000001</c:v>
                </c:pt>
                <c:pt idx="13">
                  <c:v>11.922650000000001</c:v>
                </c:pt>
                <c:pt idx="14">
                  <c:v>12.027786000000001</c:v>
                </c:pt>
                <c:pt idx="15">
                  <c:v>12.130185000000001</c:v>
                </c:pt>
                <c:pt idx="16">
                  <c:v>12.232583999999999</c:v>
                </c:pt>
                <c:pt idx="17">
                  <c:v>12.334982999999999</c:v>
                </c:pt>
                <c:pt idx="18">
                  <c:v>12.432278</c:v>
                </c:pt>
                <c:pt idx="19">
                  <c:v>12.527949</c:v>
                </c:pt>
                <c:pt idx="20">
                  <c:v>12.623620000000001</c:v>
                </c:pt>
                <c:pt idx="21">
                  <c:v>12.716411000000001</c:v>
                </c:pt>
                <c:pt idx="22">
                  <c:v>12.802802</c:v>
                </c:pt>
                <c:pt idx="23">
                  <c:v>12.889193000000001</c:v>
                </c:pt>
                <c:pt idx="24">
                  <c:v>12.975584</c:v>
                </c:pt>
                <c:pt idx="25">
                  <c:v>13.052300000000001</c:v>
                </c:pt>
                <c:pt idx="26">
                  <c:v>13.127468</c:v>
                </c:pt>
                <c:pt idx="27">
                  <c:v>13.202636</c:v>
                </c:pt>
                <c:pt idx="28">
                  <c:v>13.272644</c:v>
                </c:pt>
                <c:pt idx="29">
                  <c:v>13.335342000000001</c:v>
                </c:pt>
                <c:pt idx="30">
                  <c:v>13.39804</c:v>
                </c:pt>
                <c:pt idx="31">
                  <c:v>13.460737999999999</c:v>
                </c:pt>
                <c:pt idx="32">
                  <c:v>13.510724</c:v>
                </c:pt>
                <c:pt idx="33">
                  <c:v>13.560256000000001</c:v>
                </c:pt>
                <c:pt idx="34">
                  <c:v>13.609788</c:v>
                </c:pt>
                <c:pt idx="35">
                  <c:v>13.652495</c:v>
                </c:pt>
                <c:pt idx="36">
                  <c:v>13.688832</c:v>
                </c:pt>
                <c:pt idx="37">
                  <c:v>13.725168999999999</c:v>
                </c:pt>
                <c:pt idx="38">
                  <c:v>13.760638</c:v>
                </c:pt>
                <c:pt idx="39">
                  <c:v>13.784388999999999</c:v>
                </c:pt>
                <c:pt idx="40">
                  <c:v>13.80814</c:v>
                </c:pt>
                <c:pt idx="41">
                  <c:v>13.831891000000001</c:v>
                </c:pt>
                <c:pt idx="42">
                  <c:v>13.848801999999999</c:v>
                </c:pt>
                <c:pt idx="43">
                  <c:v>13.861533</c:v>
                </c:pt>
                <c:pt idx="44">
                  <c:v>13.874264</c:v>
                </c:pt>
                <c:pt idx="45">
                  <c:v>13.885555</c:v>
                </c:pt>
                <c:pt idx="46">
                  <c:v>13.889934</c:v>
                </c:pt>
                <c:pt idx="47">
                  <c:v>13.894313</c:v>
                </c:pt>
                <c:pt idx="48">
                  <c:v>13.898692</c:v>
                </c:pt>
                <c:pt idx="49">
                  <c:v>13.899753</c:v>
                </c:pt>
                <c:pt idx="50">
                  <c:v>13.89955</c:v>
                </c:pt>
                <c:pt idx="51">
                  <c:v>13.899347000000001</c:v>
                </c:pt>
                <c:pt idx="52">
                  <c:v>13.899255999999999</c:v>
                </c:pt>
                <c:pt idx="53">
                  <c:v>13.899459</c:v>
                </c:pt>
                <c:pt idx="54">
                  <c:v>13.899661999999999</c:v>
                </c:pt>
                <c:pt idx="55">
                  <c:v>13.899865</c:v>
                </c:pt>
                <c:pt idx="56">
                  <c:v>13.9053</c:v>
                </c:pt>
                <c:pt idx="57">
                  <c:v>13.911825</c:v>
                </c:pt>
                <c:pt idx="58">
                  <c:v>13.91835</c:v>
                </c:pt>
                <c:pt idx="59">
                  <c:v>13.929703999999999</c:v>
                </c:pt>
                <c:pt idx="60">
                  <c:v>13.94896</c:v>
                </c:pt>
                <c:pt idx="61">
                  <c:v>13.968216</c:v>
                </c:pt>
                <c:pt idx="62">
                  <c:v>13.987472</c:v>
                </c:pt>
                <c:pt idx="63">
                  <c:v>14.024331999999999</c:v>
                </c:pt>
                <c:pt idx="64">
                  <c:v>14.062495999999999</c:v>
                </c:pt>
                <c:pt idx="65">
                  <c:v>14.10066</c:v>
                </c:pt>
                <c:pt idx="66">
                  <c:v>14.150458</c:v>
                </c:pt>
                <c:pt idx="67">
                  <c:v>14.212721</c:v>
                </c:pt>
                <c:pt idx="68">
                  <c:v>14.274984</c:v>
                </c:pt>
                <c:pt idx="69">
                  <c:v>14.338202000000001</c:v>
                </c:pt>
                <c:pt idx="70">
                  <c:v>14.42816</c:v>
                </c:pt>
                <c:pt idx="71">
                  <c:v>14.518117999999999</c:v>
                </c:pt>
                <c:pt idx="72">
                  <c:v>14.608076000000001</c:v>
                </c:pt>
                <c:pt idx="73">
                  <c:v>14.715033999999999</c:v>
                </c:pt>
                <c:pt idx="74">
                  <c:v>14.833992</c:v>
                </c:pt>
                <c:pt idx="75">
                  <c:v>14.95295</c:v>
                </c:pt>
                <c:pt idx="76">
                  <c:v>15.075772000000001</c:v>
                </c:pt>
                <c:pt idx="77">
                  <c:v>15.222744</c:v>
                </c:pt>
                <c:pt idx="78">
                  <c:v>15.369716</c:v>
                </c:pt>
                <c:pt idx="79">
                  <c:v>15.516688</c:v>
                </c:pt>
                <c:pt idx="80">
                  <c:v>15.680680000000001</c:v>
                </c:pt>
                <c:pt idx="81">
                  <c:v>15.852331</c:v>
                </c:pt>
                <c:pt idx="82">
                  <c:v>16.023982</c:v>
                </c:pt>
                <c:pt idx="83">
                  <c:v>16.200372000000002</c:v>
                </c:pt>
                <c:pt idx="84">
                  <c:v>16.391656000000001</c:v>
                </c:pt>
                <c:pt idx="85">
                  <c:v>16.582940000000001</c:v>
                </c:pt>
                <c:pt idx="86">
                  <c:v>16.774224</c:v>
                </c:pt>
                <c:pt idx="87">
                  <c:v>16.976042</c:v>
                </c:pt>
                <c:pt idx="88">
                  <c:v>17.180607999999999</c:v>
                </c:pt>
                <c:pt idx="89">
                  <c:v>17.385173999999999</c:v>
                </c:pt>
                <c:pt idx="90">
                  <c:v>17.591899999999999</c:v>
                </c:pt>
                <c:pt idx="91">
                  <c:v>17.80273</c:v>
                </c:pt>
                <c:pt idx="92">
                  <c:v>18.013559999999998</c:v>
                </c:pt>
                <c:pt idx="93">
                  <c:v>18.22439</c:v>
                </c:pt>
                <c:pt idx="94">
                  <c:v>18.434491999999999</c:v>
                </c:pt>
                <c:pt idx="95">
                  <c:v>18.64451</c:v>
                </c:pt>
                <c:pt idx="96">
                  <c:v>18.854527999999998</c:v>
                </c:pt>
                <c:pt idx="97">
                  <c:v>19.061101000000001</c:v>
                </c:pt>
                <c:pt idx="98">
                  <c:v>19.263434</c:v>
                </c:pt>
                <c:pt idx="99">
                  <c:v>19.465767</c:v>
                </c:pt>
                <c:pt idx="100">
                  <c:v>19.668099999999999</c:v>
                </c:pt>
              </c:numCache>
            </c:numRef>
          </c:yVal>
          <c:smooth val="1"/>
          <c:extLst>
            <c:ext xmlns:c16="http://schemas.microsoft.com/office/drawing/2014/chart" uri="{C3380CC4-5D6E-409C-BE32-E72D297353CC}">
              <c16:uniqueId val="{00000002-18C3-4D75-9CFA-87677937B5E8}"/>
            </c:ext>
          </c:extLst>
        </c:ser>
        <c:ser>
          <c:idx val="3"/>
          <c:order val="4"/>
          <c:tx>
            <c:v>Left 3</c:v>
          </c:tx>
          <c:spPr>
            <a:ln w="19050">
              <a:solidFill>
                <a:srgbClr val="FF0000"/>
              </a:solidFill>
            </a:ln>
          </c:spPr>
          <c:marker>
            <c:symbol val="none"/>
          </c:marker>
          <c:xVal>
            <c:numRef>
              <c:f>'Left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3 Kin'!$J$2:$J$102</c:f>
              <c:numCache>
                <c:formatCode>General</c:formatCode>
                <c:ptCount val="101"/>
                <c:pt idx="0">
                  <c:v>12.839600000000001</c:v>
                </c:pt>
                <c:pt idx="1">
                  <c:v>12.995756</c:v>
                </c:pt>
                <c:pt idx="2">
                  <c:v>13.151911999999999</c:v>
                </c:pt>
                <c:pt idx="3">
                  <c:v>13.308068</c:v>
                </c:pt>
                <c:pt idx="4">
                  <c:v>13.462096000000001</c:v>
                </c:pt>
                <c:pt idx="5">
                  <c:v>13.604419999999999</c:v>
                </c:pt>
                <c:pt idx="6">
                  <c:v>13.746744</c:v>
                </c:pt>
                <c:pt idx="7">
                  <c:v>13.889068</c:v>
                </c:pt>
                <c:pt idx="8">
                  <c:v>14.024832</c:v>
                </c:pt>
                <c:pt idx="9">
                  <c:v>14.145835999999999</c:v>
                </c:pt>
                <c:pt idx="10">
                  <c:v>14.26684</c:v>
                </c:pt>
                <c:pt idx="11">
                  <c:v>14.387843999999999</c:v>
                </c:pt>
                <c:pt idx="12">
                  <c:v>14.495552</c:v>
                </c:pt>
                <c:pt idx="13">
                  <c:v>14.587747999999999</c:v>
                </c:pt>
                <c:pt idx="14">
                  <c:v>14.679944000000001</c:v>
                </c:pt>
                <c:pt idx="15">
                  <c:v>14.77214</c:v>
                </c:pt>
                <c:pt idx="16">
                  <c:v>14.84224</c:v>
                </c:pt>
                <c:pt idx="17">
                  <c:v>14.898529999999999</c:v>
                </c:pt>
                <c:pt idx="18">
                  <c:v>14.95482</c:v>
                </c:pt>
                <c:pt idx="19">
                  <c:v>15.01111</c:v>
                </c:pt>
                <c:pt idx="20">
                  <c:v>15.035080000000001</c:v>
                </c:pt>
                <c:pt idx="21">
                  <c:v>15.049353999999999</c:v>
                </c:pt>
                <c:pt idx="22">
                  <c:v>15.063628</c:v>
                </c:pt>
                <c:pt idx="23">
                  <c:v>15.077902</c:v>
                </c:pt>
                <c:pt idx="24">
                  <c:v>15.049576</c:v>
                </c:pt>
                <c:pt idx="25">
                  <c:v>15.0177</c:v>
                </c:pt>
                <c:pt idx="26">
                  <c:v>14.985823999999999</c:v>
                </c:pt>
                <c:pt idx="27">
                  <c:v>14.950312</c:v>
                </c:pt>
                <c:pt idx="28">
                  <c:v>14.871168000000001</c:v>
                </c:pt>
                <c:pt idx="29">
                  <c:v>14.792024</c:v>
                </c:pt>
                <c:pt idx="30">
                  <c:v>14.71288</c:v>
                </c:pt>
                <c:pt idx="31">
                  <c:v>14.623512</c:v>
                </c:pt>
                <c:pt idx="32">
                  <c:v>14.500064</c:v>
                </c:pt>
                <c:pt idx="33">
                  <c:v>14.376616</c:v>
                </c:pt>
                <c:pt idx="34">
                  <c:v>14.253168000000001</c:v>
                </c:pt>
                <c:pt idx="35">
                  <c:v>14.115539999999999</c:v>
                </c:pt>
                <c:pt idx="36">
                  <c:v>13.955223999999999</c:v>
                </c:pt>
                <c:pt idx="37">
                  <c:v>13.794908</c:v>
                </c:pt>
                <c:pt idx="38">
                  <c:v>13.634592</c:v>
                </c:pt>
                <c:pt idx="39">
                  <c:v>13.460751999999999</c:v>
                </c:pt>
                <c:pt idx="40">
                  <c:v>13.275320000000001</c:v>
                </c:pt>
                <c:pt idx="41">
                  <c:v>13.089888</c:v>
                </c:pt>
                <c:pt idx="42">
                  <c:v>12.904456</c:v>
                </c:pt>
                <c:pt idx="43">
                  <c:v>12.712147999999999</c:v>
                </c:pt>
                <c:pt idx="44">
                  <c:v>12.516783999999999</c:v>
                </c:pt>
                <c:pt idx="45">
                  <c:v>12.32142</c:v>
                </c:pt>
                <c:pt idx="46">
                  <c:v>12.126056</c:v>
                </c:pt>
                <c:pt idx="47">
                  <c:v>11.936698</c:v>
                </c:pt>
                <c:pt idx="48">
                  <c:v>11.748431999999999</c:v>
                </c:pt>
                <c:pt idx="49">
                  <c:v>11.560166000000001</c:v>
                </c:pt>
                <c:pt idx="50">
                  <c:v>11.3719</c:v>
                </c:pt>
                <c:pt idx="51">
                  <c:v>11.207891999999999</c:v>
                </c:pt>
                <c:pt idx="52">
                  <c:v>11.043884</c:v>
                </c:pt>
                <c:pt idx="53">
                  <c:v>10.879875999999999</c:v>
                </c:pt>
                <c:pt idx="54">
                  <c:v>10.722056</c:v>
                </c:pt>
                <c:pt idx="55">
                  <c:v>10.598269999999999</c:v>
                </c:pt>
                <c:pt idx="56">
                  <c:v>10.474484</c:v>
                </c:pt>
                <c:pt idx="57">
                  <c:v>10.350698</c:v>
                </c:pt>
                <c:pt idx="58">
                  <c:v>10.243503199999999</c:v>
                </c:pt>
                <c:pt idx="59">
                  <c:v>10.1736386</c:v>
                </c:pt>
                <c:pt idx="60">
                  <c:v>10.103774</c:v>
                </c:pt>
                <c:pt idx="61">
                  <c:v>10.033909400000001</c:v>
                </c:pt>
                <c:pt idx="62">
                  <c:v>9.9939548000000009</c:v>
                </c:pt>
                <c:pt idx="63">
                  <c:v>9.9888952</c:v>
                </c:pt>
                <c:pt idx="64">
                  <c:v>9.983835599999999</c:v>
                </c:pt>
                <c:pt idx="65">
                  <c:v>9.9787759999999999</c:v>
                </c:pt>
                <c:pt idx="66">
                  <c:v>10.018105200000001</c:v>
                </c:pt>
                <c:pt idx="67">
                  <c:v>10.085177399999999</c:v>
                </c:pt>
                <c:pt idx="68">
                  <c:v>10.152249599999999</c:v>
                </c:pt>
                <c:pt idx="69">
                  <c:v>10.219321799999999</c:v>
                </c:pt>
                <c:pt idx="70">
                  <c:v>10.344200000000001</c:v>
                </c:pt>
                <c:pt idx="71">
                  <c:v>10.486420000000001</c:v>
                </c:pt>
                <c:pt idx="72">
                  <c:v>10.628640000000001</c:v>
                </c:pt>
                <c:pt idx="73">
                  <c:v>10.770860000000001</c:v>
                </c:pt>
                <c:pt idx="74">
                  <c:v>10.98052</c:v>
                </c:pt>
                <c:pt idx="75">
                  <c:v>11.1958</c:v>
                </c:pt>
                <c:pt idx="76">
                  <c:v>11.41108</c:v>
                </c:pt>
                <c:pt idx="77">
                  <c:v>11.631364</c:v>
                </c:pt>
                <c:pt idx="78">
                  <c:v>11.911695999999999</c:v>
                </c:pt>
                <c:pt idx="79">
                  <c:v>12.192028000000001</c:v>
                </c:pt>
                <c:pt idx="80">
                  <c:v>12.47236</c:v>
                </c:pt>
                <c:pt idx="81">
                  <c:v>12.764548</c:v>
                </c:pt>
                <c:pt idx="82">
                  <c:v>13.096256</c:v>
                </c:pt>
                <c:pt idx="83">
                  <c:v>13.427963999999999</c:v>
                </c:pt>
                <c:pt idx="84">
                  <c:v>13.759672</c:v>
                </c:pt>
                <c:pt idx="85">
                  <c:v>14.104010000000009</c:v>
                </c:pt>
                <c:pt idx="86">
                  <c:v>14.468556</c:v>
                </c:pt>
                <c:pt idx="87">
                  <c:v>14.833102</c:v>
                </c:pt>
                <c:pt idx="88">
                  <c:v>15.19764800000001</c:v>
                </c:pt>
                <c:pt idx="89">
                  <c:v>15.56841</c:v>
                </c:pt>
                <c:pt idx="90">
                  <c:v>15.9445</c:v>
                </c:pt>
                <c:pt idx="91">
                  <c:v>16.320589999999999</c:v>
                </c:pt>
                <c:pt idx="92">
                  <c:v>16.696680000000001</c:v>
                </c:pt>
                <c:pt idx="93">
                  <c:v>17.065822000000001</c:v>
                </c:pt>
                <c:pt idx="94">
                  <c:v>17.431875999999999</c:v>
                </c:pt>
                <c:pt idx="95">
                  <c:v>17.797930000000001</c:v>
                </c:pt>
                <c:pt idx="96">
                  <c:v>18.163983999999999</c:v>
                </c:pt>
                <c:pt idx="97">
                  <c:v>18.505354000000001</c:v>
                </c:pt>
                <c:pt idx="98">
                  <c:v>18.842236</c:v>
                </c:pt>
                <c:pt idx="99">
                  <c:v>19.179117999999999</c:v>
                </c:pt>
                <c:pt idx="100">
                  <c:v>19.515999999999998</c:v>
                </c:pt>
              </c:numCache>
            </c:numRef>
          </c:yVal>
          <c:smooth val="1"/>
          <c:extLst>
            <c:ext xmlns:c16="http://schemas.microsoft.com/office/drawing/2014/chart" uri="{C3380CC4-5D6E-409C-BE32-E72D297353CC}">
              <c16:uniqueId val="{00000001-18C3-4D75-9CFA-87677937B5E8}"/>
            </c:ext>
          </c:extLst>
        </c:ser>
        <c:ser>
          <c:idx val="2"/>
          <c:order val="5"/>
          <c:tx>
            <c:v>Left 2</c:v>
          </c:tx>
          <c:spPr>
            <a:ln w="19050">
              <a:solidFill>
                <a:srgbClr val="FF0000"/>
              </a:solidFill>
            </a:ln>
          </c:spPr>
          <c:marker>
            <c:symbol val="none"/>
          </c:marker>
          <c:xVal>
            <c:numRef>
              <c:f>'Left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2 Kin'!$J$2:$J$102</c:f>
              <c:numCache>
                <c:formatCode>General</c:formatCode>
                <c:ptCount val="101"/>
                <c:pt idx="0">
                  <c:v>9.2653499999999998</c:v>
                </c:pt>
                <c:pt idx="1">
                  <c:v>9.2602235999999998</c:v>
                </c:pt>
                <c:pt idx="2">
                  <c:v>9.2550971999999998</c:v>
                </c:pt>
                <c:pt idx="3">
                  <c:v>9.2499707999999998</c:v>
                </c:pt>
                <c:pt idx="4">
                  <c:v>9.2448443999999999</c:v>
                </c:pt>
                <c:pt idx="5">
                  <c:v>9.2224339999999998</c:v>
                </c:pt>
                <c:pt idx="6">
                  <c:v>9.1965667999999994</c:v>
                </c:pt>
                <c:pt idx="7">
                  <c:v>9.1706996000000007</c:v>
                </c:pt>
                <c:pt idx="8">
                  <c:v>9.1448324000000003</c:v>
                </c:pt>
                <c:pt idx="9">
                  <c:v>9.1056147999999997</c:v>
                </c:pt>
                <c:pt idx="10">
                  <c:v>9.0597220000000007</c:v>
                </c:pt>
                <c:pt idx="11">
                  <c:v>9.0138292</c:v>
                </c:pt>
                <c:pt idx="12">
                  <c:v>8.967936400000001</c:v>
                </c:pt>
                <c:pt idx="13">
                  <c:v>8.913150400000001</c:v>
                </c:pt>
                <c:pt idx="14">
                  <c:v>8.8494712</c:v>
                </c:pt>
                <c:pt idx="15">
                  <c:v>8.7857920000000007</c:v>
                </c:pt>
                <c:pt idx="16">
                  <c:v>8.7221127999999997</c:v>
                </c:pt>
                <c:pt idx="17">
                  <c:v>8.6537071999999995</c:v>
                </c:pt>
                <c:pt idx="18">
                  <c:v>8.5758487999999993</c:v>
                </c:pt>
                <c:pt idx="19">
                  <c:v>8.4979904000000008</c:v>
                </c:pt>
                <c:pt idx="20">
                  <c:v>8.4201320000000006</c:v>
                </c:pt>
                <c:pt idx="21">
                  <c:v>8.3406956000000001</c:v>
                </c:pt>
                <c:pt idx="22">
                  <c:v>8.2533691999999999</c:v>
                </c:pt>
                <c:pt idx="23">
                  <c:v>8.1660427999999996</c:v>
                </c:pt>
                <c:pt idx="24">
                  <c:v>8.0787163999999994</c:v>
                </c:pt>
                <c:pt idx="25">
                  <c:v>7.99139</c:v>
                </c:pt>
                <c:pt idx="26">
                  <c:v>7.9000724</c:v>
                </c:pt>
                <c:pt idx="27">
                  <c:v>7.8087548</c:v>
                </c:pt>
                <c:pt idx="28">
                  <c:v>7.7174372</c:v>
                </c:pt>
                <c:pt idx="29">
                  <c:v>7.6261196</c:v>
                </c:pt>
                <c:pt idx="30">
                  <c:v>7.5363819999999997</c:v>
                </c:pt>
                <c:pt idx="31">
                  <c:v>7.4469604</c:v>
                </c:pt>
                <c:pt idx="32">
                  <c:v>7.3575388000000004</c:v>
                </c:pt>
                <c:pt idx="33">
                  <c:v>7.2681171999999998</c:v>
                </c:pt>
                <c:pt idx="34">
                  <c:v>7.183942</c:v>
                </c:pt>
                <c:pt idx="35">
                  <c:v>7.1023900000000006</c:v>
                </c:pt>
                <c:pt idx="36">
                  <c:v>7.0208380000000004</c:v>
                </c:pt>
                <c:pt idx="37">
                  <c:v>6.9392860000000001</c:v>
                </c:pt>
                <c:pt idx="38">
                  <c:v>6.8645668000000004</c:v>
                </c:pt>
                <c:pt idx="39">
                  <c:v>6.7966803999999996</c:v>
                </c:pt>
                <c:pt idx="40">
                  <c:v>6.7287939999999997</c:v>
                </c:pt>
                <c:pt idx="41">
                  <c:v>6.6609075999999998</c:v>
                </c:pt>
                <c:pt idx="42">
                  <c:v>6.5993908000000001</c:v>
                </c:pt>
                <c:pt idx="43">
                  <c:v>6.5506131999999999</c:v>
                </c:pt>
                <c:pt idx="44">
                  <c:v>6.5018355999999997</c:v>
                </c:pt>
                <c:pt idx="45">
                  <c:v>6.4530580000000004</c:v>
                </c:pt>
                <c:pt idx="46">
                  <c:v>6.4082928000000008</c:v>
                </c:pt>
                <c:pt idx="47">
                  <c:v>6.3835896000000014</c:v>
                </c:pt>
                <c:pt idx="48">
                  <c:v>6.3588864000000003</c:v>
                </c:pt>
                <c:pt idx="49">
                  <c:v>6.3341832</c:v>
                </c:pt>
                <c:pt idx="50">
                  <c:v>6.3094799999999998</c:v>
                </c:pt>
                <c:pt idx="51">
                  <c:v>6.3133007999999986</c:v>
                </c:pt>
                <c:pt idx="52">
                  <c:v>6.3171216000000001</c:v>
                </c:pt>
                <c:pt idx="53">
                  <c:v>6.3209423999999999</c:v>
                </c:pt>
                <c:pt idx="54">
                  <c:v>6.3247631999999996</c:v>
                </c:pt>
                <c:pt idx="55">
                  <c:v>6.3555920000000006</c:v>
                </c:pt>
                <c:pt idx="56">
                  <c:v>6.3918223999999997</c:v>
                </c:pt>
                <c:pt idx="57">
                  <c:v>6.4280527999999997</c:v>
                </c:pt>
                <c:pt idx="58">
                  <c:v>6.4642831999999997</c:v>
                </c:pt>
                <c:pt idx="59">
                  <c:v>6.5242831999999993</c:v>
                </c:pt>
                <c:pt idx="60">
                  <c:v>6.5961679999999996</c:v>
                </c:pt>
                <c:pt idx="61">
                  <c:v>6.6680527999999999</c:v>
                </c:pt>
                <c:pt idx="62">
                  <c:v>6.7399376000000002</c:v>
                </c:pt>
                <c:pt idx="63">
                  <c:v>6.8308783999999996</c:v>
                </c:pt>
                <c:pt idx="64">
                  <c:v>6.9408751999999998</c:v>
                </c:pt>
                <c:pt idx="65">
                  <c:v>7.050872</c:v>
                </c:pt>
                <c:pt idx="66">
                  <c:v>7.1608688000000011</c:v>
                </c:pt>
                <c:pt idx="67">
                  <c:v>7.2840591999999997</c:v>
                </c:pt>
                <c:pt idx="68">
                  <c:v>7.4336367999999986</c:v>
                </c:pt>
                <c:pt idx="69">
                  <c:v>7.583214400000001</c:v>
                </c:pt>
                <c:pt idx="70">
                  <c:v>7.7327919999999999</c:v>
                </c:pt>
                <c:pt idx="71">
                  <c:v>7.8889940000000021</c:v>
                </c:pt>
                <c:pt idx="72">
                  <c:v>8.0783180000000012</c:v>
                </c:pt>
                <c:pt idx="73">
                  <c:v>8.2676420000000004</c:v>
                </c:pt>
                <c:pt idx="74">
                  <c:v>8.4569660000000013</c:v>
                </c:pt>
                <c:pt idx="75">
                  <c:v>8.6462900000000005</c:v>
                </c:pt>
                <c:pt idx="76">
                  <c:v>8.8738603999999999</c:v>
                </c:pt>
                <c:pt idx="77">
                  <c:v>9.101430800000001</c:v>
                </c:pt>
                <c:pt idx="78">
                  <c:v>9.3290012000000004</c:v>
                </c:pt>
                <c:pt idx="79">
                  <c:v>9.5565715999999981</c:v>
                </c:pt>
                <c:pt idx="80">
                  <c:v>9.8131200000000014</c:v>
                </c:pt>
                <c:pt idx="81">
                  <c:v>10.075464</c:v>
                </c:pt>
                <c:pt idx="82">
                  <c:v>10.337808000000001</c:v>
                </c:pt>
                <c:pt idx="83">
                  <c:v>10.600152</c:v>
                </c:pt>
                <c:pt idx="84">
                  <c:v>10.881888</c:v>
                </c:pt>
                <c:pt idx="85">
                  <c:v>11.17332</c:v>
                </c:pt>
                <c:pt idx="86">
                  <c:v>11.464752000000001</c:v>
                </c:pt>
                <c:pt idx="87">
                  <c:v>11.756183999999999</c:v>
                </c:pt>
                <c:pt idx="88">
                  <c:v>12.058199999999999</c:v>
                </c:pt>
                <c:pt idx="89">
                  <c:v>12.370799999999999</c:v>
                </c:pt>
                <c:pt idx="90">
                  <c:v>12.683400000000001</c:v>
                </c:pt>
                <c:pt idx="91">
                  <c:v>12.996</c:v>
                </c:pt>
                <c:pt idx="92">
                  <c:v>13.312384</c:v>
                </c:pt>
                <c:pt idx="93">
                  <c:v>13.636336</c:v>
                </c:pt>
                <c:pt idx="94">
                  <c:v>13.960288</c:v>
                </c:pt>
                <c:pt idx="95">
                  <c:v>14.28424</c:v>
                </c:pt>
                <c:pt idx="96">
                  <c:v>14.608216000000001</c:v>
                </c:pt>
                <c:pt idx="97">
                  <c:v>14.932312</c:v>
                </c:pt>
                <c:pt idx="98">
                  <c:v>15.256408</c:v>
                </c:pt>
                <c:pt idx="99">
                  <c:v>15.580503999999999</c:v>
                </c:pt>
                <c:pt idx="100">
                  <c:v>15.9046</c:v>
                </c:pt>
              </c:numCache>
            </c:numRef>
          </c:yVal>
          <c:smooth val="1"/>
          <c:extLst>
            <c:ext xmlns:c16="http://schemas.microsoft.com/office/drawing/2014/chart" uri="{C3380CC4-5D6E-409C-BE32-E72D297353CC}">
              <c16:uniqueId val="{00000000-18C3-4D75-9CFA-87677937B5E8}"/>
            </c:ext>
          </c:extLst>
        </c:ser>
        <c:ser>
          <c:idx val="0"/>
          <c:order val="6"/>
          <c:tx>
            <c:v>Left 1</c:v>
          </c:tx>
          <c:spPr>
            <a:ln w="19050">
              <a:solidFill>
                <a:srgbClr val="FF0000"/>
              </a:solidFill>
            </a:ln>
          </c:spPr>
          <c:marker>
            <c:symbol val="none"/>
          </c:marker>
          <c:xVal>
            <c:numRef>
              <c:f>'Left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1 Kin'!$J$2:$J$102</c:f>
              <c:numCache>
                <c:formatCode>General</c:formatCode>
                <c:ptCount val="101"/>
                <c:pt idx="0">
                  <c:v>9.0309799999999996</c:v>
                </c:pt>
                <c:pt idx="1">
                  <c:v>9.1212699999999991</c:v>
                </c:pt>
                <c:pt idx="2">
                  <c:v>9.2115599999999986</c:v>
                </c:pt>
                <c:pt idx="3">
                  <c:v>9.30185</c:v>
                </c:pt>
                <c:pt idx="4">
                  <c:v>9.3921399999999995</c:v>
                </c:pt>
                <c:pt idx="5">
                  <c:v>9.4787800000000004</c:v>
                </c:pt>
                <c:pt idx="6">
                  <c:v>9.5654199999999996</c:v>
                </c:pt>
                <c:pt idx="7">
                  <c:v>9.6520599999999988</c:v>
                </c:pt>
                <c:pt idx="8">
                  <c:v>9.7386999999999997</c:v>
                </c:pt>
                <c:pt idx="9">
                  <c:v>9.815925</c:v>
                </c:pt>
                <c:pt idx="10">
                  <c:v>9.8931500000000003</c:v>
                </c:pt>
                <c:pt idx="11">
                  <c:v>9.9703749999999989</c:v>
                </c:pt>
                <c:pt idx="12">
                  <c:v>10.047599999999999</c:v>
                </c:pt>
                <c:pt idx="13">
                  <c:v>10.108650000000001</c:v>
                </c:pt>
                <c:pt idx="14">
                  <c:v>10.169700000000001</c:v>
                </c:pt>
                <c:pt idx="15">
                  <c:v>10.23075</c:v>
                </c:pt>
                <c:pt idx="16">
                  <c:v>10.2918</c:v>
                </c:pt>
                <c:pt idx="17">
                  <c:v>10.329425000000001</c:v>
                </c:pt>
                <c:pt idx="18">
                  <c:v>10.367050000000001</c:v>
                </c:pt>
                <c:pt idx="19">
                  <c:v>10.404674999999999</c:v>
                </c:pt>
                <c:pt idx="20">
                  <c:v>10.442299999999999</c:v>
                </c:pt>
                <c:pt idx="21">
                  <c:v>10.449775000000001</c:v>
                </c:pt>
                <c:pt idx="22">
                  <c:v>10.45725</c:v>
                </c:pt>
                <c:pt idx="23">
                  <c:v>10.464725</c:v>
                </c:pt>
                <c:pt idx="24">
                  <c:v>10.472200000000001</c:v>
                </c:pt>
                <c:pt idx="25">
                  <c:v>10.444725</c:v>
                </c:pt>
                <c:pt idx="26">
                  <c:v>10.417249999999999</c:v>
                </c:pt>
                <c:pt idx="27">
                  <c:v>10.389775</c:v>
                </c:pt>
                <c:pt idx="28">
                  <c:v>10.362299999999999</c:v>
                </c:pt>
                <c:pt idx="29">
                  <c:v>10.298325</c:v>
                </c:pt>
                <c:pt idx="30">
                  <c:v>10.234349999999999</c:v>
                </c:pt>
                <c:pt idx="31">
                  <c:v>10.170375</c:v>
                </c:pt>
                <c:pt idx="32">
                  <c:v>10.106400000000001</c:v>
                </c:pt>
                <c:pt idx="33">
                  <c:v>10.0088025</c:v>
                </c:pt>
                <c:pt idx="34">
                  <c:v>9.9112050000000007</c:v>
                </c:pt>
                <c:pt idx="35">
                  <c:v>9.8136075000000016</c:v>
                </c:pt>
                <c:pt idx="36">
                  <c:v>9.7160100000000007</c:v>
                </c:pt>
                <c:pt idx="37">
                  <c:v>9.5920950000000005</c:v>
                </c:pt>
                <c:pt idx="38">
                  <c:v>9.4681800000000003</c:v>
                </c:pt>
                <c:pt idx="39">
                  <c:v>9.344265</c:v>
                </c:pt>
                <c:pt idx="40">
                  <c:v>9.2203499999999998</c:v>
                </c:pt>
                <c:pt idx="41">
                  <c:v>9.0812350000000013</c:v>
                </c:pt>
                <c:pt idx="42">
                  <c:v>8.942120000000001</c:v>
                </c:pt>
                <c:pt idx="43">
                  <c:v>8.8030050000000006</c:v>
                </c:pt>
                <c:pt idx="44">
                  <c:v>8.6638900000000003</c:v>
                </c:pt>
                <c:pt idx="45">
                  <c:v>8.5230200000000007</c:v>
                </c:pt>
                <c:pt idx="46">
                  <c:v>8.3821499999999993</c:v>
                </c:pt>
                <c:pt idx="47">
                  <c:v>8.2412799999999997</c:v>
                </c:pt>
                <c:pt idx="48">
                  <c:v>8.1004100000000001</c:v>
                </c:pt>
                <c:pt idx="49">
                  <c:v>7.9720649999999997</c:v>
                </c:pt>
                <c:pt idx="50">
                  <c:v>7.8437199999999994</c:v>
                </c:pt>
                <c:pt idx="51">
                  <c:v>7.7153749999999999</c:v>
                </c:pt>
                <c:pt idx="52">
                  <c:v>7.5870300000000004</c:v>
                </c:pt>
                <c:pt idx="53">
                  <c:v>7.4851999999999999</c:v>
                </c:pt>
                <c:pt idx="54">
                  <c:v>7.3833700000000002</c:v>
                </c:pt>
                <c:pt idx="55">
                  <c:v>7.2815399999999997</c:v>
                </c:pt>
                <c:pt idx="56">
                  <c:v>7.17971</c:v>
                </c:pt>
                <c:pt idx="57">
                  <c:v>7.1174774999999997</c:v>
                </c:pt>
                <c:pt idx="58">
                  <c:v>7.0552450000000002</c:v>
                </c:pt>
                <c:pt idx="59">
                  <c:v>6.9930125000000007</c:v>
                </c:pt>
                <c:pt idx="60">
                  <c:v>6.9307800000000004</c:v>
                </c:pt>
                <c:pt idx="61">
                  <c:v>6.9198575</c:v>
                </c:pt>
                <c:pt idx="62">
                  <c:v>6.9089349999999996</c:v>
                </c:pt>
                <c:pt idx="63">
                  <c:v>6.8980125000000001</c:v>
                </c:pt>
                <c:pt idx="64">
                  <c:v>6.8870899999999997</c:v>
                </c:pt>
                <c:pt idx="65">
                  <c:v>6.9369949999999996</c:v>
                </c:pt>
                <c:pt idx="66">
                  <c:v>6.9869000000000003</c:v>
                </c:pt>
                <c:pt idx="67">
                  <c:v>7.0368050000000002</c:v>
                </c:pt>
                <c:pt idx="68">
                  <c:v>7.0867100000000001</c:v>
                </c:pt>
                <c:pt idx="69">
                  <c:v>7.2033875000000007</c:v>
                </c:pt>
                <c:pt idx="70">
                  <c:v>7.3200649999999996</c:v>
                </c:pt>
                <c:pt idx="71">
                  <c:v>7.4367425000000011</c:v>
                </c:pt>
                <c:pt idx="72">
                  <c:v>7.55342</c:v>
                </c:pt>
                <c:pt idx="73">
                  <c:v>7.7374624999999986</c:v>
                </c:pt>
                <c:pt idx="74">
                  <c:v>7.9215050000000016</c:v>
                </c:pt>
                <c:pt idx="75">
                  <c:v>8.1055475000000001</c:v>
                </c:pt>
                <c:pt idx="76">
                  <c:v>8.2895900000000005</c:v>
                </c:pt>
                <c:pt idx="77">
                  <c:v>8.5348700000000015</c:v>
                </c:pt>
                <c:pt idx="78">
                  <c:v>8.780149999999999</c:v>
                </c:pt>
                <c:pt idx="79">
                  <c:v>9.0254299999999983</c:v>
                </c:pt>
                <c:pt idx="80">
                  <c:v>9.2707099999999993</c:v>
                </c:pt>
                <c:pt idx="81">
                  <c:v>9.5641824999999976</c:v>
                </c:pt>
                <c:pt idx="82">
                  <c:v>9.8576549999999976</c:v>
                </c:pt>
                <c:pt idx="83">
                  <c:v>10.151127499999999</c:v>
                </c:pt>
                <c:pt idx="84">
                  <c:v>10.444599999999999</c:v>
                </c:pt>
                <c:pt idx="85">
                  <c:v>10.767749999999999</c:v>
                </c:pt>
                <c:pt idx="86">
                  <c:v>11.0909</c:v>
                </c:pt>
                <c:pt idx="87">
                  <c:v>11.41405</c:v>
                </c:pt>
                <c:pt idx="88">
                  <c:v>11.7372</c:v>
                </c:pt>
                <c:pt idx="89">
                  <c:v>12.069100000000001</c:v>
                </c:pt>
                <c:pt idx="90">
                  <c:v>12.401</c:v>
                </c:pt>
                <c:pt idx="91">
                  <c:v>12.732900000000001</c:v>
                </c:pt>
                <c:pt idx="92">
                  <c:v>13.0648</c:v>
                </c:pt>
                <c:pt idx="93">
                  <c:v>13.385524999999999</c:v>
                </c:pt>
                <c:pt idx="94">
                  <c:v>13.706250000000001</c:v>
                </c:pt>
                <c:pt idx="95">
                  <c:v>14.026975</c:v>
                </c:pt>
                <c:pt idx="96">
                  <c:v>14.3477</c:v>
                </c:pt>
                <c:pt idx="97">
                  <c:v>14.641325</c:v>
                </c:pt>
                <c:pt idx="98">
                  <c:v>14.934950000000001</c:v>
                </c:pt>
                <c:pt idx="99">
                  <c:v>15.228574999999999</c:v>
                </c:pt>
                <c:pt idx="100">
                  <c:v>15.5222</c:v>
                </c:pt>
              </c:numCache>
            </c:numRef>
          </c:yVal>
          <c:smooth val="1"/>
          <c:extLst>
            <c:ext xmlns:c16="http://schemas.microsoft.com/office/drawing/2014/chart" uri="{C3380CC4-5D6E-409C-BE32-E72D297353CC}">
              <c16:uniqueId val="{00000000-BBCC-48AA-ABF0-E2B837EAF16F}"/>
            </c:ext>
          </c:extLst>
        </c:ser>
        <c:dLbls>
          <c:showLegendKey val="0"/>
          <c:showVal val="0"/>
          <c:showCatName val="0"/>
          <c:showSerName val="0"/>
          <c:showPercent val="0"/>
          <c:showBubbleSize val="0"/>
        </c:dLbls>
        <c:axId val="90982272"/>
        <c:axId val="90983808"/>
      </c:scatterChart>
      <c:valAx>
        <c:axId val="90982272"/>
        <c:scaling>
          <c:orientation val="minMax"/>
          <c:max val="100"/>
        </c:scaling>
        <c:delete val="0"/>
        <c:axPos val="b"/>
        <c:numFmt formatCode="General" sourceLinked="1"/>
        <c:majorTickMark val="out"/>
        <c:minorTickMark val="none"/>
        <c:tickLblPos val="nextTo"/>
        <c:txPr>
          <a:bodyPr/>
          <a:lstStyle/>
          <a:p>
            <a:pPr>
              <a:defRPr lang="en-US" sz="800"/>
            </a:pPr>
            <a:endParaRPr lang="en-US"/>
          </a:p>
        </c:txPr>
        <c:crossAx val="90983808"/>
        <c:crosses val="autoZero"/>
        <c:crossBetween val="midCat"/>
        <c:majorUnit val="20"/>
      </c:valAx>
      <c:valAx>
        <c:axId val="90983808"/>
        <c:scaling>
          <c:orientation val="minMax"/>
        </c:scaling>
        <c:delete val="0"/>
        <c:axPos val="l"/>
        <c:title>
          <c:tx>
            <c:rich>
              <a:bodyPr rot="-5400000" vert="horz"/>
              <a:lstStyle/>
              <a:p>
                <a:pPr>
                  <a:defRPr lang="en-AU" sz="900"/>
                </a:pPr>
                <a:r>
                  <a:rPr lang="en-US" sz="900"/>
                  <a:t>Angle (degrees)</a:t>
                </a:r>
              </a:p>
            </c:rich>
          </c:tx>
          <c:layout>
            <c:manualLayout>
              <c:xMode val="edge"/>
              <c:yMode val="edge"/>
              <c:x val="6.1702551325188921E-3"/>
              <c:y val="0.32694305948250502"/>
            </c:manualLayout>
          </c:layout>
          <c:overlay val="0"/>
        </c:title>
        <c:numFmt formatCode="0" sourceLinked="0"/>
        <c:majorTickMark val="out"/>
        <c:minorTickMark val="none"/>
        <c:tickLblPos val="nextTo"/>
        <c:txPr>
          <a:bodyPr/>
          <a:lstStyle/>
          <a:p>
            <a:pPr>
              <a:defRPr lang="en-US" sz="800"/>
            </a:pPr>
            <a:endParaRPr lang="en-US"/>
          </a:p>
        </c:txPr>
        <c:crossAx val="90982272"/>
        <c:crosses val="autoZero"/>
        <c:crossBetween val="midCat"/>
      </c:valAx>
    </c:plotArea>
    <c:plotVisOnly val="1"/>
    <c:dispBlanksAs val="gap"/>
    <c:showDLblsOverMax val="0"/>
  </c:chart>
  <c:printSettings>
    <c:headerFooter/>
    <c:pageMargins b="0.75000000000001421" l="0.70000000000000095" r="0.70000000000000095" t="0.75000000000001421" header="0.3000000000000001" footer="0.3000000000000001"/>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US" sz="1200"/>
            </a:pPr>
            <a:r>
              <a:rPr lang="en-US" sz="1200"/>
              <a:t>Frontal Pelvic Angle</a:t>
            </a:r>
          </a:p>
        </c:rich>
      </c:tx>
      <c:overlay val="0"/>
    </c:title>
    <c:autoTitleDeleted val="0"/>
    <c:plotArea>
      <c:layout>
        <c:manualLayout>
          <c:layoutTarget val="inner"/>
          <c:xMode val="edge"/>
          <c:yMode val="edge"/>
          <c:x val="9.5284321924689275E-2"/>
          <c:y val="3.8186995493487842E-2"/>
          <c:w val="0.86888738106133523"/>
          <c:h val="0.93110533353142177"/>
        </c:manualLayout>
      </c:layout>
      <c:scatterChart>
        <c:scatterStyle val="smoothMarker"/>
        <c:varyColors val="0"/>
        <c:ser>
          <c:idx val="1"/>
          <c:order val="0"/>
          <c:tx>
            <c:v>Normative</c:v>
          </c:tx>
          <c:spPr>
            <a:ln>
              <a:solidFill>
                <a:schemeClr val="tx1"/>
              </a:solidFill>
            </a:ln>
          </c:spPr>
          <c:marker>
            <c:symbol val="none"/>
          </c:marker>
          <c:xVal>
            <c:numRef>
              <c:f>Normative!$A$2:$A$102</c:f>
              <c:numCache>
                <c:formatCode>General</c:formatCode>
                <c:ptCount val="101"/>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numCache>
            </c:numRef>
          </c:xVal>
          <c:yVal>
            <c:numRef>
              <c:f>Normative!$K$2:$K$102</c:f>
              <c:numCache>
                <c:formatCode>General</c:formatCode>
                <c:ptCount val="101"/>
                <c:pt idx="0">
                  <c:v>1.7246730599999995</c:v>
                </c:pt>
                <c:pt idx="1">
                  <c:v>1.7246730599999995</c:v>
                </c:pt>
                <c:pt idx="2">
                  <c:v>1.5603888366666665</c:v>
                </c:pt>
                <c:pt idx="3">
                  <c:v>1.4666039366666666</c:v>
                </c:pt>
                <c:pt idx="4">
                  <c:v>1.29695954</c:v>
                </c:pt>
                <c:pt idx="5">
                  <c:v>1.1775985199999996</c:v>
                </c:pt>
                <c:pt idx="6">
                  <c:v>0.95940607333333339</c:v>
                </c:pt>
                <c:pt idx="7">
                  <c:v>0.86712698999999982</c:v>
                </c:pt>
                <c:pt idx="8">
                  <c:v>0.63055317000000011</c:v>
                </c:pt>
                <c:pt idx="9">
                  <c:v>0.49787160333333347</c:v>
                </c:pt>
                <c:pt idx="10">
                  <c:v>0.24261090999999996</c:v>
                </c:pt>
                <c:pt idx="11">
                  <c:v>0.1356914100000001</c:v>
                </c:pt>
                <c:pt idx="12">
                  <c:v>-0.10976710999999995</c:v>
                </c:pt>
                <c:pt idx="13">
                  <c:v>-0.22642852000000002</c:v>
                </c:pt>
                <c:pt idx="14">
                  <c:v>-0.44541358666666675</c:v>
                </c:pt>
                <c:pt idx="15">
                  <c:v>-0.56950764333333337</c:v>
                </c:pt>
                <c:pt idx="16">
                  <c:v>-0.77776324666666663</c:v>
                </c:pt>
                <c:pt idx="17">
                  <c:v>-0.86700273999999999</c:v>
                </c:pt>
                <c:pt idx="18">
                  <c:v>-1.0920750466666669</c:v>
                </c:pt>
                <c:pt idx="19">
                  <c:v>-1.1102882500000002</c:v>
                </c:pt>
                <c:pt idx="20">
                  <c:v>-1.2879431299999999</c:v>
                </c:pt>
                <c:pt idx="21">
                  <c:v>-1.317252386666667</c:v>
                </c:pt>
                <c:pt idx="22">
                  <c:v>-1.4861669866666669</c:v>
                </c:pt>
                <c:pt idx="23">
                  <c:v>-1.50650397</c:v>
                </c:pt>
                <c:pt idx="24">
                  <c:v>-1.6562885066666666</c:v>
                </c:pt>
                <c:pt idx="25">
                  <c:v>-1.8517880266666666</c:v>
                </c:pt>
                <c:pt idx="26">
                  <c:v>-1.9948668733333335</c:v>
                </c:pt>
                <c:pt idx="27">
                  <c:v>-2.1843435333333332</c:v>
                </c:pt>
                <c:pt idx="28">
                  <c:v>-2.3062731599999999</c:v>
                </c:pt>
                <c:pt idx="29">
                  <c:v>-2.5915124933333336</c:v>
                </c:pt>
                <c:pt idx="30">
                  <c:v>-2.8057635766666662</c:v>
                </c:pt>
                <c:pt idx="31">
                  <c:v>-3.1152678066666666</c:v>
                </c:pt>
                <c:pt idx="32">
                  <c:v>-3.3650471799999999</c:v>
                </c:pt>
                <c:pt idx="33">
                  <c:v>-3.8956478133333334</c:v>
                </c:pt>
                <c:pt idx="34">
                  <c:v>-4.1731740833333335</c:v>
                </c:pt>
                <c:pt idx="35">
                  <c:v>-4.6137296499999998</c:v>
                </c:pt>
                <c:pt idx="36">
                  <c:v>-4.9149901700000003</c:v>
                </c:pt>
                <c:pt idx="37">
                  <c:v>-5.380966813333333</c:v>
                </c:pt>
                <c:pt idx="38">
                  <c:v>-5.8274690533333331</c:v>
                </c:pt>
                <c:pt idx="39">
                  <c:v>-6.2130163166666676</c:v>
                </c:pt>
                <c:pt idx="40">
                  <c:v>-6.5757064666666682</c:v>
                </c:pt>
                <c:pt idx="41">
                  <c:v>-6.960002283333333</c:v>
                </c:pt>
                <c:pt idx="42">
                  <c:v>-7.3065595900000009</c:v>
                </c:pt>
                <c:pt idx="43">
                  <c:v>-7.743483416666666</c:v>
                </c:pt>
                <c:pt idx="44">
                  <c:v>-7.9400294666666671</c:v>
                </c:pt>
                <c:pt idx="45">
                  <c:v>-8.3842167100000005</c:v>
                </c:pt>
                <c:pt idx="46">
                  <c:v>-8.5149300999999991</c:v>
                </c:pt>
                <c:pt idx="47">
                  <c:v>-8.8851532433333329</c:v>
                </c:pt>
                <c:pt idx="48">
                  <c:v>-8.9860519933333336</c:v>
                </c:pt>
                <c:pt idx="49">
                  <c:v>-9.3091557833333329</c:v>
                </c:pt>
                <c:pt idx="50">
                  <c:v>-9.6609135633333327</c:v>
                </c:pt>
              </c:numCache>
            </c:numRef>
          </c:yVal>
          <c:smooth val="1"/>
          <c:extLst>
            <c:ext xmlns:c16="http://schemas.microsoft.com/office/drawing/2014/chart" uri="{C3380CC4-5D6E-409C-BE32-E72D297353CC}">
              <c16:uniqueId val="{00000000-F354-49F7-8ADE-4FE82A158BA0}"/>
            </c:ext>
          </c:extLst>
        </c:ser>
        <c:ser>
          <c:idx val="6"/>
          <c:order val="1"/>
          <c:tx>
            <c:v>Right 3</c:v>
          </c:tx>
          <c:spPr>
            <a:ln w="19050">
              <a:solidFill>
                <a:srgbClr val="00B050"/>
              </a:solidFill>
            </a:ln>
          </c:spPr>
          <c:marker>
            <c:symbol val="none"/>
          </c:marker>
          <c:xVal>
            <c:numRef>
              <c:f>'Right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3 Kin'!$K$2:$K$102</c:f>
              <c:numCache>
                <c:formatCode>General</c:formatCode>
                <c:ptCount val="101"/>
                <c:pt idx="0">
                  <c:v>5.99322</c:v>
                </c:pt>
                <c:pt idx="1">
                  <c:v>6.0003907999999999</c:v>
                </c:pt>
                <c:pt idx="2">
                  <c:v>6.0075615999999998</c:v>
                </c:pt>
                <c:pt idx="3">
                  <c:v>6.0147324000000006</c:v>
                </c:pt>
                <c:pt idx="4">
                  <c:v>6.0201564000000003</c:v>
                </c:pt>
                <c:pt idx="5">
                  <c:v>6.0159730000000007</c:v>
                </c:pt>
                <c:pt idx="6">
                  <c:v>6.0117896000000002</c:v>
                </c:pt>
                <c:pt idx="7">
                  <c:v>6.0076062000000006</c:v>
                </c:pt>
                <c:pt idx="8">
                  <c:v>5.9996268000000006</c:v>
                </c:pt>
                <c:pt idx="9">
                  <c:v>5.9831063999999996</c:v>
                </c:pt>
                <c:pt idx="10">
                  <c:v>5.9665860000000004</c:v>
                </c:pt>
                <c:pt idx="11">
                  <c:v>5.9500655999999994</c:v>
                </c:pt>
                <c:pt idx="12">
                  <c:v>5.9279147999999999</c:v>
                </c:pt>
                <c:pt idx="13">
                  <c:v>5.8991951999999994</c:v>
                </c:pt>
                <c:pt idx="14">
                  <c:v>5.8704755999999998</c:v>
                </c:pt>
                <c:pt idx="15">
                  <c:v>5.8417560000000002</c:v>
                </c:pt>
                <c:pt idx="16">
                  <c:v>5.8063484000000001</c:v>
                </c:pt>
                <c:pt idx="17">
                  <c:v>5.7667608000000001</c:v>
                </c:pt>
                <c:pt idx="18">
                  <c:v>5.7271731999999993</c:v>
                </c:pt>
                <c:pt idx="19">
                  <c:v>5.6875855999999994</c:v>
                </c:pt>
                <c:pt idx="20">
                  <c:v>5.6413919999999997</c:v>
                </c:pt>
                <c:pt idx="21">
                  <c:v>5.5932165999999999</c:v>
                </c:pt>
                <c:pt idx="22">
                  <c:v>5.5450412</c:v>
                </c:pt>
                <c:pt idx="23">
                  <c:v>5.4968657999999992</c:v>
                </c:pt>
                <c:pt idx="24">
                  <c:v>5.4432352000000002</c:v>
                </c:pt>
                <c:pt idx="25">
                  <c:v>5.3891499999999999</c:v>
                </c:pt>
                <c:pt idx="26">
                  <c:v>5.3350647999999996</c:v>
                </c:pt>
                <c:pt idx="27">
                  <c:v>5.2806965999999997</c:v>
                </c:pt>
                <c:pt idx="28">
                  <c:v>5.2229324000000004</c:v>
                </c:pt>
                <c:pt idx="29">
                  <c:v>5.1651682000000001</c:v>
                </c:pt>
                <c:pt idx="30">
                  <c:v>5.1074039999999998</c:v>
                </c:pt>
                <c:pt idx="31">
                  <c:v>5.0490295999999999</c:v>
                </c:pt>
                <c:pt idx="32">
                  <c:v>4.9886211999999999</c:v>
                </c:pt>
                <c:pt idx="33">
                  <c:v>4.9282127999999998</c:v>
                </c:pt>
                <c:pt idx="34">
                  <c:v>4.8678043999999998</c:v>
                </c:pt>
                <c:pt idx="35">
                  <c:v>4.8060720000000003</c:v>
                </c:pt>
                <c:pt idx="36">
                  <c:v>4.7422211999999986</c:v>
                </c:pt>
                <c:pt idx="37">
                  <c:v>4.6783703999999986</c:v>
                </c:pt>
                <c:pt idx="38">
                  <c:v>4.6145195999999986</c:v>
                </c:pt>
                <c:pt idx="39">
                  <c:v>4.5474025999999999</c:v>
                </c:pt>
                <c:pt idx="40">
                  <c:v>4.4774859999999999</c:v>
                </c:pt>
                <c:pt idx="41">
                  <c:v>4.4075693999999999</c:v>
                </c:pt>
                <c:pt idx="42">
                  <c:v>4.3376527999999999</c:v>
                </c:pt>
                <c:pt idx="43">
                  <c:v>4.2607252000000004</c:v>
                </c:pt>
                <c:pt idx="44">
                  <c:v>4.1806815999999998</c:v>
                </c:pt>
                <c:pt idx="45">
                  <c:v>4.100638</c:v>
                </c:pt>
                <c:pt idx="46">
                  <c:v>4.0205944000000002</c:v>
                </c:pt>
                <c:pt idx="47">
                  <c:v>3.9281516000000001</c:v>
                </c:pt>
                <c:pt idx="48">
                  <c:v>3.8334543999999999</c:v>
                </c:pt>
                <c:pt idx="49">
                  <c:v>3.7387571999999998</c:v>
                </c:pt>
                <c:pt idx="50">
                  <c:v>3.6440600000000001</c:v>
                </c:pt>
                <c:pt idx="51">
                  <c:v>3.5307909999999998</c:v>
                </c:pt>
                <c:pt idx="52">
                  <c:v>3.4175219999999999</c:v>
                </c:pt>
                <c:pt idx="53">
                  <c:v>3.3042530000000001</c:v>
                </c:pt>
                <c:pt idx="54">
                  <c:v>3.1877772000000002</c:v>
                </c:pt>
                <c:pt idx="55">
                  <c:v>3.053663999999999</c:v>
                </c:pt>
                <c:pt idx="56">
                  <c:v>2.9195508000000001</c:v>
                </c:pt>
                <c:pt idx="57">
                  <c:v>2.7854375999999998</c:v>
                </c:pt>
                <c:pt idx="58">
                  <c:v>2.6449284</c:v>
                </c:pt>
                <c:pt idx="59">
                  <c:v>2.4900281999999998</c:v>
                </c:pt>
                <c:pt idx="60">
                  <c:v>2.3351280000000001</c:v>
                </c:pt>
                <c:pt idx="61">
                  <c:v>2.180227799999999</c:v>
                </c:pt>
                <c:pt idx="62">
                  <c:v>2.0169599999999992</c:v>
                </c:pt>
                <c:pt idx="63">
                  <c:v>1.8439300000000001</c:v>
                </c:pt>
                <c:pt idx="64">
                  <c:v>1.6708999999999989</c:v>
                </c:pt>
                <c:pt idx="65">
                  <c:v>1.49787</c:v>
                </c:pt>
                <c:pt idx="66">
                  <c:v>1.316774079999999</c:v>
                </c:pt>
                <c:pt idx="67">
                  <c:v>1.130636959999999</c:v>
                </c:pt>
                <c:pt idx="68">
                  <c:v>0.94449984000000031</c:v>
                </c:pt>
                <c:pt idx="69">
                  <c:v>0.7583627199999986</c:v>
                </c:pt>
                <c:pt idx="70">
                  <c:v>0.56733529999999943</c:v>
                </c:pt>
                <c:pt idx="71">
                  <c:v>0.37484078999999759</c:v>
                </c:pt>
                <c:pt idx="72">
                  <c:v>0.18234627999999861</c:v>
                </c:pt>
                <c:pt idx="73">
                  <c:v>-1.0148230000000419E-2</c:v>
                </c:pt>
                <c:pt idx="74">
                  <c:v>-0.2014163400000023</c:v>
                </c:pt>
                <c:pt idx="75">
                  <c:v>-0.39258225000000141</c:v>
                </c:pt>
                <c:pt idx="76">
                  <c:v>-0.58374816000000052</c:v>
                </c:pt>
                <c:pt idx="77">
                  <c:v>-0.77421482000000219</c:v>
                </c:pt>
                <c:pt idx="78">
                  <c:v>-0.95629048000000128</c:v>
                </c:pt>
                <c:pt idx="79">
                  <c:v>-1.13836614</c:v>
                </c:pt>
                <c:pt idx="80">
                  <c:v>-1.320441800000002</c:v>
                </c:pt>
                <c:pt idx="81">
                  <c:v>-1.498756600000001</c:v>
                </c:pt>
                <c:pt idx="82">
                  <c:v>-1.6645352</c:v>
                </c:pt>
                <c:pt idx="83">
                  <c:v>-1.8303138000000021</c:v>
                </c:pt>
                <c:pt idx="84">
                  <c:v>-1.9960924000000011</c:v>
                </c:pt>
                <c:pt idx="85">
                  <c:v>-2.1531840000000022</c:v>
                </c:pt>
                <c:pt idx="86">
                  <c:v>-2.296376400000002</c:v>
                </c:pt>
                <c:pt idx="87">
                  <c:v>-2.4395688000000009</c:v>
                </c:pt>
                <c:pt idx="88">
                  <c:v>-2.582761200000002</c:v>
                </c:pt>
                <c:pt idx="89">
                  <c:v>-2.7109596000000011</c:v>
                </c:pt>
                <c:pt idx="90">
                  <c:v>-2.8263060000000002</c:v>
                </c:pt>
                <c:pt idx="91">
                  <c:v>-2.9416524000000011</c:v>
                </c:pt>
                <c:pt idx="92">
                  <c:v>-3.0569988000000001</c:v>
                </c:pt>
                <c:pt idx="93">
                  <c:v>-3.1501188</c:v>
                </c:pt>
                <c:pt idx="94">
                  <c:v>-3.2333604</c:v>
                </c:pt>
                <c:pt idx="95">
                  <c:v>-3.3166020000000001</c:v>
                </c:pt>
                <c:pt idx="96">
                  <c:v>-3.3998436000000001</c:v>
                </c:pt>
                <c:pt idx="97">
                  <c:v>-3.4531893999999999</c:v>
                </c:pt>
                <c:pt idx="98">
                  <c:v>-3.5010995999999999</c:v>
                </c:pt>
                <c:pt idx="99">
                  <c:v>-3.5490097999999999</c:v>
                </c:pt>
                <c:pt idx="100">
                  <c:v>-3.5969199999999999</c:v>
                </c:pt>
              </c:numCache>
            </c:numRef>
          </c:yVal>
          <c:smooth val="1"/>
          <c:extLst>
            <c:ext xmlns:c16="http://schemas.microsoft.com/office/drawing/2014/chart" uri="{C3380CC4-5D6E-409C-BE32-E72D297353CC}">
              <c16:uniqueId val="{00000004-2CB1-4F15-A1A5-548B79B0883D}"/>
            </c:ext>
          </c:extLst>
        </c:ser>
        <c:ser>
          <c:idx val="5"/>
          <c:order val="2"/>
          <c:tx>
            <c:v>Right 2</c:v>
          </c:tx>
          <c:spPr>
            <a:ln w="19050">
              <a:solidFill>
                <a:srgbClr val="00B050"/>
              </a:solidFill>
            </a:ln>
          </c:spPr>
          <c:marker>
            <c:symbol val="none"/>
          </c:marker>
          <c:xVal>
            <c:numRef>
              <c:f>'Right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2 Kin'!$K$2:$K$102</c:f>
              <c:numCache>
                <c:formatCode>General</c:formatCode>
                <c:ptCount val="101"/>
                <c:pt idx="0">
                  <c:v>6.4579399999999998</c:v>
                </c:pt>
                <c:pt idx="1">
                  <c:v>6.4545865999999998</c:v>
                </c:pt>
                <c:pt idx="2">
                  <c:v>6.4512331999999999</c:v>
                </c:pt>
                <c:pt idx="3">
                  <c:v>6.4478797999999999</c:v>
                </c:pt>
                <c:pt idx="4">
                  <c:v>6.4419015999999996</c:v>
                </c:pt>
                <c:pt idx="5">
                  <c:v>6.4296895000000003</c:v>
                </c:pt>
                <c:pt idx="6">
                  <c:v>6.4174774000000001</c:v>
                </c:pt>
                <c:pt idx="7">
                  <c:v>6.4052652999999999</c:v>
                </c:pt>
                <c:pt idx="8">
                  <c:v>6.3874019999999998</c:v>
                </c:pt>
                <c:pt idx="9">
                  <c:v>6.3656535000000014</c:v>
                </c:pt>
                <c:pt idx="10">
                  <c:v>6.3439050000000003</c:v>
                </c:pt>
                <c:pt idx="11">
                  <c:v>6.3221565000000002</c:v>
                </c:pt>
                <c:pt idx="12">
                  <c:v>6.2916648000000004</c:v>
                </c:pt>
                <c:pt idx="13">
                  <c:v>6.2600802</c:v>
                </c:pt>
                <c:pt idx="14">
                  <c:v>6.2284955999999996</c:v>
                </c:pt>
                <c:pt idx="15">
                  <c:v>6.1950914999999993</c:v>
                </c:pt>
                <c:pt idx="16">
                  <c:v>6.1536815999999996</c:v>
                </c:pt>
                <c:pt idx="17">
                  <c:v>6.1122717</c:v>
                </c:pt>
                <c:pt idx="18">
                  <c:v>6.0708617999999994</c:v>
                </c:pt>
                <c:pt idx="19">
                  <c:v>6.0248083000000001</c:v>
                </c:pt>
                <c:pt idx="20">
                  <c:v>5.9737539999999996</c:v>
                </c:pt>
                <c:pt idx="21">
                  <c:v>5.9226996999999999</c:v>
                </c:pt>
                <c:pt idx="22">
                  <c:v>5.8716453999999993</c:v>
                </c:pt>
                <c:pt idx="23">
                  <c:v>5.8132536999999997</c:v>
                </c:pt>
                <c:pt idx="24">
                  <c:v>5.7527656</c:v>
                </c:pt>
                <c:pt idx="25">
                  <c:v>5.6922774999999994</c:v>
                </c:pt>
                <c:pt idx="26">
                  <c:v>5.6311003999999993</c:v>
                </c:pt>
                <c:pt idx="27">
                  <c:v>5.5613107999999993</c:v>
                </c:pt>
                <c:pt idx="28">
                  <c:v>5.4915212000000002</c:v>
                </c:pt>
                <c:pt idx="29">
                  <c:v>5.4217316000000002</c:v>
                </c:pt>
                <c:pt idx="30">
                  <c:v>5.3484720000000001</c:v>
                </c:pt>
                <c:pt idx="31">
                  <c:v>5.2693133999999997</c:v>
                </c:pt>
                <c:pt idx="32">
                  <c:v>5.1901548000000002</c:v>
                </c:pt>
                <c:pt idx="33">
                  <c:v>5.1109961999999998</c:v>
                </c:pt>
                <c:pt idx="34">
                  <c:v>5.0254187999999997</c:v>
                </c:pt>
                <c:pt idx="35">
                  <c:v>4.9366319999999986</c:v>
                </c:pt>
                <c:pt idx="36">
                  <c:v>4.8478452000000001</c:v>
                </c:pt>
                <c:pt idx="37">
                  <c:v>4.7590583999999998</c:v>
                </c:pt>
                <c:pt idx="38">
                  <c:v>4.6605840000000001</c:v>
                </c:pt>
                <c:pt idx="39">
                  <c:v>4.5617369999999999</c:v>
                </c:pt>
                <c:pt idx="40">
                  <c:v>4.4628899999999989</c:v>
                </c:pt>
                <c:pt idx="41">
                  <c:v>4.3613143999999986</c:v>
                </c:pt>
                <c:pt idx="42">
                  <c:v>4.2519427999999992</c:v>
                </c:pt>
                <c:pt idx="43">
                  <c:v>4.1425711999999999</c:v>
                </c:pt>
                <c:pt idx="44">
                  <c:v>4.0331995999999997</c:v>
                </c:pt>
                <c:pt idx="45">
                  <c:v>3.9177635</c:v>
                </c:pt>
                <c:pt idx="46">
                  <c:v>3.7974758</c:v>
                </c:pt>
                <c:pt idx="47">
                  <c:v>3.6771881</c:v>
                </c:pt>
                <c:pt idx="48">
                  <c:v>3.5569004</c:v>
                </c:pt>
                <c:pt idx="49">
                  <c:v>3.4272700999999999</c:v>
                </c:pt>
                <c:pt idx="50">
                  <c:v>3.2960149999999988</c:v>
                </c:pt>
                <c:pt idx="51">
                  <c:v>3.1647598999999991</c:v>
                </c:pt>
                <c:pt idx="52">
                  <c:v>3.0319427999999999</c:v>
                </c:pt>
                <c:pt idx="53">
                  <c:v>2.8901441999999991</c:v>
                </c:pt>
                <c:pt idx="54">
                  <c:v>2.7483455999999999</c:v>
                </c:pt>
                <c:pt idx="55">
                  <c:v>2.6065469999999999</c:v>
                </c:pt>
                <c:pt idx="56">
                  <c:v>2.4605592000000001</c:v>
                </c:pt>
                <c:pt idx="57">
                  <c:v>2.3093349000000001</c:v>
                </c:pt>
                <c:pt idx="58">
                  <c:v>2.1581106000000001</c:v>
                </c:pt>
                <c:pt idx="59">
                  <c:v>2.0068863000000001</c:v>
                </c:pt>
                <c:pt idx="60">
                  <c:v>1.850112</c:v>
                </c:pt>
                <c:pt idx="61">
                  <c:v>1.691395199999999</c:v>
                </c:pt>
                <c:pt idx="62">
                  <c:v>1.5326783999999991</c:v>
                </c:pt>
                <c:pt idx="63">
                  <c:v>1.3737887600000001</c:v>
                </c:pt>
                <c:pt idx="64">
                  <c:v>1.2104052799999989</c:v>
                </c:pt>
                <c:pt idx="65">
                  <c:v>1.0470218</c:v>
                </c:pt>
                <c:pt idx="66">
                  <c:v>0.88363831999999931</c:v>
                </c:pt>
                <c:pt idx="67">
                  <c:v>0.71992850000000008</c:v>
                </c:pt>
                <c:pt idx="68">
                  <c:v>0.55556600000000056</c:v>
                </c:pt>
                <c:pt idx="69">
                  <c:v>0.39120349999999859</c:v>
                </c:pt>
                <c:pt idx="70">
                  <c:v>0.2268409999999991</c:v>
                </c:pt>
                <c:pt idx="71">
                  <c:v>6.4695299999997583E-2</c:v>
                </c:pt>
                <c:pt idx="72">
                  <c:v>-9.6146400000001353E-2</c:v>
                </c:pt>
                <c:pt idx="73">
                  <c:v>-0.25698810000000027</c:v>
                </c:pt>
                <c:pt idx="74">
                  <c:v>-0.41782980000000147</c:v>
                </c:pt>
                <c:pt idx="75">
                  <c:v>-0.57076975000000052</c:v>
                </c:pt>
                <c:pt idx="76">
                  <c:v>-0.72307755999999956</c:v>
                </c:pt>
                <c:pt idx="77">
                  <c:v>-0.87538537000000072</c:v>
                </c:pt>
                <c:pt idx="78">
                  <c:v>-1.0246235800000001</c:v>
                </c:pt>
                <c:pt idx="79">
                  <c:v>-1.1631181900000001</c:v>
                </c:pt>
                <c:pt idx="80">
                  <c:v>-1.3016128000000009</c:v>
                </c:pt>
                <c:pt idx="81">
                  <c:v>-1.4401074100000011</c:v>
                </c:pt>
                <c:pt idx="82">
                  <c:v>-1.5687918000000001</c:v>
                </c:pt>
                <c:pt idx="83">
                  <c:v>-1.6883667000000011</c:v>
                </c:pt>
                <c:pt idx="84">
                  <c:v>-1.8079415999999999</c:v>
                </c:pt>
                <c:pt idx="85">
                  <c:v>-1.927516500000001</c:v>
                </c:pt>
                <c:pt idx="86">
                  <c:v>-2.0279821999999998</c:v>
                </c:pt>
                <c:pt idx="87">
                  <c:v>-2.1241048999999999</c:v>
                </c:pt>
                <c:pt idx="88">
                  <c:v>-2.2202276000000012</c:v>
                </c:pt>
                <c:pt idx="89">
                  <c:v>-2.3133547999999999</c:v>
                </c:pt>
                <c:pt idx="90">
                  <c:v>-2.3825180000000001</c:v>
                </c:pt>
                <c:pt idx="91">
                  <c:v>-2.4516812000000008</c:v>
                </c:pt>
                <c:pt idx="92">
                  <c:v>-2.520844400000001</c:v>
                </c:pt>
                <c:pt idx="93">
                  <c:v>-2.5781298000000001</c:v>
                </c:pt>
                <c:pt idx="94">
                  <c:v>-2.6181383999999999</c:v>
                </c:pt>
                <c:pt idx="95">
                  <c:v>-2.658147</c:v>
                </c:pt>
                <c:pt idx="96">
                  <c:v>-2.6981556000000002</c:v>
                </c:pt>
                <c:pt idx="97">
                  <c:v>-2.7171577999999998</c:v>
                </c:pt>
                <c:pt idx="98">
                  <c:v>-2.7273152000000001</c:v>
                </c:pt>
                <c:pt idx="99">
                  <c:v>-2.7374725999999998</c:v>
                </c:pt>
                <c:pt idx="100">
                  <c:v>-2.74763</c:v>
                </c:pt>
              </c:numCache>
            </c:numRef>
          </c:yVal>
          <c:smooth val="1"/>
          <c:extLst>
            <c:ext xmlns:c16="http://schemas.microsoft.com/office/drawing/2014/chart" uri="{C3380CC4-5D6E-409C-BE32-E72D297353CC}">
              <c16:uniqueId val="{00000003-2CB1-4F15-A1A5-548B79B0883D}"/>
            </c:ext>
          </c:extLst>
        </c:ser>
        <c:ser>
          <c:idx val="4"/>
          <c:order val="3"/>
          <c:tx>
            <c:v>Right 1</c:v>
          </c:tx>
          <c:spPr>
            <a:ln w="19050">
              <a:solidFill>
                <a:srgbClr val="00B050"/>
              </a:solidFill>
            </a:ln>
          </c:spPr>
          <c:marker>
            <c:symbol val="none"/>
          </c:marker>
          <c:xVal>
            <c:numRef>
              <c:f>'Right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1 Kin'!$K$2:$K$102</c:f>
              <c:numCache>
                <c:formatCode>General</c:formatCode>
                <c:ptCount val="101"/>
                <c:pt idx="0">
                  <c:v>6.8742999999999999</c:v>
                </c:pt>
                <c:pt idx="1">
                  <c:v>6.8793663</c:v>
                </c:pt>
                <c:pt idx="2">
                  <c:v>6.8844326000000002</c:v>
                </c:pt>
                <c:pt idx="3">
                  <c:v>6.8894989000000004</c:v>
                </c:pt>
                <c:pt idx="4">
                  <c:v>6.8925635999999999</c:v>
                </c:pt>
                <c:pt idx="5">
                  <c:v>6.8940020000000004</c:v>
                </c:pt>
                <c:pt idx="6">
                  <c:v>6.8954404</c:v>
                </c:pt>
                <c:pt idx="7">
                  <c:v>6.8964786</c:v>
                </c:pt>
                <c:pt idx="8">
                  <c:v>6.8940484</c:v>
                </c:pt>
                <c:pt idx="9">
                  <c:v>6.8916181999999999</c:v>
                </c:pt>
                <c:pt idx="10">
                  <c:v>6.8891879999999999</c:v>
                </c:pt>
                <c:pt idx="11">
                  <c:v>6.8840560000000002</c:v>
                </c:pt>
                <c:pt idx="12">
                  <c:v>6.8775019999999998</c:v>
                </c:pt>
                <c:pt idx="13">
                  <c:v>6.8709480000000003</c:v>
                </c:pt>
                <c:pt idx="14">
                  <c:v>6.8634712000000002</c:v>
                </c:pt>
                <c:pt idx="15">
                  <c:v>6.8524570000000002</c:v>
                </c:pt>
                <c:pt idx="16">
                  <c:v>6.8414428000000003</c:v>
                </c:pt>
                <c:pt idx="17">
                  <c:v>6.8304286000000003</c:v>
                </c:pt>
                <c:pt idx="18">
                  <c:v>6.8155688000000003</c:v>
                </c:pt>
                <c:pt idx="19">
                  <c:v>6.7994854</c:v>
                </c:pt>
                <c:pt idx="20">
                  <c:v>6.7834019999999997</c:v>
                </c:pt>
                <c:pt idx="21">
                  <c:v>6.7654394</c:v>
                </c:pt>
                <c:pt idx="22">
                  <c:v>6.7433008000000001</c:v>
                </c:pt>
                <c:pt idx="23">
                  <c:v>6.7211622000000002</c:v>
                </c:pt>
                <c:pt idx="24">
                  <c:v>6.6990236000000003</c:v>
                </c:pt>
                <c:pt idx="25">
                  <c:v>6.6703900000000003</c:v>
                </c:pt>
                <c:pt idx="26">
                  <c:v>6.6407172000000001</c:v>
                </c:pt>
                <c:pt idx="27">
                  <c:v>6.6110443999999999</c:v>
                </c:pt>
                <c:pt idx="28">
                  <c:v>6.5774188000000002</c:v>
                </c:pt>
                <c:pt idx="29">
                  <c:v>6.5381933999999999</c:v>
                </c:pt>
                <c:pt idx="30">
                  <c:v>6.4989679999999996</c:v>
                </c:pt>
                <c:pt idx="31">
                  <c:v>6.4597425999999993</c:v>
                </c:pt>
                <c:pt idx="32">
                  <c:v>6.4089</c:v>
                </c:pt>
                <c:pt idx="33">
                  <c:v>6.3576424999999999</c:v>
                </c:pt>
                <c:pt idx="34">
                  <c:v>6.3063850000000006</c:v>
                </c:pt>
                <c:pt idx="35">
                  <c:v>6.2474625000000001</c:v>
                </c:pt>
                <c:pt idx="36">
                  <c:v>6.1813860000000007</c:v>
                </c:pt>
                <c:pt idx="37">
                  <c:v>6.1153095000000004</c:v>
                </c:pt>
                <c:pt idx="38">
                  <c:v>6.0480125999999998</c:v>
                </c:pt>
                <c:pt idx="39">
                  <c:v>5.9642403000000002</c:v>
                </c:pt>
                <c:pt idx="40">
                  <c:v>5.8804679999999996</c:v>
                </c:pt>
                <c:pt idx="41">
                  <c:v>5.7966956999999999</c:v>
                </c:pt>
                <c:pt idx="42">
                  <c:v>5.7003000000000004</c:v>
                </c:pt>
                <c:pt idx="43">
                  <c:v>5.59619</c:v>
                </c:pt>
                <c:pt idx="44">
                  <c:v>5.4920799999999996</c:v>
                </c:pt>
                <c:pt idx="45">
                  <c:v>5.3840994999999996</c:v>
                </c:pt>
                <c:pt idx="46">
                  <c:v>5.2575405999999996</c:v>
                </c:pt>
                <c:pt idx="47">
                  <c:v>5.1309817000000004</c:v>
                </c:pt>
                <c:pt idx="48">
                  <c:v>5.0044228000000004</c:v>
                </c:pt>
                <c:pt idx="49">
                  <c:v>4.8607110999999996</c:v>
                </c:pt>
                <c:pt idx="50">
                  <c:v>4.7104649999999992</c:v>
                </c:pt>
                <c:pt idx="51">
                  <c:v>4.5602188999999989</c:v>
                </c:pt>
                <c:pt idx="52">
                  <c:v>4.4034312</c:v>
                </c:pt>
                <c:pt idx="53">
                  <c:v>4.2294717999999998</c:v>
                </c:pt>
                <c:pt idx="54">
                  <c:v>4.0555123999999996</c:v>
                </c:pt>
                <c:pt idx="55">
                  <c:v>3.8815529999999989</c:v>
                </c:pt>
                <c:pt idx="56">
                  <c:v>3.6891544000000001</c:v>
                </c:pt>
                <c:pt idx="57">
                  <c:v>3.4929142999999998</c:v>
                </c:pt>
                <c:pt idx="58">
                  <c:v>3.2966742</c:v>
                </c:pt>
                <c:pt idx="59">
                  <c:v>3.0931290000000011</c:v>
                </c:pt>
                <c:pt idx="60">
                  <c:v>2.8776300000000008</c:v>
                </c:pt>
                <c:pt idx="61">
                  <c:v>2.662131</c:v>
                </c:pt>
                <c:pt idx="62">
                  <c:v>2.4466320000000001</c:v>
                </c:pt>
                <c:pt idx="63">
                  <c:v>2.217514200000001</c:v>
                </c:pt>
                <c:pt idx="64">
                  <c:v>1.9873875999999999</c:v>
                </c:pt>
                <c:pt idx="65">
                  <c:v>1.7572610000000011</c:v>
                </c:pt>
                <c:pt idx="66">
                  <c:v>1.522958899999999</c:v>
                </c:pt>
                <c:pt idx="67">
                  <c:v>1.2841830500000011</c:v>
                </c:pt>
                <c:pt idx="68">
                  <c:v>1.0454072000000021</c:v>
                </c:pt>
                <c:pt idx="69">
                  <c:v>0.80657162200000077</c:v>
                </c:pt>
                <c:pt idx="70">
                  <c:v>0.56606366000000174</c:v>
                </c:pt>
                <c:pt idx="71">
                  <c:v>0.32555569799999923</c:v>
                </c:pt>
                <c:pt idx="72">
                  <c:v>8.504773600000004E-2</c:v>
                </c:pt>
                <c:pt idx="73">
                  <c:v>-0.15221193399999919</c:v>
                </c:pt>
                <c:pt idx="74">
                  <c:v>-0.38717869200000171</c:v>
                </c:pt>
                <c:pt idx="75">
                  <c:v>-0.62214545000000077</c:v>
                </c:pt>
                <c:pt idx="76">
                  <c:v>-0.85538007999999988</c:v>
                </c:pt>
                <c:pt idx="77">
                  <c:v>-1.0777889100000011</c:v>
                </c:pt>
                <c:pt idx="78">
                  <c:v>-1.30019774</c:v>
                </c:pt>
                <c:pt idx="79">
                  <c:v>-1.522606569999998</c:v>
                </c:pt>
                <c:pt idx="80">
                  <c:v>-1.732002</c:v>
                </c:pt>
                <c:pt idx="81">
                  <c:v>-1.9355413999999991</c:v>
                </c:pt>
                <c:pt idx="82">
                  <c:v>-2.139080799999999</c:v>
                </c:pt>
                <c:pt idx="83">
                  <c:v>-2.336807400000001</c:v>
                </c:pt>
                <c:pt idx="84">
                  <c:v>-2.5162651999999999</c:v>
                </c:pt>
                <c:pt idx="85">
                  <c:v>-2.6957230000000019</c:v>
                </c:pt>
                <c:pt idx="86">
                  <c:v>-2.8751808000000021</c:v>
                </c:pt>
                <c:pt idx="87">
                  <c:v>-3.032324</c:v>
                </c:pt>
                <c:pt idx="88">
                  <c:v>-3.1836460000000009</c:v>
                </c:pt>
                <c:pt idx="89">
                  <c:v>-3.3349679999999999</c:v>
                </c:pt>
                <c:pt idx="90">
                  <c:v>-3.4755789999999989</c:v>
                </c:pt>
                <c:pt idx="91">
                  <c:v>-3.595839100000001</c:v>
                </c:pt>
                <c:pt idx="92">
                  <c:v>-3.7160991999999999</c:v>
                </c:pt>
                <c:pt idx="93">
                  <c:v>-3.8363592999999998</c:v>
                </c:pt>
                <c:pt idx="94">
                  <c:v>-3.927080800000001</c:v>
                </c:pt>
                <c:pt idx="95">
                  <c:v>-4.0143940000000002</c:v>
                </c:pt>
                <c:pt idx="96">
                  <c:v>-4.1017071999999999</c:v>
                </c:pt>
                <c:pt idx="97">
                  <c:v>-4.1737584000000014</c:v>
                </c:pt>
                <c:pt idx="98">
                  <c:v>-4.2270256000000002</c:v>
                </c:pt>
                <c:pt idx="99">
                  <c:v>-4.2802928000000007</c:v>
                </c:pt>
                <c:pt idx="100">
                  <c:v>-4.3335600000000003</c:v>
                </c:pt>
              </c:numCache>
            </c:numRef>
          </c:yVal>
          <c:smooth val="1"/>
          <c:extLst>
            <c:ext xmlns:c16="http://schemas.microsoft.com/office/drawing/2014/chart" uri="{C3380CC4-5D6E-409C-BE32-E72D297353CC}">
              <c16:uniqueId val="{00000002-2CB1-4F15-A1A5-548B79B0883D}"/>
            </c:ext>
          </c:extLst>
        </c:ser>
        <c:ser>
          <c:idx val="3"/>
          <c:order val="4"/>
          <c:tx>
            <c:v>Left 3</c:v>
          </c:tx>
          <c:spPr>
            <a:ln w="19050">
              <a:solidFill>
                <a:srgbClr val="FF0000"/>
              </a:solidFill>
            </a:ln>
          </c:spPr>
          <c:marker>
            <c:symbol val="none"/>
          </c:marker>
          <c:xVal>
            <c:numRef>
              <c:f>'Left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3 Kin'!$K$2:$K$102</c:f>
              <c:numCache>
                <c:formatCode>General</c:formatCode>
                <c:ptCount val="101"/>
                <c:pt idx="0">
                  <c:v>1.5611699999999999</c:v>
                </c:pt>
                <c:pt idx="1">
                  <c:v>1.5130466</c:v>
                </c:pt>
                <c:pt idx="2">
                  <c:v>1.4649232000000001</c:v>
                </c:pt>
                <c:pt idx="3">
                  <c:v>1.4167997999999999</c:v>
                </c:pt>
                <c:pt idx="4">
                  <c:v>1.3662175999999999</c:v>
                </c:pt>
                <c:pt idx="5">
                  <c:v>1.3021119999999999</c:v>
                </c:pt>
                <c:pt idx="6">
                  <c:v>1.2380064</c:v>
                </c:pt>
                <c:pt idx="7">
                  <c:v>1.1739008</c:v>
                </c:pt>
                <c:pt idx="8">
                  <c:v>1.10558456</c:v>
                </c:pt>
                <c:pt idx="9">
                  <c:v>1.02779438</c:v>
                </c:pt>
                <c:pt idx="10">
                  <c:v>0.95000419999999997</c:v>
                </c:pt>
                <c:pt idx="11">
                  <c:v>0.87221402000000003</c:v>
                </c:pt>
                <c:pt idx="12">
                  <c:v>0.78983864000000015</c:v>
                </c:pt>
                <c:pt idx="13">
                  <c:v>0.70211386000000009</c:v>
                </c:pt>
                <c:pt idx="14">
                  <c:v>0.61438908000000003</c:v>
                </c:pt>
                <c:pt idx="15">
                  <c:v>0.52666429999999997</c:v>
                </c:pt>
                <c:pt idx="16">
                  <c:v>0.43604399999999988</c:v>
                </c:pt>
                <c:pt idx="17">
                  <c:v>0.34361399999999998</c:v>
                </c:pt>
                <c:pt idx="18">
                  <c:v>0.25118399999999991</c:v>
                </c:pt>
                <c:pt idx="19">
                  <c:v>0.15875400000000001</c:v>
                </c:pt>
                <c:pt idx="20">
                  <c:v>6.7628399999999797E-2</c:v>
                </c:pt>
                <c:pt idx="21">
                  <c:v>-2.3105879999999999E-2</c:v>
                </c:pt>
                <c:pt idx="22">
                  <c:v>-0.11384016000000011</c:v>
                </c:pt>
                <c:pt idx="23">
                  <c:v>-0.20457443999999991</c:v>
                </c:pt>
                <c:pt idx="24">
                  <c:v>-0.28732679999999983</c:v>
                </c:pt>
                <c:pt idx="25">
                  <c:v>-0.36941400000000002</c:v>
                </c:pt>
                <c:pt idx="26">
                  <c:v>-0.45150119999999988</c:v>
                </c:pt>
                <c:pt idx="27">
                  <c:v>-0.53243334000000009</c:v>
                </c:pt>
                <c:pt idx="28">
                  <c:v>-0.59950475999999997</c:v>
                </c:pt>
                <c:pt idx="29">
                  <c:v>-0.66657618000000007</c:v>
                </c:pt>
                <c:pt idx="30">
                  <c:v>-0.73364760000000007</c:v>
                </c:pt>
                <c:pt idx="31">
                  <c:v>-0.79621452000000015</c:v>
                </c:pt>
                <c:pt idx="32">
                  <c:v>-0.84376644000000001</c:v>
                </c:pt>
                <c:pt idx="33">
                  <c:v>-0.8913183600000002</c:v>
                </c:pt>
                <c:pt idx="34">
                  <c:v>-0.93887027999999995</c:v>
                </c:pt>
                <c:pt idx="35">
                  <c:v>-0.97842770000000001</c:v>
                </c:pt>
                <c:pt idx="36">
                  <c:v>-1.00519392</c:v>
                </c:pt>
                <c:pt idx="37">
                  <c:v>-1.03196014</c:v>
                </c:pt>
                <c:pt idx="38">
                  <c:v>-1.0587263600000001</c:v>
                </c:pt>
                <c:pt idx="39">
                  <c:v>-1.0758456000000001</c:v>
                </c:pt>
                <c:pt idx="40">
                  <c:v>-1.0846960000000001</c:v>
                </c:pt>
                <c:pt idx="41">
                  <c:v>-1.0935463999999999</c:v>
                </c:pt>
                <c:pt idx="42">
                  <c:v>-1.1023968</c:v>
                </c:pt>
                <c:pt idx="43">
                  <c:v>-1.1037862000000001</c:v>
                </c:pt>
                <c:pt idx="44">
                  <c:v>-1.1018596000000001</c:v>
                </c:pt>
                <c:pt idx="45">
                  <c:v>-1.099933</c:v>
                </c:pt>
                <c:pt idx="46">
                  <c:v>-1.0980064</c:v>
                </c:pt>
                <c:pt idx="47">
                  <c:v>-1.0958707999999999</c:v>
                </c:pt>
                <c:pt idx="48">
                  <c:v>-1.0936972</c:v>
                </c:pt>
                <c:pt idx="49">
                  <c:v>-1.0915235999999999</c:v>
                </c:pt>
                <c:pt idx="50">
                  <c:v>-1.08935</c:v>
                </c:pt>
                <c:pt idx="51">
                  <c:v>-1.0990792</c:v>
                </c:pt>
                <c:pt idx="52">
                  <c:v>-1.1088084</c:v>
                </c:pt>
                <c:pt idx="53">
                  <c:v>-1.1185376</c:v>
                </c:pt>
                <c:pt idx="54">
                  <c:v>-1.1318855999999999</c:v>
                </c:pt>
                <c:pt idx="55">
                  <c:v>-1.1651370000000001</c:v>
                </c:pt>
                <c:pt idx="56">
                  <c:v>-1.1983884</c:v>
                </c:pt>
                <c:pt idx="57">
                  <c:v>-1.2316398</c:v>
                </c:pt>
                <c:pt idx="58">
                  <c:v>-1.2749032</c:v>
                </c:pt>
                <c:pt idx="59">
                  <c:v>-1.3406936</c:v>
                </c:pt>
                <c:pt idx="60">
                  <c:v>-1.4064840000000001</c:v>
                </c:pt>
                <c:pt idx="61">
                  <c:v>-1.4722744000000001</c:v>
                </c:pt>
                <c:pt idx="62">
                  <c:v>-1.5553124000000009</c:v>
                </c:pt>
                <c:pt idx="63">
                  <c:v>-1.6584726000000001</c:v>
                </c:pt>
                <c:pt idx="64">
                  <c:v>-1.761632800000001</c:v>
                </c:pt>
                <c:pt idx="65">
                  <c:v>-1.8647929999999999</c:v>
                </c:pt>
                <c:pt idx="66">
                  <c:v>-1.9908284000000009</c:v>
                </c:pt>
                <c:pt idx="67">
                  <c:v>-2.1311608</c:v>
                </c:pt>
                <c:pt idx="68">
                  <c:v>-2.2714932000000001</c:v>
                </c:pt>
                <c:pt idx="69">
                  <c:v>-2.4118256000000011</c:v>
                </c:pt>
                <c:pt idx="70">
                  <c:v>-2.576762</c:v>
                </c:pt>
                <c:pt idx="71">
                  <c:v>-2.7490796000000022</c:v>
                </c:pt>
                <c:pt idx="72">
                  <c:v>-2.9213972000000008</c:v>
                </c:pt>
                <c:pt idx="73">
                  <c:v>-3.0937147999999999</c:v>
                </c:pt>
                <c:pt idx="74">
                  <c:v>-3.286893200000002</c:v>
                </c:pt>
                <c:pt idx="75">
                  <c:v>-3.4818100000000021</c:v>
                </c:pt>
                <c:pt idx="76">
                  <c:v>-3.6767268</c:v>
                </c:pt>
                <c:pt idx="77">
                  <c:v>-3.872455600000003</c:v>
                </c:pt>
                <c:pt idx="78">
                  <c:v>-4.077928400000002</c:v>
                </c:pt>
                <c:pt idx="79">
                  <c:v>-4.2834012000000001</c:v>
                </c:pt>
                <c:pt idx="80">
                  <c:v>-4.4888740000000027</c:v>
                </c:pt>
                <c:pt idx="81">
                  <c:v>-4.6938314000000014</c:v>
                </c:pt>
                <c:pt idx="82">
                  <c:v>-4.8970708000000007</c:v>
                </c:pt>
                <c:pt idx="83">
                  <c:v>-5.1003102000000018</c:v>
                </c:pt>
                <c:pt idx="84">
                  <c:v>-5.3035496000000011</c:v>
                </c:pt>
                <c:pt idx="85">
                  <c:v>-5.5014380000000029</c:v>
                </c:pt>
                <c:pt idx="86">
                  <c:v>-5.690764800000002</c:v>
                </c:pt>
                <c:pt idx="87">
                  <c:v>-5.880091600000001</c:v>
                </c:pt>
                <c:pt idx="88">
                  <c:v>-6.0694184000000027</c:v>
                </c:pt>
                <c:pt idx="89">
                  <c:v>-6.2462992000000011</c:v>
                </c:pt>
                <c:pt idx="90">
                  <c:v>-6.4125120000000004</c:v>
                </c:pt>
                <c:pt idx="91">
                  <c:v>-6.5787248000000007</c:v>
                </c:pt>
                <c:pt idx="92">
                  <c:v>-6.7449375999999992</c:v>
                </c:pt>
                <c:pt idx="93">
                  <c:v>-6.8909057999999987</c:v>
                </c:pt>
                <c:pt idx="94">
                  <c:v>-7.0278764000000002</c:v>
                </c:pt>
                <c:pt idx="95">
                  <c:v>-7.1648469999999991</c:v>
                </c:pt>
                <c:pt idx="96">
                  <c:v>-7.3018175999999988</c:v>
                </c:pt>
                <c:pt idx="97">
                  <c:v>-7.4113718000000004</c:v>
                </c:pt>
                <c:pt idx="98">
                  <c:v>-7.5159411999999994</c:v>
                </c:pt>
                <c:pt idx="99">
                  <c:v>-7.6205106000000002</c:v>
                </c:pt>
                <c:pt idx="100">
                  <c:v>-7.7250800000000002</c:v>
                </c:pt>
              </c:numCache>
            </c:numRef>
          </c:yVal>
          <c:smooth val="1"/>
          <c:extLst>
            <c:ext xmlns:c16="http://schemas.microsoft.com/office/drawing/2014/chart" uri="{C3380CC4-5D6E-409C-BE32-E72D297353CC}">
              <c16:uniqueId val="{00000001-2CB1-4F15-A1A5-548B79B0883D}"/>
            </c:ext>
          </c:extLst>
        </c:ser>
        <c:ser>
          <c:idx val="2"/>
          <c:order val="5"/>
          <c:tx>
            <c:v>Left 2</c:v>
          </c:tx>
          <c:spPr>
            <a:ln w="19050">
              <a:solidFill>
                <a:srgbClr val="FF0000"/>
              </a:solidFill>
            </a:ln>
          </c:spPr>
          <c:marker>
            <c:symbol val="none"/>
          </c:marker>
          <c:xVal>
            <c:numRef>
              <c:f>'Left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2 Kin'!$K$2:$K$102</c:f>
              <c:numCache>
                <c:formatCode>General</c:formatCode>
                <c:ptCount val="101"/>
                <c:pt idx="0">
                  <c:v>-0.16703599999999999</c:v>
                </c:pt>
                <c:pt idx="1">
                  <c:v>-0.20574439999999999</c:v>
                </c:pt>
                <c:pt idx="2">
                  <c:v>-0.2444528</c:v>
                </c:pt>
                <c:pt idx="3">
                  <c:v>-0.28316119999999989</c:v>
                </c:pt>
                <c:pt idx="4">
                  <c:v>-0.32186959999999998</c:v>
                </c:pt>
                <c:pt idx="5">
                  <c:v>-0.36322379999999999</c:v>
                </c:pt>
                <c:pt idx="6">
                  <c:v>-0.40510716000000002</c:v>
                </c:pt>
                <c:pt idx="7">
                  <c:v>-0.44699052</c:v>
                </c:pt>
                <c:pt idx="8">
                  <c:v>-0.48887387999999998</c:v>
                </c:pt>
                <c:pt idx="9">
                  <c:v>-0.53193323999999997</c:v>
                </c:pt>
                <c:pt idx="10">
                  <c:v>-0.5755806</c:v>
                </c:pt>
                <c:pt idx="11">
                  <c:v>-0.61922796000000002</c:v>
                </c:pt>
                <c:pt idx="12">
                  <c:v>-0.66287531999999993</c:v>
                </c:pt>
                <c:pt idx="13">
                  <c:v>-0.70688627999999987</c:v>
                </c:pt>
                <c:pt idx="14">
                  <c:v>-0.75126083999999993</c:v>
                </c:pt>
                <c:pt idx="15">
                  <c:v>-0.79563539999999988</c:v>
                </c:pt>
                <c:pt idx="16">
                  <c:v>-0.84000995999999994</c:v>
                </c:pt>
                <c:pt idx="17">
                  <c:v>-0.88447835999999991</c:v>
                </c:pt>
                <c:pt idx="18">
                  <c:v>-0.92913444000000001</c:v>
                </c:pt>
                <c:pt idx="19">
                  <c:v>-0.97379051999999988</c:v>
                </c:pt>
                <c:pt idx="20">
                  <c:v>-1.0184466000000001</c:v>
                </c:pt>
                <c:pt idx="21">
                  <c:v>-1.0631911999999999</c:v>
                </c:pt>
                <c:pt idx="22">
                  <c:v>-1.1083784000000001</c:v>
                </c:pt>
                <c:pt idx="23">
                  <c:v>-1.1535656000000001</c:v>
                </c:pt>
                <c:pt idx="24">
                  <c:v>-1.1987528000000001</c:v>
                </c:pt>
                <c:pt idx="25">
                  <c:v>-1.24394</c:v>
                </c:pt>
                <c:pt idx="26">
                  <c:v>-1.2906392</c:v>
                </c:pt>
                <c:pt idx="27">
                  <c:v>-1.3373383999999999</c:v>
                </c:pt>
                <c:pt idx="28">
                  <c:v>-1.3840376000000001</c:v>
                </c:pt>
                <c:pt idx="29">
                  <c:v>-1.4307368</c:v>
                </c:pt>
                <c:pt idx="30">
                  <c:v>-1.480008</c:v>
                </c:pt>
                <c:pt idx="31">
                  <c:v>-1.5297936000000001</c:v>
                </c:pt>
                <c:pt idx="32">
                  <c:v>-1.5795792</c:v>
                </c:pt>
                <c:pt idx="33">
                  <c:v>-1.6293648000000001</c:v>
                </c:pt>
                <c:pt idx="34">
                  <c:v>-1.6825648</c:v>
                </c:pt>
                <c:pt idx="35">
                  <c:v>-1.7374719999999999</c:v>
                </c:pt>
                <c:pt idx="36">
                  <c:v>-1.7923792000000001</c:v>
                </c:pt>
                <c:pt idx="37">
                  <c:v>-1.8472864</c:v>
                </c:pt>
                <c:pt idx="38">
                  <c:v>-1.9058428000000001</c:v>
                </c:pt>
                <c:pt idx="39">
                  <c:v>-1.9680484</c:v>
                </c:pt>
                <c:pt idx="40">
                  <c:v>-2.0302539999999998</c:v>
                </c:pt>
                <c:pt idx="41">
                  <c:v>-2.0924596000000002</c:v>
                </c:pt>
                <c:pt idx="42">
                  <c:v>-2.1577988000000001</c:v>
                </c:pt>
                <c:pt idx="43">
                  <c:v>-2.2294052</c:v>
                </c:pt>
                <c:pt idx="44">
                  <c:v>-2.3010115999999998</c:v>
                </c:pt>
                <c:pt idx="45">
                  <c:v>-2.3726180000000001</c:v>
                </c:pt>
                <c:pt idx="46">
                  <c:v>-2.446078</c:v>
                </c:pt>
                <c:pt idx="47">
                  <c:v>-2.5288059999999999</c:v>
                </c:pt>
                <c:pt idx="48">
                  <c:v>-2.6115339999999998</c:v>
                </c:pt>
                <c:pt idx="49">
                  <c:v>-2.6942620000000002</c:v>
                </c:pt>
                <c:pt idx="50">
                  <c:v>-2.7769900000000001</c:v>
                </c:pt>
                <c:pt idx="51">
                  <c:v>-2.8719459999999999</c:v>
                </c:pt>
                <c:pt idx="52">
                  <c:v>-2.9669020000000002</c:v>
                </c:pt>
                <c:pt idx="53">
                  <c:v>-3.061858</c:v>
                </c:pt>
                <c:pt idx="54">
                  <c:v>-3.1568139999999998</c:v>
                </c:pt>
                <c:pt idx="55">
                  <c:v>-3.2621799999999999</c:v>
                </c:pt>
                <c:pt idx="56">
                  <c:v>-3.3696280000000001</c:v>
                </c:pt>
                <c:pt idx="57">
                  <c:v>-3.4770759999999998</c:v>
                </c:pt>
                <c:pt idx="58">
                  <c:v>-3.584524</c:v>
                </c:pt>
                <c:pt idx="59">
                  <c:v>-3.699835999999999</c:v>
                </c:pt>
                <c:pt idx="60">
                  <c:v>-3.81908</c:v>
                </c:pt>
                <c:pt idx="61">
                  <c:v>-3.9383240000000002</c:v>
                </c:pt>
                <c:pt idx="62">
                  <c:v>-4.0575679999999998</c:v>
                </c:pt>
                <c:pt idx="63">
                  <c:v>-4.1818147999999997</c:v>
                </c:pt>
                <c:pt idx="64">
                  <c:v>-4.3110644000000002</c:v>
                </c:pt>
                <c:pt idx="65">
                  <c:v>-4.440313999999999</c:v>
                </c:pt>
                <c:pt idx="66">
                  <c:v>-4.5695636000000004</c:v>
                </c:pt>
                <c:pt idx="67">
                  <c:v>-4.7011811999999997</c:v>
                </c:pt>
                <c:pt idx="68">
                  <c:v>-4.8375347999999994</c:v>
                </c:pt>
                <c:pt idx="69">
                  <c:v>-4.9738883999999999</c:v>
                </c:pt>
                <c:pt idx="70">
                  <c:v>-5.1102420000000004</c:v>
                </c:pt>
                <c:pt idx="71">
                  <c:v>-5.2471200000000007</c:v>
                </c:pt>
                <c:pt idx="72">
                  <c:v>-5.3866199999999997</c:v>
                </c:pt>
                <c:pt idx="73">
                  <c:v>-5.5261199999999988</c:v>
                </c:pt>
                <c:pt idx="74">
                  <c:v>-5.6656200000000014</c:v>
                </c:pt>
                <c:pt idx="75">
                  <c:v>-5.8051199999999996</c:v>
                </c:pt>
                <c:pt idx="76">
                  <c:v>-5.9429375999999987</c:v>
                </c:pt>
                <c:pt idx="77">
                  <c:v>-6.0807551999999996</c:v>
                </c:pt>
                <c:pt idx="78">
                  <c:v>-6.2185727999999996</c:v>
                </c:pt>
                <c:pt idx="79">
                  <c:v>-6.3563904000000004</c:v>
                </c:pt>
                <c:pt idx="80">
                  <c:v>-6.4882960000000001</c:v>
                </c:pt>
                <c:pt idx="81">
                  <c:v>-6.6190191999999994</c:v>
                </c:pt>
                <c:pt idx="82">
                  <c:v>-6.7497423999999988</c:v>
                </c:pt>
                <c:pt idx="83">
                  <c:v>-6.8804656</c:v>
                </c:pt>
                <c:pt idx="84">
                  <c:v>-7.0027647999999996</c:v>
                </c:pt>
                <c:pt idx="85">
                  <c:v>-7.1208520000000011</c:v>
                </c:pt>
                <c:pt idx="86">
                  <c:v>-7.2389391999999999</c:v>
                </c:pt>
                <c:pt idx="87">
                  <c:v>-7.3570263999999996</c:v>
                </c:pt>
                <c:pt idx="88">
                  <c:v>-7.4662264000000009</c:v>
                </c:pt>
                <c:pt idx="89">
                  <c:v>-7.5665392000000002</c:v>
                </c:pt>
                <c:pt idx="90">
                  <c:v>-7.6668520000000004</c:v>
                </c:pt>
                <c:pt idx="91">
                  <c:v>-7.7671648000000006</c:v>
                </c:pt>
                <c:pt idx="92">
                  <c:v>-7.8601599999999996</c:v>
                </c:pt>
                <c:pt idx="93">
                  <c:v>-7.9385199999999987</c:v>
                </c:pt>
                <c:pt idx="94">
                  <c:v>-8.0168800000000005</c:v>
                </c:pt>
                <c:pt idx="95">
                  <c:v>-8.0952399999999987</c:v>
                </c:pt>
                <c:pt idx="96">
                  <c:v>-8.1694859999999991</c:v>
                </c:pt>
                <c:pt idx="97">
                  <c:v>-8.2231620000000003</c:v>
                </c:pt>
                <c:pt idx="98">
                  <c:v>-8.2768379999999997</c:v>
                </c:pt>
                <c:pt idx="99">
                  <c:v>-8.3305140000000009</c:v>
                </c:pt>
                <c:pt idx="100">
                  <c:v>-8.3841900000000003</c:v>
                </c:pt>
              </c:numCache>
            </c:numRef>
          </c:yVal>
          <c:smooth val="1"/>
          <c:extLst>
            <c:ext xmlns:c16="http://schemas.microsoft.com/office/drawing/2014/chart" uri="{C3380CC4-5D6E-409C-BE32-E72D297353CC}">
              <c16:uniqueId val="{00000000-2CB1-4F15-A1A5-548B79B0883D}"/>
            </c:ext>
          </c:extLst>
        </c:ser>
        <c:ser>
          <c:idx val="0"/>
          <c:order val="6"/>
          <c:tx>
            <c:v>Left 1</c:v>
          </c:tx>
          <c:spPr>
            <a:ln w="19050">
              <a:solidFill>
                <a:srgbClr val="FF0000"/>
              </a:solidFill>
            </a:ln>
          </c:spPr>
          <c:marker>
            <c:symbol val="none"/>
          </c:marker>
          <c:xVal>
            <c:numRef>
              <c:f>'Left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1 Kin'!$K$2:$K$102</c:f>
              <c:numCache>
                <c:formatCode>General</c:formatCode>
                <c:ptCount val="101"/>
                <c:pt idx="0">
                  <c:v>0.13389200000000001</c:v>
                </c:pt>
                <c:pt idx="1">
                  <c:v>6.0322750000000008E-2</c:v>
                </c:pt>
                <c:pt idx="2">
                  <c:v>-1.3246499999999989E-2</c:v>
                </c:pt>
                <c:pt idx="3">
                  <c:v>-8.6815749999999997E-2</c:v>
                </c:pt>
                <c:pt idx="4">
                  <c:v>-0.160385</c:v>
                </c:pt>
                <c:pt idx="5">
                  <c:v>-0.25305050000000001</c:v>
                </c:pt>
                <c:pt idx="6">
                  <c:v>-0.34571600000000002</c:v>
                </c:pt>
                <c:pt idx="7">
                  <c:v>-0.43838149999999998</c:v>
                </c:pt>
                <c:pt idx="8">
                  <c:v>-0.53104700000000005</c:v>
                </c:pt>
                <c:pt idx="9">
                  <c:v>-0.63799175000000008</c:v>
                </c:pt>
                <c:pt idx="10">
                  <c:v>-0.74493650000000011</c:v>
                </c:pt>
                <c:pt idx="11">
                  <c:v>-0.85188125000000015</c:v>
                </c:pt>
                <c:pt idx="12">
                  <c:v>-0.95882599999999996</c:v>
                </c:pt>
                <c:pt idx="13">
                  <c:v>-1.0731695000000001</c:v>
                </c:pt>
                <c:pt idx="14">
                  <c:v>-1.187513</c:v>
                </c:pt>
                <c:pt idx="15">
                  <c:v>-1.3018565</c:v>
                </c:pt>
                <c:pt idx="16">
                  <c:v>-1.4161999999999999</c:v>
                </c:pt>
                <c:pt idx="17">
                  <c:v>-1.5293699999999999</c:v>
                </c:pt>
                <c:pt idx="18">
                  <c:v>-1.6425399999999999</c:v>
                </c:pt>
                <c:pt idx="19">
                  <c:v>-1.7557100000000001</c:v>
                </c:pt>
                <c:pt idx="20">
                  <c:v>-1.8688800000000001</c:v>
                </c:pt>
                <c:pt idx="21">
                  <c:v>-1.9714700000000001</c:v>
                </c:pt>
                <c:pt idx="22">
                  <c:v>-2.0740599999999998</c:v>
                </c:pt>
                <c:pt idx="23">
                  <c:v>-2.17665</c:v>
                </c:pt>
                <c:pt idx="24">
                  <c:v>-2.2792400000000002</c:v>
                </c:pt>
                <c:pt idx="25">
                  <c:v>-2.3624174999999998</c:v>
                </c:pt>
                <c:pt idx="26">
                  <c:v>-2.445595</c:v>
                </c:pt>
                <c:pt idx="27">
                  <c:v>-2.528772500000001</c:v>
                </c:pt>
                <c:pt idx="28">
                  <c:v>-2.6119500000000002</c:v>
                </c:pt>
                <c:pt idx="29">
                  <c:v>-2.6692049999999998</c:v>
                </c:pt>
                <c:pt idx="30">
                  <c:v>-2.7264599999999999</c:v>
                </c:pt>
                <c:pt idx="31">
                  <c:v>-2.7837149999999999</c:v>
                </c:pt>
                <c:pt idx="32">
                  <c:v>-2.84097</c:v>
                </c:pt>
                <c:pt idx="33">
                  <c:v>-2.8699175000000001</c:v>
                </c:pt>
                <c:pt idx="34">
                  <c:v>-2.8988649999999998</c:v>
                </c:pt>
                <c:pt idx="35">
                  <c:v>-2.9278124999999999</c:v>
                </c:pt>
                <c:pt idx="36">
                  <c:v>-2.9567600000000001</c:v>
                </c:pt>
                <c:pt idx="37">
                  <c:v>-2.9603874999999999</c:v>
                </c:pt>
                <c:pt idx="38">
                  <c:v>-2.9640149999999998</c:v>
                </c:pt>
                <c:pt idx="39">
                  <c:v>-2.9676425000000002</c:v>
                </c:pt>
                <c:pt idx="40">
                  <c:v>-2.9712700000000001</c:v>
                </c:pt>
                <c:pt idx="41">
                  <c:v>-2.9581599999999999</c:v>
                </c:pt>
                <c:pt idx="42">
                  <c:v>-2.9450500000000002</c:v>
                </c:pt>
                <c:pt idx="43">
                  <c:v>-2.93194</c:v>
                </c:pt>
                <c:pt idx="44">
                  <c:v>-2.9188299999999998</c:v>
                </c:pt>
                <c:pt idx="45">
                  <c:v>-2.9019525000000002</c:v>
                </c:pt>
                <c:pt idx="46">
                  <c:v>-2.8850750000000001</c:v>
                </c:pt>
                <c:pt idx="47">
                  <c:v>-2.8681975</c:v>
                </c:pt>
                <c:pt idx="48">
                  <c:v>-2.8513199999999999</c:v>
                </c:pt>
                <c:pt idx="49">
                  <c:v>-2.8457599999999998</c:v>
                </c:pt>
                <c:pt idx="50">
                  <c:v>-2.8401999999999998</c:v>
                </c:pt>
                <c:pt idx="51">
                  <c:v>-2.8346399999999998</c:v>
                </c:pt>
                <c:pt idx="52">
                  <c:v>-2.8290799999999998</c:v>
                </c:pt>
                <c:pt idx="53">
                  <c:v>-2.8491149999999998</c:v>
                </c:pt>
                <c:pt idx="54">
                  <c:v>-2.8691499999999999</c:v>
                </c:pt>
                <c:pt idx="55">
                  <c:v>-2.8891849999999999</c:v>
                </c:pt>
                <c:pt idx="56">
                  <c:v>-2.9092199999999999</c:v>
                </c:pt>
                <c:pt idx="57">
                  <c:v>-2.9656950000000002</c:v>
                </c:pt>
                <c:pt idx="58">
                  <c:v>-3.02217</c:v>
                </c:pt>
                <c:pt idx="59">
                  <c:v>-3.0786449999999999</c:v>
                </c:pt>
                <c:pt idx="60">
                  <c:v>-3.1351200000000001</c:v>
                </c:pt>
                <c:pt idx="61">
                  <c:v>-3.2334149999999999</c:v>
                </c:pt>
                <c:pt idx="62">
                  <c:v>-3.3317100000000011</c:v>
                </c:pt>
                <c:pt idx="63">
                  <c:v>-3.430005</c:v>
                </c:pt>
                <c:pt idx="64">
                  <c:v>-3.5283000000000002</c:v>
                </c:pt>
                <c:pt idx="65">
                  <c:v>-3.6673650000000002</c:v>
                </c:pt>
                <c:pt idx="66">
                  <c:v>-3.8064300000000011</c:v>
                </c:pt>
                <c:pt idx="67">
                  <c:v>-3.9454950000000002</c:v>
                </c:pt>
                <c:pt idx="68">
                  <c:v>-4.0845599999999997</c:v>
                </c:pt>
                <c:pt idx="69">
                  <c:v>-4.2570550000000011</c:v>
                </c:pt>
                <c:pt idx="70">
                  <c:v>-4.4295499999999999</c:v>
                </c:pt>
                <c:pt idx="71">
                  <c:v>-4.6020450000000013</c:v>
                </c:pt>
                <c:pt idx="72">
                  <c:v>-4.77454</c:v>
                </c:pt>
                <c:pt idx="73">
                  <c:v>-4.9682349999999991</c:v>
                </c:pt>
                <c:pt idx="74">
                  <c:v>-5.1619300000000017</c:v>
                </c:pt>
                <c:pt idx="75">
                  <c:v>-5.3556250000000007</c:v>
                </c:pt>
                <c:pt idx="76">
                  <c:v>-5.5493199999999998</c:v>
                </c:pt>
                <c:pt idx="77">
                  <c:v>-5.749435000000001</c:v>
                </c:pt>
                <c:pt idx="78">
                  <c:v>-5.9495500000000003</c:v>
                </c:pt>
                <c:pt idx="79">
                  <c:v>-6.1496649999999988</c:v>
                </c:pt>
                <c:pt idx="80">
                  <c:v>-6.34978</c:v>
                </c:pt>
                <c:pt idx="81">
                  <c:v>-6.541834999999999</c:v>
                </c:pt>
                <c:pt idx="82">
                  <c:v>-6.7338899999999988</c:v>
                </c:pt>
                <c:pt idx="83">
                  <c:v>-6.9259449999999996</c:v>
                </c:pt>
                <c:pt idx="84">
                  <c:v>-7.1180000000000003</c:v>
                </c:pt>
                <c:pt idx="85">
                  <c:v>-7.2903375000000006</c:v>
                </c:pt>
                <c:pt idx="86">
                  <c:v>-7.4626749999999999</c:v>
                </c:pt>
                <c:pt idx="87">
                  <c:v>-7.6350124999999984</c:v>
                </c:pt>
                <c:pt idx="88">
                  <c:v>-7.8073499999999996</c:v>
                </c:pt>
                <c:pt idx="89">
                  <c:v>-7.9524449999999991</c:v>
                </c:pt>
                <c:pt idx="90">
                  <c:v>-8.0975399999999986</c:v>
                </c:pt>
                <c:pt idx="91">
                  <c:v>-8.2426349999999999</c:v>
                </c:pt>
                <c:pt idx="92">
                  <c:v>-8.3877299999999995</c:v>
                </c:pt>
                <c:pt idx="93">
                  <c:v>-8.502184999999999</c:v>
                </c:pt>
                <c:pt idx="94">
                  <c:v>-8.6166400000000003</c:v>
                </c:pt>
                <c:pt idx="95">
                  <c:v>-8.7310949999999998</c:v>
                </c:pt>
                <c:pt idx="96">
                  <c:v>-8.8455499999999994</c:v>
                </c:pt>
                <c:pt idx="97">
                  <c:v>-8.9289699999999996</c:v>
                </c:pt>
                <c:pt idx="98">
                  <c:v>-9.0123899999999999</c:v>
                </c:pt>
                <c:pt idx="99">
                  <c:v>-9.0958100000000002</c:v>
                </c:pt>
                <c:pt idx="100">
                  <c:v>-9.1792300000000004</c:v>
                </c:pt>
              </c:numCache>
            </c:numRef>
          </c:yVal>
          <c:smooth val="1"/>
          <c:extLst>
            <c:ext xmlns:c16="http://schemas.microsoft.com/office/drawing/2014/chart" uri="{C3380CC4-5D6E-409C-BE32-E72D297353CC}">
              <c16:uniqueId val="{00000000-A30B-4157-9B12-46CC3537BC4F}"/>
            </c:ext>
          </c:extLst>
        </c:ser>
        <c:dLbls>
          <c:showLegendKey val="0"/>
          <c:showVal val="0"/>
          <c:showCatName val="0"/>
          <c:showSerName val="0"/>
          <c:showPercent val="0"/>
          <c:showBubbleSize val="0"/>
        </c:dLbls>
        <c:axId val="89456000"/>
        <c:axId val="89523328"/>
      </c:scatterChart>
      <c:valAx>
        <c:axId val="89456000"/>
        <c:scaling>
          <c:orientation val="minMax"/>
          <c:max val="100"/>
        </c:scaling>
        <c:delete val="0"/>
        <c:axPos val="b"/>
        <c:numFmt formatCode="General" sourceLinked="1"/>
        <c:majorTickMark val="out"/>
        <c:minorTickMark val="none"/>
        <c:tickLblPos val="nextTo"/>
        <c:txPr>
          <a:bodyPr/>
          <a:lstStyle/>
          <a:p>
            <a:pPr>
              <a:defRPr lang="en-US" sz="800"/>
            </a:pPr>
            <a:endParaRPr lang="en-US"/>
          </a:p>
        </c:txPr>
        <c:crossAx val="89523328"/>
        <c:crosses val="autoZero"/>
        <c:crossBetween val="midCat"/>
        <c:majorUnit val="20"/>
      </c:valAx>
      <c:valAx>
        <c:axId val="89523328"/>
        <c:scaling>
          <c:orientation val="minMax"/>
        </c:scaling>
        <c:delete val="0"/>
        <c:axPos val="l"/>
        <c:title>
          <c:tx>
            <c:rich>
              <a:bodyPr rot="-5400000" vert="horz"/>
              <a:lstStyle/>
              <a:p>
                <a:pPr>
                  <a:defRPr lang="en-AU" sz="900"/>
                </a:pPr>
                <a:r>
                  <a:rPr lang="en-US" sz="900"/>
                  <a:t>Angle (degrees)</a:t>
                </a:r>
              </a:p>
            </c:rich>
          </c:tx>
          <c:layout>
            <c:manualLayout>
              <c:xMode val="edge"/>
              <c:yMode val="edge"/>
              <c:x val="6.2355452540091916E-3"/>
              <c:y val="0.31986340162509314"/>
            </c:manualLayout>
          </c:layout>
          <c:overlay val="0"/>
        </c:title>
        <c:numFmt formatCode="0" sourceLinked="0"/>
        <c:majorTickMark val="out"/>
        <c:minorTickMark val="none"/>
        <c:tickLblPos val="nextTo"/>
        <c:txPr>
          <a:bodyPr/>
          <a:lstStyle/>
          <a:p>
            <a:pPr>
              <a:defRPr lang="en-US" sz="800"/>
            </a:pPr>
            <a:endParaRPr lang="en-US"/>
          </a:p>
        </c:txPr>
        <c:crossAx val="89456000"/>
        <c:crosses val="autoZero"/>
        <c:crossBetween val="midCat"/>
        <c:majorUnit val="20"/>
      </c:valAx>
    </c:plotArea>
    <c:plotVisOnly val="1"/>
    <c:dispBlanksAs val="gap"/>
    <c:showDLblsOverMax val="0"/>
  </c:chart>
  <c:printSettings>
    <c:headerFooter/>
    <c:pageMargins b="0.75000000000001421" l="0.70000000000000095" r="0.70000000000000095" t="0.75000000000001421" header="0.3000000000000001" footer="0.3000000000000001"/>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US" sz="1200"/>
            </a:pPr>
            <a:r>
              <a:rPr lang="en-US" sz="1200"/>
              <a:t>Transverse Pelvic Angle</a:t>
            </a:r>
          </a:p>
        </c:rich>
      </c:tx>
      <c:overlay val="0"/>
    </c:title>
    <c:autoTitleDeleted val="0"/>
    <c:plotArea>
      <c:layout>
        <c:manualLayout>
          <c:layoutTarget val="inner"/>
          <c:xMode val="edge"/>
          <c:yMode val="edge"/>
          <c:x val="8.7557926226963553E-2"/>
          <c:y val="4.0692319120487291E-2"/>
          <c:w val="0.8828922191177716"/>
          <c:h val="0.92860000990442237"/>
        </c:manualLayout>
      </c:layout>
      <c:scatterChart>
        <c:scatterStyle val="smoothMarker"/>
        <c:varyColors val="0"/>
        <c:ser>
          <c:idx val="1"/>
          <c:order val="0"/>
          <c:tx>
            <c:v>Normative</c:v>
          </c:tx>
          <c:spPr>
            <a:ln>
              <a:solidFill>
                <a:schemeClr val="tx1"/>
              </a:solidFill>
            </a:ln>
          </c:spPr>
          <c:marker>
            <c:symbol val="none"/>
          </c:marker>
          <c:xVal>
            <c:numRef>
              <c:f>Normative!$A$2:$A$102</c:f>
              <c:numCache>
                <c:formatCode>General</c:formatCode>
                <c:ptCount val="101"/>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numCache>
            </c:numRef>
          </c:xVal>
          <c:yVal>
            <c:numRef>
              <c:f>Normative!$L$2:$L$102</c:f>
              <c:numCache>
                <c:formatCode>General</c:formatCode>
                <c:ptCount val="101"/>
                <c:pt idx="0">
                  <c:v>-9.9292782066666678</c:v>
                </c:pt>
                <c:pt idx="1">
                  <c:v>-9.9292782066666678</c:v>
                </c:pt>
                <c:pt idx="2">
                  <c:v>-10.371751296666666</c:v>
                </c:pt>
                <c:pt idx="3">
                  <c:v>-10.484731196666667</c:v>
                </c:pt>
                <c:pt idx="4">
                  <c:v>-10.936840813333331</c:v>
                </c:pt>
                <c:pt idx="5">
                  <c:v>-11.079657193333334</c:v>
                </c:pt>
                <c:pt idx="6">
                  <c:v>-11.637870563333333</c:v>
                </c:pt>
                <c:pt idx="7">
                  <c:v>-11.858254713333332</c:v>
                </c:pt>
                <c:pt idx="8">
                  <c:v>-12.323151856666668</c:v>
                </c:pt>
                <c:pt idx="9">
                  <c:v>-12.682040260000001</c:v>
                </c:pt>
                <c:pt idx="10">
                  <c:v>-13.120667000000001</c:v>
                </c:pt>
                <c:pt idx="11">
                  <c:v>-13.473213333333334</c:v>
                </c:pt>
                <c:pt idx="12">
                  <c:v>-13.871162023333332</c:v>
                </c:pt>
                <c:pt idx="13">
                  <c:v>-14.38356214</c:v>
                </c:pt>
                <c:pt idx="14">
                  <c:v>-14.788666763333335</c:v>
                </c:pt>
                <c:pt idx="15">
                  <c:v>-15.141780576666667</c:v>
                </c:pt>
                <c:pt idx="16">
                  <c:v>-15.510482943333333</c:v>
                </c:pt>
                <c:pt idx="17">
                  <c:v>-15.813058676666666</c:v>
                </c:pt>
                <c:pt idx="18">
                  <c:v>-16.293851746666668</c:v>
                </c:pt>
                <c:pt idx="19">
                  <c:v>-16.488012349999998</c:v>
                </c:pt>
                <c:pt idx="20">
                  <c:v>-16.733454073333331</c:v>
                </c:pt>
                <c:pt idx="21">
                  <c:v>-16.865663103333333</c:v>
                </c:pt>
                <c:pt idx="22">
                  <c:v>-17.012728669999998</c:v>
                </c:pt>
                <c:pt idx="23">
                  <c:v>-17.062793679999999</c:v>
                </c:pt>
                <c:pt idx="24">
                  <c:v>-17.092520226666664</c:v>
                </c:pt>
                <c:pt idx="25">
                  <c:v>-17.010279089999997</c:v>
                </c:pt>
                <c:pt idx="26">
                  <c:v>-16.814329790000002</c:v>
                </c:pt>
                <c:pt idx="27">
                  <c:v>-16.616423040000001</c:v>
                </c:pt>
                <c:pt idx="28">
                  <c:v>-16.408986063333334</c:v>
                </c:pt>
                <c:pt idx="29">
                  <c:v>-16.032445306666666</c:v>
                </c:pt>
                <c:pt idx="30">
                  <c:v>-15.681829609999999</c:v>
                </c:pt>
                <c:pt idx="31">
                  <c:v>-15.218395613333334</c:v>
                </c:pt>
                <c:pt idx="32">
                  <c:v>-14.815377306666667</c:v>
                </c:pt>
                <c:pt idx="33">
                  <c:v>-14.007462416666666</c:v>
                </c:pt>
                <c:pt idx="34">
                  <c:v>-13.50883288</c:v>
                </c:pt>
                <c:pt idx="35">
                  <c:v>-12.826872646666667</c:v>
                </c:pt>
                <c:pt idx="36">
                  <c:v>-12.322396746666666</c:v>
                </c:pt>
                <c:pt idx="37">
                  <c:v>-11.55802892</c:v>
                </c:pt>
                <c:pt idx="38">
                  <c:v>-10.78440631</c:v>
                </c:pt>
                <c:pt idx="39">
                  <c:v>-10.195988270000001</c:v>
                </c:pt>
                <c:pt idx="40">
                  <c:v>-9.5344945700000014</c:v>
                </c:pt>
                <c:pt idx="41">
                  <c:v>-8.9144793866666667</c:v>
                </c:pt>
                <c:pt idx="42">
                  <c:v>-8.2375784900000006</c:v>
                </c:pt>
                <c:pt idx="43">
                  <c:v>-7.5077816100000003</c:v>
                </c:pt>
                <c:pt idx="44">
                  <c:v>-7.1154609433333338</c:v>
                </c:pt>
                <c:pt idx="45">
                  <c:v>-6.2589723066666663</c:v>
                </c:pt>
                <c:pt idx="46">
                  <c:v>-6.0189465066666665</c:v>
                </c:pt>
                <c:pt idx="47">
                  <c:v>-5.3137903466666669</c:v>
                </c:pt>
                <c:pt idx="48">
                  <c:v>-5.1493231466666671</c:v>
                </c:pt>
                <c:pt idx="49">
                  <c:v>-4.518621256666667</c:v>
                </c:pt>
                <c:pt idx="50">
                  <c:v>-3.8753486633333329</c:v>
                </c:pt>
              </c:numCache>
            </c:numRef>
          </c:yVal>
          <c:smooth val="1"/>
          <c:extLst>
            <c:ext xmlns:c16="http://schemas.microsoft.com/office/drawing/2014/chart" uri="{C3380CC4-5D6E-409C-BE32-E72D297353CC}">
              <c16:uniqueId val="{00000000-EDDB-4F67-B946-C8910B587627}"/>
            </c:ext>
          </c:extLst>
        </c:ser>
        <c:ser>
          <c:idx val="6"/>
          <c:order val="1"/>
          <c:tx>
            <c:v>Right 3</c:v>
          </c:tx>
          <c:spPr>
            <a:ln w="19050">
              <a:solidFill>
                <a:srgbClr val="00B050"/>
              </a:solidFill>
            </a:ln>
          </c:spPr>
          <c:marker>
            <c:symbol val="none"/>
          </c:marker>
          <c:xVal>
            <c:numRef>
              <c:f>'Right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3 Kin'!$L$2:$L$102</c:f>
              <c:numCache>
                <c:formatCode>General</c:formatCode>
                <c:ptCount val="101"/>
                <c:pt idx="0">
                  <c:v>-0.282302</c:v>
                </c:pt>
                <c:pt idx="1">
                  <c:v>-0.44191340000000001</c:v>
                </c:pt>
                <c:pt idx="2">
                  <c:v>-0.60152479999999997</c:v>
                </c:pt>
                <c:pt idx="3">
                  <c:v>-0.76113619999999993</c:v>
                </c:pt>
                <c:pt idx="4">
                  <c:v>-0.92499392000000003</c:v>
                </c:pt>
                <c:pt idx="5">
                  <c:v>-1.1122064</c:v>
                </c:pt>
                <c:pt idx="6">
                  <c:v>-1.2994188799999999</c:v>
                </c:pt>
                <c:pt idx="7">
                  <c:v>-1.4866313600000001</c:v>
                </c:pt>
                <c:pt idx="8">
                  <c:v>-1.6812895999999999</c:v>
                </c:pt>
                <c:pt idx="9">
                  <c:v>-1.8927008000000001</c:v>
                </c:pt>
                <c:pt idx="10">
                  <c:v>-2.1041120000000002</c:v>
                </c:pt>
                <c:pt idx="11">
                  <c:v>-2.3155231999999999</c:v>
                </c:pt>
                <c:pt idx="12">
                  <c:v>-2.5356320000000001</c:v>
                </c:pt>
                <c:pt idx="13">
                  <c:v>-2.7658879999999999</c:v>
                </c:pt>
                <c:pt idx="14">
                  <c:v>-2.9961440000000001</c:v>
                </c:pt>
                <c:pt idx="15">
                  <c:v>-3.2263999999999999</c:v>
                </c:pt>
                <c:pt idx="16">
                  <c:v>-3.4638464</c:v>
                </c:pt>
                <c:pt idx="17">
                  <c:v>-3.7057867999999998</c:v>
                </c:pt>
                <c:pt idx="18">
                  <c:v>-3.947727200000001</c:v>
                </c:pt>
                <c:pt idx="19">
                  <c:v>-4.1896675999999999</c:v>
                </c:pt>
                <c:pt idx="20">
                  <c:v>-4.4338879999999996</c:v>
                </c:pt>
                <c:pt idx="21">
                  <c:v>-4.6787923999999999</c:v>
                </c:pt>
                <c:pt idx="22">
                  <c:v>-4.9236968000000001</c:v>
                </c:pt>
                <c:pt idx="23">
                  <c:v>-5.1686011999999986</c:v>
                </c:pt>
                <c:pt idx="24">
                  <c:v>-5.4070135999999991</c:v>
                </c:pt>
                <c:pt idx="25">
                  <c:v>-5.6448850000000004</c:v>
                </c:pt>
                <c:pt idx="26">
                  <c:v>-5.8827563999999999</c:v>
                </c:pt>
                <c:pt idx="27">
                  <c:v>-6.1192642000000008</c:v>
                </c:pt>
                <c:pt idx="28">
                  <c:v>-6.3394088000000002</c:v>
                </c:pt>
                <c:pt idx="29">
                  <c:v>-6.5595534000000004</c:v>
                </c:pt>
                <c:pt idx="30">
                  <c:v>-6.7796980000000007</c:v>
                </c:pt>
                <c:pt idx="31">
                  <c:v>-6.9932516000000007</c:v>
                </c:pt>
                <c:pt idx="32">
                  <c:v>-7.1848352000000002</c:v>
                </c:pt>
                <c:pt idx="33">
                  <c:v>-7.3764188000000006</c:v>
                </c:pt>
                <c:pt idx="34">
                  <c:v>-7.5680024000000001</c:v>
                </c:pt>
                <c:pt idx="35">
                  <c:v>-7.7446640000000002</c:v>
                </c:pt>
                <c:pt idx="36">
                  <c:v>-7.8974504000000012</c:v>
                </c:pt>
                <c:pt idx="37">
                  <c:v>-8.0502368000000022</c:v>
                </c:pt>
                <c:pt idx="38">
                  <c:v>-8.2030232000000005</c:v>
                </c:pt>
                <c:pt idx="39">
                  <c:v>-8.3301406</c:v>
                </c:pt>
                <c:pt idx="40">
                  <c:v>-8.4352560000000008</c:v>
                </c:pt>
                <c:pt idx="41">
                  <c:v>-8.5403713999999997</c:v>
                </c:pt>
                <c:pt idx="42">
                  <c:v>-8.6454868000000005</c:v>
                </c:pt>
                <c:pt idx="43">
                  <c:v>-8.7129066000000002</c:v>
                </c:pt>
                <c:pt idx="44">
                  <c:v>-8.7635728000000004</c:v>
                </c:pt>
                <c:pt idx="45">
                  <c:v>-8.8142390000000006</c:v>
                </c:pt>
                <c:pt idx="46">
                  <c:v>-8.8649052000000008</c:v>
                </c:pt>
                <c:pt idx="47">
                  <c:v>-8.8660251999999993</c:v>
                </c:pt>
                <c:pt idx="48">
                  <c:v>-8.8581368000000005</c:v>
                </c:pt>
                <c:pt idx="49">
                  <c:v>-8.8502483999999999</c:v>
                </c:pt>
                <c:pt idx="50">
                  <c:v>-8.8423599999999993</c:v>
                </c:pt>
                <c:pt idx="51">
                  <c:v>-8.774851</c:v>
                </c:pt>
                <c:pt idx="52">
                  <c:v>-8.7073420000000006</c:v>
                </c:pt>
                <c:pt idx="53">
                  <c:v>-8.6398329999999994</c:v>
                </c:pt>
                <c:pt idx="54">
                  <c:v>-8.5634516000000005</c:v>
                </c:pt>
                <c:pt idx="55">
                  <c:v>-8.4382719999999996</c:v>
                </c:pt>
                <c:pt idx="56">
                  <c:v>-8.3130924000000004</c:v>
                </c:pt>
                <c:pt idx="57">
                  <c:v>-8.1879127999999994</c:v>
                </c:pt>
                <c:pt idx="58">
                  <c:v>-8.046487599999999</c:v>
                </c:pt>
                <c:pt idx="59">
                  <c:v>-7.8685098</c:v>
                </c:pt>
                <c:pt idx="60">
                  <c:v>-7.6905319999999993</c:v>
                </c:pt>
                <c:pt idx="61">
                  <c:v>-7.5125541999999994</c:v>
                </c:pt>
                <c:pt idx="62">
                  <c:v>-7.3135607999999994</c:v>
                </c:pt>
                <c:pt idx="63">
                  <c:v>-7.0900491999999993</c:v>
                </c:pt>
                <c:pt idx="64">
                  <c:v>-6.8665375999999991</c:v>
                </c:pt>
                <c:pt idx="65">
                  <c:v>-6.6430259999999999</c:v>
                </c:pt>
                <c:pt idx="66">
                  <c:v>-6.3970487999999976</c:v>
                </c:pt>
                <c:pt idx="67">
                  <c:v>-6.1370305999999992</c:v>
                </c:pt>
                <c:pt idx="68">
                  <c:v>-5.8770123999999999</c:v>
                </c:pt>
                <c:pt idx="69">
                  <c:v>-5.6169941999999979</c:v>
                </c:pt>
                <c:pt idx="70">
                  <c:v>-5.3366499999999988</c:v>
                </c:pt>
                <c:pt idx="71">
                  <c:v>-5.050207999999996</c:v>
                </c:pt>
                <c:pt idx="72">
                  <c:v>-4.7637659999999977</c:v>
                </c:pt>
                <c:pt idx="73">
                  <c:v>-4.4773239999999994</c:v>
                </c:pt>
                <c:pt idx="74">
                  <c:v>-4.1760547999999957</c:v>
                </c:pt>
                <c:pt idx="75">
                  <c:v>-3.8735499999999981</c:v>
                </c:pt>
                <c:pt idx="76">
                  <c:v>-3.571045199999999</c:v>
                </c:pt>
                <c:pt idx="77">
                  <c:v>-3.2680683999999962</c:v>
                </c:pt>
                <c:pt idx="78">
                  <c:v>-2.9594275999999979</c:v>
                </c:pt>
                <c:pt idx="79">
                  <c:v>-2.6507867999999992</c:v>
                </c:pt>
                <c:pt idx="80">
                  <c:v>-2.342145999999997</c:v>
                </c:pt>
                <c:pt idx="81">
                  <c:v>-2.034158059999998</c:v>
                </c:pt>
                <c:pt idx="82">
                  <c:v>-1.72834632</c:v>
                </c:pt>
                <c:pt idx="83">
                  <c:v>-1.4225345799999971</c:v>
                </c:pt>
                <c:pt idx="84">
                  <c:v>-1.116722839999998</c:v>
                </c:pt>
                <c:pt idx="85">
                  <c:v>-0.81494889999999531</c:v>
                </c:pt>
                <c:pt idx="86">
                  <c:v>-0.51963543999999673</c:v>
                </c:pt>
                <c:pt idx="87">
                  <c:v>-0.22432197999999831</c:v>
                </c:pt>
                <c:pt idx="88">
                  <c:v>7.0991480000004548E-2</c:v>
                </c:pt>
                <c:pt idx="89">
                  <c:v>0.35732100000000239</c:v>
                </c:pt>
                <c:pt idx="90">
                  <c:v>0.63595000000000002</c:v>
                </c:pt>
                <c:pt idx="91">
                  <c:v>0.91457900000000159</c:v>
                </c:pt>
                <c:pt idx="92">
                  <c:v>1.1932079999999989</c:v>
                </c:pt>
                <c:pt idx="93">
                  <c:v>1.4569977999999979</c:v>
                </c:pt>
                <c:pt idx="94">
                  <c:v>1.7141923999999999</c:v>
                </c:pt>
                <c:pt idx="95">
                  <c:v>1.9713869999999989</c:v>
                </c:pt>
                <c:pt idx="96">
                  <c:v>2.2285815999999969</c:v>
                </c:pt>
                <c:pt idx="97">
                  <c:v>2.4648189999999999</c:v>
                </c:pt>
                <c:pt idx="98">
                  <c:v>2.6972459999999989</c:v>
                </c:pt>
                <c:pt idx="99">
                  <c:v>2.9296730000000011</c:v>
                </c:pt>
                <c:pt idx="100">
                  <c:v>3.1621000000000001</c:v>
                </c:pt>
              </c:numCache>
            </c:numRef>
          </c:yVal>
          <c:smooth val="1"/>
          <c:extLst>
            <c:ext xmlns:c16="http://schemas.microsoft.com/office/drawing/2014/chart" uri="{C3380CC4-5D6E-409C-BE32-E72D297353CC}">
              <c16:uniqueId val="{00000004-CE0A-423A-8DF9-EC404E027CCC}"/>
            </c:ext>
          </c:extLst>
        </c:ser>
        <c:ser>
          <c:idx val="5"/>
          <c:order val="2"/>
          <c:tx>
            <c:v>Right 2</c:v>
          </c:tx>
          <c:spPr>
            <a:ln w="19050">
              <a:solidFill>
                <a:srgbClr val="00B050"/>
              </a:solidFill>
            </a:ln>
          </c:spPr>
          <c:marker>
            <c:symbol val="none"/>
          </c:marker>
          <c:xVal>
            <c:numRef>
              <c:f>'Right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2 Kin'!$L$2:$L$102</c:f>
              <c:numCache>
                <c:formatCode>General</c:formatCode>
                <c:ptCount val="101"/>
                <c:pt idx="0">
                  <c:v>-1.07792</c:v>
                </c:pt>
                <c:pt idx="1">
                  <c:v>-1.2801905</c:v>
                </c:pt>
                <c:pt idx="2">
                  <c:v>-1.482461</c:v>
                </c:pt>
                <c:pt idx="3">
                  <c:v>-1.6847315</c:v>
                </c:pt>
                <c:pt idx="4">
                  <c:v>-1.8915812000000001</c:v>
                </c:pt>
                <c:pt idx="5">
                  <c:v>-2.1093065000000002</c:v>
                </c:pt>
                <c:pt idx="6">
                  <c:v>-2.3270317999999999</c:v>
                </c:pt>
                <c:pt idx="7">
                  <c:v>-2.5447571</c:v>
                </c:pt>
                <c:pt idx="8">
                  <c:v>-2.7685911999999999</c:v>
                </c:pt>
                <c:pt idx="9">
                  <c:v>-2.9966251000000002</c:v>
                </c:pt>
                <c:pt idx="10">
                  <c:v>-3.2246589999999999</c:v>
                </c:pt>
                <c:pt idx="11">
                  <c:v>-3.4526929000000002</c:v>
                </c:pt>
                <c:pt idx="12">
                  <c:v>-3.6847492000000002</c:v>
                </c:pt>
                <c:pt idx="13">
                  <c:v>-3.9173083000000002</c:v>
                </c:pt>
                <c:pt idx="14">
                  <c:v>-4.1498673999999998</c:v>
                </c:pt>
                <c:pt idx="15">
                  <c:v>-4.3821145000000001</c:v>
                </c:pt>
                <c:pt idx="16">
                  <c:v>-4.6129888000000001</c:v>
                </c:pt>
                <c:pt idx="17">
                  <c:v>-4.8438631000000001</c:v>
                </c:pt>
                <c:pt idx="18">
                  <c:v>-5.0747374000000001</c:v>
                </c:pt>
                <c:pt idx="19">
                  <c:v>-5.3017351000000001</c:v>
                </c:pt>
                <c:pt idx="20">
                  <c:v>-5.5245580000000007</c:v>
                </c:pt>
                <c:pt idx="21">
                  <c:v>-5.7473808999999996</c:v>
                </c:pt>
                <c:pt idx="22">
                  <c:v>-5.9702038000000002</c:v>
                </c:pt>
                <c:pt idx="23">
                  <c:v>-6.1819156</c:v>
                </c:pt>
                <c:pt idx="24">
                  <c:v>-6.3904528000000003</c:v>
                </c:pt>
                <c:pt idx="25">
                  <c:v>-6.5989900000000006</c:v>
                </c:pt>
                <c:pt idx="26">
                  <c:v>-6.8060330000000002</c:v>
                </c:pt>
                <c:pt idx="27">
                  <c:v>-6.9943985000000009</c:v>
                </c:pt>
                <c:pt idx="28">
                  <c:v>-7.1827640000000006</c:v>
                </c:pt>
                <c:pt idx="29">
                  <c:v>-7.3711295000000003</c:v>
                </c:pt>
                <c:pt idx="30">
                  <c:v>-7.5500530000000001</c:v>
                </c:pt>
                <c:pt idx="31">
                  <c:v>-7.7129250999999996</c:v>
                </c:pt>
                <c:pt idx="32">
                  <c:v>-7.8757972000000001</c:v>
                </c:pt>
                <c:pt idx="33">
                  <c:v>-8.0386693000000005</c:v>
                </c:pt>
                <c:pt idx="34">
                  <c:v>-8.1815343999999985</c:v>
                </c:pt>
                <c:pt idx="35">
                  <c:v>-8.3143960000000003</c:v>
                </c:pt>
                <c:pt idx="36">
                  <c:v>-8.4472576000000004</c:v>
                </c:pt>
                <c:pt idx="37">
                  <c:v>-8.5801192000000004</c:v>
                </c:pt>
                <c:pt idx="38">
                  <c:v>-8.6805172000000006</c:v>
                </c:pt>
                <c:pt idx="39">
                  <c:v>-8.7796666000000005</c:v>
                </c:pt>
                <c:pt idx="40">
                  <c:v>-8.8788160000000005</c:v>
                </c:pt>
                <c:pt idx="41">
                  <c:v>-8.9685196000000005</c:v>
                </c:pt>
                <c:pt idx="42">
                  <c:v>-9.0312352000000011</c:v>
                </c:pt>
                <c:pt idx="43">
                  <c:v>-9.0939508</c:v>
                </c:pt>
                <c:pt idx="44">
                  <c:v>-9.1566664000000006</c:v>
                </c:pt>
                <c:pt idx="45">
                  <c:v>-9.1981629999999992</c:v>
                </c:pt>
                <c:pt idx="46">
                  <c:v>-9.2226844000000003</c:v>
                </c:pt>
                <c:pt idx="47">
                  <c:v>-9.2472057999999997</c:v>
                </c:pt>
                <c:pt idx="48">
                  <c:v>-9.2717271999999991</c:v>
                </c:pt>
                <c:pt idx="49">
                  <c:v>-9.2629538</c:v>
                </c:pt>
                <c:pt idx="50">
                  <c:v>-9.2483899999999988</c:v>
                </c:pt>
                <c:pt idx="51">
                  <c:v>-9.2338261999999993</c:v>
                </c:pt>
                <c:pt idx="52">
                  <c:v>-9.2134771999999998</c:v>
                </c:pt>
                <c:pt idx="53">
                  <c:v>-9.1598632999999996</c:v>
                </c:pt>
                <c:pt idx="54">
                  <c:v>-9.1062493999999994</c:v>
                </c:pt>
                <c:pt idx="55">
                  <c:v>-9.0526354999999992</c:v>
                </c:pt>
                <c:pt idx="56">
                  <c:v>-8.9819984000000002</c:v>
                </c:pt>
                <c:pt idx="57">
                  <c:v>-8.8900822999999995</c:v>
                </c:pt>
                <c:pt idx="58">
                  <c:v>-8.7981662000000007</c:v>
                </c:pt>
                <c:pt idx="59">
                  <c:v>-8.7062501000000001</c:v>
                </c:pt>
                <c:pt idx="60">
                  <c:v>-8.587060000000001</c:v>
                </c:pt>
                <c:pt idx="61">
                  <c:v>-8.4583239999999993</c:v>
                </c:pt>
                <c:pt idx="62">
                  <c:v>-8.3295879999999993</c:v>
                </c:pt>
                <c:pt idx="63">
                  <c:v>-8.1995658999999996</c:v>
                </c:pt>
                <c:pt idx="64">
                  <c:v>-8.0361051999999997</c:v>
                </c:pt>
                <c:pt idx="65">
                  <c:v>-7.8726444999999998</c:v>
                </c:pt>
                <c:pt idx="66">
                  <c:v>-7.709183799999999</c:v>
                </c:pt>
                <c:pt idx="67">
                  <c:v>-7.5350625999999998</c:v>
                </c:pt>
                <c:pt idx="68">
                  <c:v>-7.3396204000000003</c:v>
                </c:pt>
                <c:pt idx="69">
                  <c:v>-7.1441781999999989</c:v>
                </c:pt>
                <c:pt idx="70">
                  <c:v>-6.9487359999999994</c:v>
                </c:pt>
                <c:pt idx="71">
                  <c:v>-6.7352108999999967</c:v>
                </c:pt>
                <c:pt idx="72">
                  <c:v>-6.5110487999999984</c:v>
                </c:pt>
                <c:pt idx="73">
                  <c:v>-6.2868867000000002</c:v>
                </c:pt>
                <c:pt idx="74">
                  <c:v>-6.0627245999999966</c:v>
                </c:pt>
                <c:pt idx="75">
                  <c:v>-5.8156199999999991</c:v>
                </c:pt>
                <c:pt idx="76">
                  <c:v>-5.5666800000000007</c:v>
                </c:pt>
                <c:pt idx="77">
                  <c:v>-5.3177399999999988</c:v>
                </c:pt>
                <c:pt idx="78">
                  <c:v>-5.0643023999999999</c:v>
                </c:pt>
                <c:pt idx="79">
                  <c:v>-4.7951232000000008</c:v>
                </c:pt>
                <c:pt idx="80">
                  <c:v>-4.5259439999999973</c:v>
                </c:pt>
                <c:pt idx="81">
                  <c:v>-4.2567647999999982</c:v>
                </c:pt>
                <c:pt idx="82">
                  <c:v>-3.979760999999999</c:v>
                </c:pt>
                <c:pt idx="83">
                  <c:v>-3.695491499999997</c:v>
                </c:pt>
                <c:pt idx="84">
                  <c:v>-3.4112219999999991</c:v>
                </c:pt>
                <c:pt idx="85">
                  <c:v>-3.1269524999999971</c:v>
                </c:pt>
                <c:pt idx="86">
                  <c:v>-2.835040199999999</c:v>
                </c:pt>
                <c:pt idx="87">
                  <c:v>-2.541390900000001</c:v>
                </c:pt>
                <c:pt idx="88">
                  <c:v>-2.247741599999999</c:v>
                </c:pt>
                <c:pt idx="89">
                  <c:v>-1.9537255499999999</c:v>
                </c:pt>
                <c:pt idx="90">
                  <c:v>-1.6567755000000011</c:v>
                </c:pt>
                <c:pt idx="91">
                  <c:v>-1.359825449999998</c:v>
                </c:pt>
                <c:pt idx="92">
                  <c:v>-1.062875399999998</c:v>
                </c:pt>
                <c:pt idx="93">
                  <c:v>-0.76710080999999941</c:v>
                </c:pt>
                <c:pt idx="94">
                  <c:v>-0.47303597999999708</c:v>
                </c:pt>
                <c:pt idx="95">
                  <c:v>-0.178971149999999</c:v>
                </c:pt>
                <c:pt idx="96">
                  <c:v>0.1150936799999991</c:v>
                </c:pt>
                <c:pt idx="97">
                  <c:v>0.40292784000000142</c:v>
                </c:pt>
                <c:pt idx="98">
                  <c:v>0.68813855999999962</c:v>
                </c:pt>
                <c:pt idx="99">
                  <c:v>0.97334928000000176</c:v>
                </c:pt>
                <c:pt idx="100">
                  <c:v>1.2585599999999999</c:v>
                </c:pt>
              </c:numCache>
            </c:numRef>
          </c:yVal>
          <c:smooth val="1"/>
          <c:extLst>
            <c:ext xmlns:c16="http://schemas.microsoft.com/office/drawing/2014/chart" uri="{C3380CC4-5D6E-409C-BE32-E72D297353CC}">
              <c16:uniqueId val="{00000003-CE0A-423A-8DF9-EC404E027CCC}"/>
            </c:ext>
          </c:extLst>
        </c:ser>
        <c:ser>
          <c:idx val="4"/>
          <c:order val="3"/>
          <c:tx>
            <c:v>Right 1</c:v>
          </c:tx>
          <c:spPr>
            <a:ln w="19050">
              <a:solidFill>
                <a:srgbClr val="00B050"/>
              </a:solidFill>
            </a:ln>
          </c:spPr>
          <c:marker>
            <c:symbol val="none"/>
          </c:marker>
          <c:xVal>
            <c:numRef>
              <c:f>'Right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1 Kin'!$L$2:$L$102</c:f>
              <c:numCache>
                <c:formatCode>General</c:formatCode>
                <c:ptCount val="101"/>
                <c:pt idx="0">
                  <c:v>-1.69255</c:v>
                </c:pt>
                <c:pt idx="1">
                  <c:v>-1.8509422</c:v>
                </c:pt>
                <c:pt idx="2">
                  <c:v>-2.0093344000000002</c:v>
                </c:pt>
                <c:pt idx="3">
                  <c:v>-2.1677265999999999</c:v>
                </c:pt>
                <c:pt idx="4">
                  <c:v>-2.3438564</c:v>
                </c:pt>
                <c:pt idx="5">
                  <c:v>-2.5343979999999999</c:v>
                </c:pt>
                <c:pt idx="6">
                  <c:v>-2.7249395999999999</c:v>
                </c:pt>
                <c:pt idx="7">
                  <c:v>-2.9184730999999999</c:v>
                </c:pt>
                <c:pt idx="8">
                  <c:v>-3.1379364000000001</c:v>
                </c:pt>
                <c:pt idx="9">
                  <c:v>-3.3573997000000002</c:v>
                </c:pt>
                <c:pt idx="10">
                  <c:v>-3.5768629999999999</c:v>
                </c:pt>
                <c:pt idx="11">
                  <c:v>-3.8119386</c:v>
                </c:pt>
                <c:pt idx="12">
                  <c:v>-4.0552311999999997</c:v>
                </c:pt>
                <c:pt idx="13">
                  <c:v>-4.2985237999999999</c:v>
                </c:pt>
                <c:pt idx="14">
                  <c:v>-4.545312</c:v>
                </c:pt>
                <c:pt idx="15">
                  <c:v>-4.8054999999999994</c:v>
                </c:pt>
                <c:pt idx="16">
                  <c:v>-5.0656879999999997</c:v>
                </c:pt>
                <c:pt idx="17">
                  <c:v>-5.3258759999999992</c:v>
                </c:pt>
                <c:pt idx="18">
                  <c:v>-5.5923406</c:v>
                </c:pt>
                <c:pt idx="19">
                  <c:v>-5.8608022999999996</c:v>
                </c:pt>
                <c:pt idx="20">
                  <c:v>-6.129264</c:v>
                </c:pt>
                <c:pt idx="21">
                  <c:v>-6.3972027999999996</c:v>
                </c:pt>
                <c:pt idx="22">
                  <c:v>-6.6639796000000002</c:v>
                </c:pt>
                <c:pt idx="23">
                  <c:v>-6.9307563999999999</c:v>
                </c:pt>
                <c:pt idx="24">
                  <c:v>-7.1975332000000014</c:v>
                </c:pt>
                <c:pt idx="25">
                  <c:v>-7.4535</c:v>
                </c:pt>
                <c:pt idx="26">
                  <c:v>-7.7077372000000004</c:v>
                </c:pt>
                <c:pt idx="27">
                  <c:v>-7.9619744000000008</c:v>
                </c:pt>
                <c:pt idx="28">
                  <c:v>-8.2064412000000004</c:v>
                </c:pt>
                <c:pt idx="29">
                  <c:v>-8.4370665999999996</c:v>
                </c:pt>
                <c:pt idx="30">
                  <c:v>-8.6676919999999988</c:v>
                </c:pt>
                <c:pt idx="31">
                  <c:v>-8.8983173999999998</c:v>
                </c:pt>
                <c:pt idx="32">
                  <c:v>-9.0959223999999992</c:v>
                </c:pt>
                <c:pt idx="33">
                  <c:v>-9.2923480999999999</c:v>
                </c:pt>
                <c:pt idx="34">
                  <c:v>-9.4887737999999988</c:v>
                </c:pt>
                <c:pt idx="35">
                  <c:v>-9.6626349999999999</c:v>
                </c:pt>
                <c:pt idx="36">
                  <c:v>-9.815436</c:v>
                </c:pt>
                <c:pt idx="37">
                  <c:v>-9.9682370000000002</c:v>
                </c:pt>
                <c:pt idx="38">
                  <c:v>-10.117514</c:v>
                </c:pt>
                <c:pt idx="39">
                  <c:v>-10.219217</c:v>
                </c:pt>
                <c:pt idx="40">
                  <c:v>-10.320919999999999</c:v>
                </c:pt>
                <c:pt idx="41">
                  <c:v>-10.422623</c:v>
                </c:pt>
                <c:pt idx="42">
                  <c:v>-10.489424</c:v>
                </c:pt>
                <c:pt idx="43">
                  <c:v>-10.534896</c:v>
                </c:pt>
                <c:pt idx="44">
                  <c:v>-10.580368</c:v>
                </c:pt>
                <c:pt idx="45">
                  <c:v>-10.615765</c:v>
                </c:pt>
                <c:pt idx="46">
                  <c:v>-10.602802000000001</c:v>
                </c:pt>
                <c:pt idx="47">
                  <c:v>-10.589839</c:v>
                </c:pt>
                <c:pt idx="48">
                  <c:v>-10.576876</c:v>
                </c:pt>
                <c:pt idx="49">
                  <c:v>-10.522144000000001</c:v>
                </c:pt>
                <c:pt idx="50">
                  <c:v>-10.451499999999999</c:v>
                </c:pt>
                <c:pt idx="51">
                  <c:v>-10.380856</c:v>
                </c:pt>
                <c:pt idx="52">
                  <c:v>-10.2953168</c:v>
                </c:pt>
                <c:pt idx="53">
                  <c:v>-10.170677700000001</c:v>
                </c:pt>
                <c:pt idx="54">
                  <c:v>-10.046038599999999</c:v>
                </c:pt>
                <c:pt idx="55">
                  <c:v>-9.9213994999999997</c:v>
                </c:pt>
                <c:pt idx="56">
                  <c:v>-9.7573284000000005</c:v>
                </c:pt>
                <c:pt idx="57">
                  <c:v>-9.5850423000000013</c:v>
                </c:pt>
                <c:pt idx="58">
                  <c:v>-9.4127562000000005</c:v>
                </c:pt>
                <c:pt idx="59">
                  <c:v>-9.225612400000001</c:v>
                </c:pt>
                <c:pt idx="60">
                  <c:v>-9.0141560000000016</c:v>
                </c:pt>
                <c:pt idx="61">
                  <c:v>-8.8026996000000004</c:v>
                </c:pt>
                <c:pt idx="62">
                  <c:v>-8.591243200000001</c:v>
                </c:pt>
                <c:pt idx="63">
                  <c:v>-8.3525681000000009</c:v>
                </c:pt>
                <c:pt idx="64">
                  <c:v>-8.111876800000001</c:v>
                </c:pt>
                <c:pt idx="65">
                  <c:v>-7.8711855000000011</c:v>
                </c:pt>
                <c:pt idx="66">
                  <c:v>-7.6215159999999988</c:v>
                </c:pt>
                <c:pt idx="67">
                  <c:v>-7.3622270000000007</c:v>
                </c:pt>
                <c:pt idx="68">
                  <c:v>-7.1029380000000026</c:v>
                </c:pt>
                <c:pt idx="69">
                  <c:v>-6.843372200000001</c:v>
                </c:pt>
                <c:pt idx="70">
                  <c:v>-6.5760560000000021</c:v>
                </c:pt>
                <c:pt idx="71">
                  <c:v>-6.3087397999999997</c:v>
                </c:pt>
                <c:pt idx="72">
                  <c:v>-6.0414235999999999</c:v>
                </c:pt>
                <c:pt idx="73">
                  <c:v>-5.7751444000000012</c:v>
                </c:pt>
                <c:pt idx="74">
                  <c:v>-5.5095971999999982</c:v>
                </c:pt>
                <c:pt idx="75">
                  <c:v>-5.2440499999999988</c:v>
                </c:pt>
                <c:pt idx="76">
                  <c:v>-4.9799208000000004</c:v>
                </c:pt>
                <c:pt idx="77">
                  <c:v>-4.7246540999999986</c:v>
                </c:pt>
                <c:pt idx="78">
                  <c:v>-4.4693873999999996</c:v>
                </c:pt>
                <c:pt idx="79">
                  <c:v>-4.2141207000000023</c:v>
                </c:pt>
                <c:pt idx="80">
                  <c:v>-3.9705900000000001</c:v>
                </c:pt>
                <c:pt idx="81">
                  <c:v>-3.7323405000000012</c:v>
                </c:pt>
                <c:pt idx="82">
                  <c:v>-3.4940910000000018</c:v>
                </c:pt>
                <c:pt idx="83">
                  <c:v>-3.2610851999999988</c:v>
                </c:pt>
                <c:pt idx="84">
                  <c:v>-3.0445595999999999</c:v>
                </c:pt>
                <c:pt idx="85">
                  <c:v>-2.8280339999999971</c:v>
                </c:pt>
                <c:pt idx="86">
                  <c:v>-2.6115083999999991</c:v>
                </c:pt>
                <c:pt idx="87">
                  <c:v>-2.4142545000000002</c:v>
                </c:pt>
                <c:pt idx="88">
                  <c:v>-2.222027999999999</c:v>
                </c:pt>
                <c:pt idx="89">
                  <c:v>-2.0298015</c:v>
                </c:pt>
                <c:pt idx="90">
                  <c:v>-1.8461060000000009</c:v>
                </c:pt>
                <c:pt idx="91">
                  <c:v>-1.678619399999999</c:v>
                </c:pt>
                <c:pt idx="92">
                  <c:v>-1.5111327999999999</c:v>
                </c:pt>
                <c:pt idx="93">
                  <c:v>-1.3436462000000009</c:v>
                </c:pt>
                <c:pt idx="94">
                  <c:v>-1.1971054599999991</c:v>
                </c:pt>
                <c:pt idx="95">
                  <c:v>-1.052981549999999</c:v>
                </c:pt>
                <c:pt idx="96">
                  <c:v>-0.90885764000000002</c:v>
                </c:pt>
                <c:pt idx="97">
                  <c:v>-0.77383060999999886</c:v>
                </c:pt>
                <c:pt idx="98">
                  <c:v>-0.64999973999999983</c:v>
                </c:pt>
                <c:pt idx="99">
                  <c:v>-0.52616886999999901</c:v>
                </c:pt>
                <c:pt idx="100">
                  <c:v>-0.40233799999999997</c:v>
                </c:pt>
              </c:numCache>
            </c:numRef>
          </c:yVal>
          <c:smooth val="1"/>
          <c:extLst>
            <c:ext xmlns:c16="http://schemas.microsoft.com/office/drawing/2014/chart" uri="{C3380CC4-5D6E-409C-BE32-E72D297353CC}">
              <c16:uniqueId val="{00000002-CE0A-423A-8DF9-EC404E027CCC}"/>
            </c:ext>
          </c:extLst>
        </c:ser>
        <c:ser>
          <c:idx val="3"/>
          <c:order val="4"/>
          <c:tx>
            <c:v>Left 3</c:v>
          </c:tx>
          <c:spPr>
            <a:ln w="19050">
              <a:solidFill>
                <a:srgbClr val="FF0000"/>
              </a:solidFill>
            </a:ln>
          </c:spPr>
          <c:marker>
            <c:symbol val="none"/>
          </c:marker>
          <c:xVal>
            <c:numRef>
              <c:f>'Left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3 Kin'!$L$2:$L$102</c:f>
              <c:numCache>
                <c:formatCode>General</c:formatCode>
                <c:ptCount val="101"/>
                <c:pt idx="0">
                  <c:v>-8.7519500000000008</c:v>
                </c:pt>
                <c:pt idx="1">
                  <c:v>-8.8855354000000002</c:v>
                </c:pt>
                <c:pt idx="2">
                  <c:v>-9.0191207999999996</c:v>
                </c:pt>
                <c:pt idx="3">
                  <c:v>-9.152706199999999</c:v>
                </c:pt>
                <c:pt idx="4">
                  <c:v>-9.2904147999999989</c:v>
                </c:pt>
                <c:pt idx="5">
                  <c:v>-9.4508010000000002</c:v>
                </c:pt>
                <c:pt idx="6">
                  <c:v>-9.6111871999999998</c:v>
                </c:pt>
                <c:pt idx="7">
                  <c:v>-9.7715733999999994</c:v>
                </c:pt>
                <c:pt idx="8">
                  <c:v>-9.9403772000000004</c:v>
                </c:pt>
                <c:pt idx="9">
                  <c:v>-10.128120600000001</c:v>
                </c:pt>
                <c:pt idx="10">
                  <c:v>-10.315863999999999</c:v>
                </c:pt>
                <c:pt idx="11">
                  <c:v>-10.5036074</c:v>
                </c:pt>
                <c:pt idx="12">
                  <c:v>-10.703568000000001</c:v>
                </c:pt>
                <c:pt idx="13">
                  <c:v>-10.917782000000001</c:v>
                </c:pt>
                <c:pt idx="14">
                  <c:v>-11.131995999999999</c:v>
                </c:pt>
                <c:pt idx="15">
                  <c:v>-11.346209999999999</c:v>
                </c:pt>
                <c:pt idx="16">
                  <c:v>-11.575112000000001</c:v>
                </c:pt>
                <c:pt idx="17">
                  <c:v>-11.813193999999999</c:v>
                </c:pt>
                <c:pt idx="18">
                  <c:v>-12.051276</c:v>
                </c:pt>
                <c:pt idx="19">
                  <c:v>-12.289358</c:v>
                </c:pt>
                <c:pt idx="20">
                  <c:v>-12.542160000000001</c:v>
                </c:pt>
                <c:pt idx="21">
                  <c:v>-12.799378000000001</c:v>
                </c:pt>
                <c:pt idx="22">
                  <c:v>-13.056596000000001</c:v>
                </c:pt>
                <c:pt idx="23">
                  <c:v>-13.313814000000001</c:v>
                </c:pt>
                <c:pt idx="24">
                  <c:v>-13.582240000000001</c:v>
                </c:pt>
                <c:pt idx="25">
                  <c:v>-13.851599999999999</c:v>
                </c:pt>
                <c:pt idx="26">
                  <c:v>-14.12096</c:v>
                </c:pt>
                <c:pt idx="27">
                  <c:v>-14.390552</c:v>
                </c:pt>
                <c:pt idx="28">
                  <c:v>-14.662928000000001</c:v>
                </c:pt>
                <c:pt idx="29">
                  <c:v>-14.935304</c:v>
                </c:pt>
                <c:pt idx="30">
                  <c:v>-15.20768</c:v>
                </c:pt>
                <c:pt idx="31">
                  <c:v>-15.478172000000001</c:v>
                </c:pt>
                <c:pt idx="32">
                  <c:v>-15.742383999999999</c:v>
                </c:pt>
                <c:pt idx="33">
                  <c:v>-16.006595999999998</c:v>
                </c:pt>
                <c:pt idx="34">
                  <c:v>-16.270807999999999</c:v>
                </c:pt>
                <c:pt idx="35">
                  <c:v>-16.527049999999999</c:v>
                </c:pt>
                <c:pt idx="36">
                  <c:v>-16.77054</c:v>
                </c:pt>
                <c:pt idx="37">
                  <c:v>-17.014030000000002</c:v>
                </c:pt>
                <c:pt idx="38">
                  <c:v>-17.25752</c:v>
                </c:pt>
                <c:pt idx="39">
                  <c:v>-17.482880000000002</c:v>
                </c:pt>
                <c:pt idx="40">
                  <c:v>-17.692699999999999</c:v>
                </c:pt>
                <c:pt idx="41">
                  <c:v>-17.902519999999999</c:v>
                </c:pt>
                <c:pt idx="42">
                  <c:v>-18.11234</c:v>
                </c:pt>
                <c:pt idx="43">
                  <c:v>-18.290444000000001</c:v>
                </c:pt>
                <c:pt idx="44">
                  <c:v>-18.454452</c:v>
                </c:pt>
                <c:pt idx="45">
                  <c:v>-18.618459999999999</c:v>
                </c:pt>
                <c:pt idx="46">
                  <c:v>-18.782468000000001</c:v>
                </c:pt>
                <c:pt idx="47">
                  <c:v>-18.899021999999999</c:v>
                </c:pt>
                <c:pt idx="48">
                  <c:v>-19.006948000000001</c:v>
                </c:pt>
                <c:pt idx="49">
                  <c:v>-19.114874</c:v>
                </c:pt>
                <c:pt idx="50">
                  <c:v>-19.222799999999999</c:v>
                </c:pt>
                <c:pt idx="51">
                  <c:v>-19.26726</c:v>
                </c:pt>
                <c:pt idx="52">
                  <c:v>-19.311720000000001</c:v>
                </c:pt>
                <c:pt idx="53">
                  <c:v>-19.356179999999998</c:v>
                </c:pt>
                <c:pt idx="54">
                  <c:v>-19.390256000000001</c:v>
                </c:pt>
                <c:pt idx="55">
                  <c:v>-19.36722</c:v>
                </c:pt>
                <c:pt idx="56">
                  <c:v>-19.344183999999998</c:v>
                </c:pt>
                <c:pt idx="57">
                  <c:v>-19.321148000000001</c:v>
                </c:pt>
                <c:pt idx="58">
                  <c:v>-19.277128000000001</c:v>
                </c:pt>
                <c:pt idx="59">
                  <c:v>-19.185894000000001</c:v>
                </c:pt>
                <c:pt idx="60">
                  <c:v>-19.094660000000001</c:v>
                </c:pt>
                <c:pt idx="61">
                  <c:v>-19.003426000000001</c:v>
                </c:pt>
                <c:pt idx="62">
                  <c:v>-18.881879999999999</c:v>
                </c:pt>
                <c:pt idx="63">
                  <c:v>-18.724969999999999</c:v>
                </c:pt>
                <c:pt idx="64">
                  <c:v>-18.568059999999999</c:v>
                </c:pt>
                <c:pt idx="65">
                  <c:v>-18.411149999999999</c:v>
                </c:pt>
                <c:pt idx="66">
                  <c:v>-18.217023999999999</c:v>
                </c:pt>
                <c:pt idx="67">
                  <c:v>-17.999638000000001</c:v>
                </c:pt>
                <c:pt idx="68">
                  <c:v>-17.782252</c:v>
                </c:pt>
                <c:pt idx="69">
                  <c:v>-17.564865999999999</c:v>
                </c:pt>
                <c:pt idx="70">
                  <c:v>-17.306819999999998</c:v>
                </c:pt>
                <c:pt idx="71">
                  <c:v>-17.036576</c:v>
                </c:pt>
                <c:pt idx="72">
                  <c:v>-16.766331999999998</c:v>
                </c:pt>
                <c:pt idx="73">
                  <c:v>-16.496088</c:v>
                </c:pt>
                <c:pt idx="74">
                  <c:v>-16.185787999999999</c:v>
                </c:pt>
                <c:pt idx="75">
                  <c:v>-15.87215</c:v>
                </c:pt>
                <c:pt idx="76">
                  <c:v>-15.558512</c:v>
                </c:pt>
                <c:pt idx="77">
                  <c:v>-15.24239</c:v>
                </c:pt>
                <c:pt idx="78">
                  <c:v>-14.896459999999999</c:v>
                </c:pt>
                <c:pt idx="79">
                  <c:v>-14.55053</c:v>
                </c:pt>
                <c:pt idx="80">
                  <c:v>-14.204599999999999</c:v>
                </c:pt>
                <c:pt idx="81">
                  <c:v>-13.853996</c:v>
                </c:pt>
                <c:pt idx="82">
                  <c:v>-13.487812</c:v>
                </c:pt>
                <c:pt idx="83">
                  <c:v>-13.121627999999999</c:v>
                </c:pt>
                <c:pt idx="84">
                  <c:v>-12.755444000000001</c:v>
                </c:pt>
                <c:pt idx="85">
                  <c:v>-12.38620999999999</c:v>
                </c:pt>
                <c:pt idx="86">
                  <c:v>-12.012096</c:v>
                </c:pt>
                <c:pt idx="87">
                  <c:v>-11.637981999999999</c:v>
                </c:pt>
                <c:pt idx="88">
                  <c:v>-11.263868</c:v>
                </c:pt>
                <c:pt idx="89">
                  <c:v>-10.891816199999999</c:v>
                </c:pt>
                <c:pt idx="90">
                  <c:v>-10.521532000000001</c:v>
                </c:pt>
                <c:pt idx="91">
                  <c:v>-10.1512478</c:v>
                </c:pt>
                <c:pt idx="92">
                  <c:v>-9.7809636000000015</c:v>
                </c:pt>
                <c:pt idx="93">
                  <c:v>-9.4203652000000044</c:v>
                </c:pt>
                <c:pt idx="94">
                  <c:v>-9.0640716000000001</c:v>
                </c:pt>
                <c:pt idx="95">
                  <c:v>-8.7077780000000029</c:v>
                </c:pt>
                <c:pt idx="96">
                  <c:v>-8.3514844000000039</c:v>
                </c:pt>
                <c:pt idx="97">
                  <c:v>-8.0138402000000006</c:v>
                </c:pt>
                <c:pt idx="98">
                  <c:v>-7.6795868000000018</c:v>
                </c:pt>
                <c:pt idx="99">
                  <c:v>-7.3453333999999986</c:v>
                </c:pt>
                <c:pt idx="100">
                  <c:v>-7.0110799999999998</c:v>
                </c:pt>
              </c:numCache>
            </c:numRef>
          </c:yVal>
          <c:smooth val="1"/>
          <c:extLst>
            <c:ext xmlns:c16="http://schemas.microsoft.com/office/drawing/2014/chart" uri="{C3380CC4-5D6E-409C-BE32-E72D297353CC}">
              <c16:uniqueId val="{00000001-CE0A-423A-8DF9-EC404E027CCC}"/>
            </c:ext>
          </c:extLst>
        </c:ser>
        <c:ser>
          <c:idx val="2"/>
          <c:order val="5"/>
          <c:tx>
            <c:v>Left 2</c:v>
          </c:tx>
          <c:spPr>
            <a:ln w="19050">
              <a:solidFill>
                <a:srgbClr val="FF0000"/>
              </a:solidFill>
            </a:ln>
          </c:spPr>
          <c:marker>
            <c:symbol val="none"/>
          </c:marker>
          <c:xVal>
            <c:numRef>
              <c:f>'Left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2 Kin'!$L$2:$L$102</c:f>
              <c:numCache>
                <c:formatCode>General</c:formatCode>
                <c:ptCount val="101"/>
                <c:pt idx="0">
                  <c:v>-12.8872</c:v>
                </c:pt>
                <c:pt idx="1">
                  <c:v>-13.113448</c:v>
                </c:pt>
                <c:pt idx="2">
                  <c:v>-13.339696</c:v>
                </c:pt>
                <c:pt idx="3">
                  <c:v>-13.565944</c:v>
                </c:pt>
                <c:pt idx="4">
                  <c:v>-13.792192</c:v>
                </c:pt>
                <c:pt idx="5">
                  <c:v>-14.021660000000001</c:v>
                </c:pt>
                <c:pt idx="6">
                  <c:v>-14.251772000000001</c:v>
                </c:pt>
                <c:pt idx="7">
                  <c:v>-14.481884000000001</c:v>
                </c:pt>
                <c:pt idx="8">
                  <c:v>-14.711995999999999</c:v>
                </c:pt>
                <c:pt idx="9">
                  <c:v>-14.941564</c:v>
                </c:pt>
                <c:pt idx="10">
                  <c:v>-15.170859999999999</c:v>
                </c:pt>
                <c:pt idx="11">
                  <c:v>-15.400156000000001</c:v>
                </c:pt>
                <c:pt idx="12">
                  <c:v>-15.629452000000001</c:v>
                </c:pt>
                <c:pt idx="13">
                  <c:v>-15.855855999999999</c:v>
                </c:pt>
                <c:pt idx="14">
                  <c:v>-16.079367999999999</c:v>
                </c:pt>
                <c:pt idx="15">
                  <c:v>-16.302879999999998</c:v>
                </c:pt>
                <c:pt idx="16">
                  <c:v>-16.526392000000001</c:v>
                </c:pt>
                <c:pt idx="17">
                  <c:v>-16.746279999999999</c:v>
                </c:pt>
                <c:pt idx="18">
                  <c:v>-16.958919999999999</c:v>
                </c:pt>
                <c:pt idx="19">
                  <c:v>-17.171559999999999</c:v>
                </c:pt>
                <c:pt idx="20">
                  <c:v>-17.3842</c:v>
                </c:pt>
                <c:pt idx="21">
                  <c:v>-17.594180000000001</c:v>
                </c:pt>
                <c:pt idx="22">
                  <c:v>-17.790859999999999</c:v>
                </c:pt>
                <c:pt idx="23">
                  <c:v>-17.987539999999999</c:v>
                </c:pt>
                <c:pt idx="24">
                  <c:v>-18.18422</c:v>
                </c:pt>
                <c:pt idx="25">
                  <c:v>-18.3809</c:v>
                </c:pt>
                <c:pt idx="26">
                  <c:v>-18.556699999999999</c:v>
                </c:pt>
                <c:pt idx="27">
                  <c:v>-18.732500000000002</c:v>
                </c:pt>
                <c:pt idx="28">
                  <c:v>-18.908300000000001</c:v>
                </c:pt>
                <c:pt idx="29">
                  <c:v>-19.084099999999999</c:v>
                </c:pt>
                <c:pt idx="30">
                  <c:v>-19.23874</c:v>
                </c:pt>
                <c:pt idx="31">
                  <c:v>-19.389147999999999</c:v>
                </c:pt>
                <c:pt idx="32">
                  <c:v>-19.539556000000001</c:v>
                </c:pt>
                <c:pt idx="33">
                  <c:v>-19.689964</c:v>
                </c:pt>
                <c:pt idx="34">
                  <c:v>-19.820692000000001</c:v>
                </c:pt>
                <c:pt idx="35">
                  <c:v>-19.941579999999998</c:v>
                </c:pt>
                <c:pt idx="36">
                  <c:v>-20.062467999999999</c:v>
                </c:pt>
                <c:pt idx="37">
                  <c:v>-20.183356</c:v>
                </c:pt>
                <c:pt idx="38">
                  <c:v>-20.287744</c:v>
                </c:pt>
                <c:pt idx="39">
                  <c:v>-20.375632</c:v>
                </c:pt>
                <c:pt idx="40">
                  <c:v>-20.463519999999999</c:v>
                </c:pt>
                <c:pt idx="41">
                  <c:v>-20.551407999999999</c:v>
                </c:pt>
                <c:pt idx="42">
                  <c:v>-20.627303999999999</c:v>
                </c:pt>
                <c:pt idx="43">
                  <c:v>-20.679216</c:v>
                </c:pt>
                <c:pt idx="44">
                  <c:v>-20.731127999999998</c:v>
                </c:pt>
                <c:pt idx="45">
                  <c:v>-20.78304</c:v>
                </c:pt>
                <c:pt idx="46">
                  <c:v>-20.828579999999999</c:v>
                </c:pt>
                <c:pt idx="47">
                  <c:v>-20.84226</c:v>
                </c:pt>
                <c:pt idx="48">
                  <c:v>-20.85594</c:v>
                </c:pt>
                <c:pt idx="49">
                  <c:v>-20.869620000000001</c:v>
                </c:pt>
                <c:pt idx="50">
                  <c:v>-20.883299999999998</c:v>
                </c:pt>
                <c:pt idx="51">
                  <c:v>-20.857116000000001</c:v>
                </c:pt>
                <c:pt idx="52">
                  <c:v>-20.830932000000001</c:v>
                </c:pt>
                <c:pt idx="53">
                  <c:v>-20.804748</c:v>
                </c:pt>
                <c:pt idx="54">
                  <c:v>-20.778563999999999</c:v>
                </c:pt>
                <c:pt idx="55">
                  <c:v>-20.718340000000001</c:v>
                </c:pt>
                <c:pt idx="56">
                  <c:v>-20.651308</c:v>
                </c:pt>
                <c:pt idx="57">
                  <c:v>-20.584275999999999</c:v>
                </c:pt>
                <c:pt idx="58">
                  <c:v>-20.517244000000002</c:v>
                </c:pt>
                <c:pt idx="59">
                  <c:v>-20.422803999999999</c:v>
                </c:pt>
                <c:pt idx="60">
                  <c:v>-20.31466</c:v>
                </c:pt>
                <c:pt idx="61">
                  <c:v>-20.206516000000001</c:v>
                </c:pt>
                <c:pt idx="62">
                  <c:v>-20.098372000000001</c:v>
                </c:pt>
                <c:pt idx="63">
                  <c:v>-19.969851999999999</c:v>
                </c:pt>
                <c:pt idx="64">
                  <c:v>-19.820955999999999</c:v>
                </c:pt>
                <c:pt idx="65">
                  <c:v>-19.672059999999998</c:v>
                </c:pt>
                <c:pt idx="66">
                  <c:v>-19.523164000000001</c:v>
                </c:pt>
                <c:pt idx="67">
                  <c:v>-19.361091999999999</c:v>
                </c:pt>
                <c:pt idx="68">
                  <c:v>-19.172668000000002</c:v>
                </c:pt>
                <c:pt idx="69">
                  <c:v>-18.984244</c:v>
                </c:pt>
                <c:pt idx="70">
                  <c:v>-18.795819999999999</c:v>
                </c:pt>
                <c:pt idx="71">
                  <c:v>-18.60116</c:v>
                </c:pt>
                <c:pt idx="72">
                  <c:v>-18.375319999999999</c:v>
                </c:pt>
                <c:pt idx="73">
                  <c:v>-18.149480000000001</c:v>
                </c:pt>
                <c:pt idx="74">
                  <c:v>-17.923639999999999</c:v>
                </c:pt>
                <c:pt idx="75">
                  <c:v>-17.697800000000001</c:v>
                </c:pt>
                <c:pt idx="76">
                  <c:v>-17.437736000000001</c:v>
                </c:pt>
                <c:pt idx="77">
                  <c:v>-17.177672000000001</c:v>
                </c:pt>
                <c:pt idx="78">
                  <c:v>-16.917608000000001</c:v>
                </c:pt>
                <c:pt idx="79">
                  <c:v>-16.657544000000001</c:v>
                </c:pt>
                <c:pt idx="80">
                  <c:v>-16.372540000000001</c:v>
                </c:pt>
                <c:pt idx="81">
                  <c:v>-16.082547999999999</c:v>
                </c:pt>
                <c:pt idx="82">
                  <c:v>-15.792555999999999</c:v>
                </c:pt>
                <c:pt idx="83">
                  <c:v>-15.502564</c:v>
                </c:pt>
                <c:pt idx="84">
                  <c:v>-15.196300000000001</c:v>
                </c:pt>
                <c:pt idx="85">
                  <c:v>-14.8819</c:v>
                </c:pt>
                <c:pt idx="86">
                  <c:v>-14.567500000000001</c:v>
                </c:pt>
                <c:pt idx="87">
                  <c:v>-14.2531</c:v>
                </c:pt>
                <c:pt idx="88">
                  <c:v>-13.929904000000001</c:v>
                </c:pt>
                <c:pt idx="89">
                  <c:v>-13.597912000000001</c:v>
                </c:pt>
                <c:pt idx="90">
                  <c:v>-13.265919999999999</c:v>
                </c:pt>
                <c:pt idx="91">
                  <c:v>-12.933928</c:v>
                </c:pt>
                <c:pt idx="92">
                  <c:v>-12.598632</c:v>
                </c:pt>
                <c:pt idx="93">
                  <c:v>-12.256728000000001</c:v>
                </c:pt>
                <c:pt idx="94">
                  <c:v>-11.914823999999999</c:v>
                </c:pt>
                <c:pt idx="95">
                  <c:v>-11.57292</c:v>
                </c:pt>
                <c:pt idx="96">
                  <c:v>-11.2307576</c:v>
                </c:pt>
                <c:pt idx="97">
                  <c:v>-10.8873032</c:v>
                </c:pt>
                <c:pt idx="98">
                  <c:v>-10.543848799999999</c:v>
                </c:pt>
                <c:pt idx="99">
                  <c:v>-10.2003944</c:v>
                </c:pt>
                <c:pt idx="100">
                  <c:v>-9.8569399999999998</c:v>
                </c:pt>
              </c:numCache>
            </c:numRef>
          </c:yVal>
          <c:smooth val="1"/>
          <c:extLst>
            <c:ext xmlns:c16="http://schemas.microsoft.com/office/drawing/2014/chart" uri="{C3380CC4-5D6E-409C-BE32-E72D297353CC}">
              <c16:uniqueId val="{00000000-CE0A-423A-8DF9-EC404E027CCC}"/>
            </c:ext>
          </c:extLst>
        </c:ser>
        <c:ser>
          <c:idx val="0"/>
          <c:order val="6"/>
          <c:tx>
            <c:v>Left 1</c:v>
          </c:tx>
          <c:spPr>
            <a:ln w="19050">
              <a:solidFill>
                <a:srgbClr val="FF0000"/>
              </a:solidFill>
            </a:ln>
          </c:spPr>
          <c:marker>
            <c:symbol val="none"/>
          </c:marker>
          <c:xVal>
            <c:numRef>
              <c:f>'Left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1 Kin'!$L$2:$L$102</c:f>
              <c:numCache>
                <c:formatCode>General</c:formatCode>
                <c:ptCount val="101"/>
                <c:pt idx="0">
                  <c:v>-12.701599999999999</c:v>
                </c:pt>
                <c:pt idx="1">
                  <c:v>-12.865425</c:v>
                </c:pt>
                <c:pt idx="2">
                  <c:v>-13.029249999999999</c:v>
                </c:pt>
                <c:pt idx="3">
                  <c:v>-13.193075</c:v>
                </c:pt>
                <c:pt idx="4">
                  <c:v>-13.3569</c:v>
                </c:pt>
                <c:pt idx="5">
                  <c:v>-13.552099999999999</c:v>
                </c:pt>
                <c:pt idx="6">
                  <c:v>-13.747299999999999</c:v>
                </c:pt>
                <c:pt idx="7">
                  <c:v>-13.942500000000001</c:v>
                </c:pt>
                <c:pt idx="8">
                  <c:v>-14.137700000000001</c:v>
                </c:pt>
                <c:pt idx="9">
                  <c:v>-14.364224999999999</c:v>
                </c:pt>
                <c:pt idx="10">
                  <c:v>-14.59075</c:v>
                </c:pt>
                <c:pt idx="11">
                  <c:v>-14.817275</c:v>
                </c:pt>
                <c:pt idx="12">
                  <c:v>-15.043799999999999</c:v>
                </c:pt>
                <c:pt idx="13">
                  <c:v>-15.2996</c:v>
                </c:pt>
                <c:pt idx="14">
                  <c:v>-15.555400000000001</c:v>
                </c:pt>
                <c:pt idx="15">
                  <c:v>-15.811199999999999</c:v>
                </c:pt>
                <c:pt idx="16">
                  <c:v>-16.067</c:v>
                </c:pt>
                <c:pt idx="17">
                  <c:v>-16.3476</c:v>
                </c:pt>
                <c:pt idx="18">
                  <c:v>-16.6282</c:v>
                </c:pt>
                <c:pt idx="19">
                  <c:v>-16.908799999999999</c:v>
                </c:pt>
                <c:pt idx="20">
                  <c:v>-17.189399999999999</c:v>
                </c:pt>
                <c:pt idx="21">
                  <c:v>-17.487575</c:v>
                </c:pt>
                <c:pt idx="22">
                  <c:v>-17.78575</c:v>
                </c:pt>
                <c:pt idx="23">
                  <c:v>-18.083925000000001</c:v>
                </c:pt>
                <c:pt idx="24">
                  <c:v>-18.382100000000001</c:v>
                </c:pt>
                <c:pt idx="25">
                  <c:v>-18.6876</c:v>
                </c:pt>
                <c:pt idx="26">
                  <c:v>-18.993099999999998</c:v>
                </c:pt>
                <c:pt idx="27">
                  <c:v>-19.2986</c:v>
                </c:pt>
                <c:pt idx="28">
                  <c:v>-19.604099999999999</c:v>
                </c:pt>
                <c:pt idx="29">
                  <c:v>-19.903874999999999</c:v>
                </c:pt>
                <c:pt idx="30">
                  <c:v>-20.20365</c:v>
                </c:pt>
                <c:pt idx="31">
                  <c:v>-20.503425</c:v>
                </c:pt>
                <c:pt idx="32">
                  <c:v>-20.8032</c:v>
                </c:pt>
                <c:pt idx="33">
                  <c:v>-21.081900000000001</c:v>
                </c:pt>
                <c:pt idx="34">
                  <c:v>-21.360600000000002</c:v>
                </c:pt>
                <c:pt idx="35">
                  <c:v>-21.639299999999999</c:v>
                </c:pt>
                <c:pt idx="36">
                  <c:v>-21.917999999999999</c:v>
                </c:pt>
                <c:pt idx="37">
                  <c:v>-22.159075000000001</c:v>
                </c:pt>
                <c:pt idx="38">
                  <c:v>-22.40015</c:v>
                </c:pt>
                <c:pt idx="39">
                  <c:v>-22.641224999999999</c:v>
                </c:pt>
                <c:pt idx="40">
                  <c:v>-22.882300000000001</c:v>
                </c:pt>
                <c:pt idx="41">
                  <c:v>-23.06945</c:v>
                </c:pt>
                <c:pt idx="42">
                  <c:v>-23.256599999999999</c:v>
                </c:pt>
                <c:pt idx="43">
                  <c:v>-23.443750000000001</c:v>
                </c:pt>
                <c:pt idx="44">
                  <c:v>-23.6309</c:v>
                </c:pt>
                <c:pt idx="45">
                  <c:v>-23.749949999999998</c:v>
                </c:pt>
                <c:pt idx="46">
                  <c:v>-23.869</c:v>
                </c:pt>
                <c:pt idx="47">
                  <c:v>-23.988050000000001</c:v>
                </c:pt>
                <c:pt idx="48">
                  <c:v>-24.107099999999999</c:v>
                </c:pt>
                <c:pt idx="49">
                  <c:v>-24.147349999999999</c:v>
                </c:pt>
                <c:pt idx="50">
                  <c:v>-24.1876</c:v>
                </c:pt>
                <c:pt idx="51">
                  <c:v>-24.22785</c:v>
                </c:pt>
                <c:pt idx="52">
                  <c:v>-24.2681</c:v>
                </c:pt>
                <c:pt idx="53">
                  <c:v>-24.223324999999999</c:v>
                </c:pt>
                <c:pt idx="54">
                  <c:v>-24.178550000000001</c:v>
                </c:pt>
                <c:pt idx="55">
                  <c:v>-24.133775</c:v>
                </c:pt>
                <c:pt idx="56">
                  <c:v>-24.088999999999999</c:v>
                </c:pt>
                <c:pt idx="57">
                  <c:v>-23.957924999999999</c:v>
                </c:pt>
                <c:pt idx="58">
                  <c:v>-23.82685</c:v>
                </c:pt>
                <c:pt idx="59">
                  <c:v>-23.695775000000001</c:v>
                </c:pt>
                <c:pt idx="60">
                  <c:v>-23.564699999999998</c:v>
                </c:pt>
                <c:pt idx="61">
                  <c:v>-23.350974999999998</c:v>
                </c:pt>
                <c:pt idx="62">
                  <c:v>-23.137250000000002</c:v>
                </c:pt>
                <c:pt idx="63">
                  <c:v>-22.923525000000001</c:v>
                </c:pt>
                <c:pt idx="64">
                  <c:v>-22.709800000000001</c:v>
                </c:pt>
                <c:pt idx="65">
                  <c:v>-22.421724999999999</c:v>
                </c:pt>
                <c:pt idx="66">
                  <c:v>-22.133649999999999</c:v>
                </c:pt>
                <c:pt idx="67">
                  <c:v>-21.845575</c:v>
                </c:pt>
                <c:pt idx="68">
                  <c:v>-21.557500000000001</c:v>
                </c:pt>
                <c:pt idx="69">
                  <c:v>-21.207525</c:v>
                </c:pt>
                <c:pt idx="70">
                  <c:v>-20.85755</c:v>
                </c:pt>
                <c:pt idx="71">
                  <c:v>-20.507574999999999</c:v>
                </c:pt>
                <c:pt idx="72">
                  <c:v>-20.157599999999999</c:v>
                </c:pt>
                <c:pt idx="73">
                  <c:v>-19.761375000000001</c:v>
                </c:pt>
                <c:pt idx="74">
                  <c:v>-19.36515</c:v>
                </c:pt>
                <c:pt idx="75">
                  <c:v>-18.968924999999999</c:v>
                </c:pt>
                <c:pt idx="76">
                  <c:v>-18.572700000000001</c:v>
                </c:pt>
                <c:pt idx="77">
                  <c:v>-18.148275000000002</c:v>
                </c:pt>
                <c:pt idx="78">
                  <c:v>-17.723849999999999</c:v>
                </c:pt>
                <c:pt idx="79">
                  <c:v>-17.299424999999999</c:v>
                </c:pt>
                <c:pt idx="80">
                  <c:v>-16.875</c:v>
                </c:pt>
                <c:pt idx="81">
                  <c:v>-16.441099999999999</c:v>
                </c:pt>
                <c:pt idx="82">
                  <c:v>-16.007200000000001</c:v>
                </c:pt>
                <c:pt idx="83">
                  <c:v>-15.5733</c:v>
                </c:pt>
                <c:pt idx="84">
                  <c:v>-15.1394</c:v>
                </c:pt>
                <c:pt idx="85">
                  <c:v>-14.713800000000001</c:v>
                </c:pt>
                <c:pt idx="86">
                  <c:v>-14.2882</c:v>
                </c:pt>
                <c:pt idx="87">
                  <c:v>-13.8626</c:v>
                </c:pt>
                <c:pt idx="88">
                  <c:v>-13.436999999999999</c:v>
                </c:pt>
                <c:pt idx="89">
                  <c:v>-13.034549999999999</c:v>
                </c:pt>
                <c:pt idx="90">
                  <c:v>-12.632099999999999</c:v>
                </c:pt>
                <c:pt idx="91">
                  <c:v>-12.229649999999999</c:v>
                </c:pt>
                <c:pt idx="92">
                  <c:v>-11.827199999999999</c:v>
                </c:pt>
                <c:pt idx="93">
                  <c:v>-11.458349999999999</c:v>
                </c:pt>
                <c:pt idx="94">
                  <c:v>-11.089499999999999</c:v>
                </c:pt>
                <c:pt idx="95">
                  <c:v>-10.720649999999999</c:v>
                </c:pt>
                <c:pt idx="96">
                  <c:v>-10.351800000000001</c:v>
                </c:pt>
                <c:pt idx="97">
                  <c:v>-10.021990000000001</c:v>
                </c:pt>
                <c:pt idx="98">
                  <c:v>-9.6921800000000005</c:v>
                </c:pt>
                <c:pt idx="99">
                  <c:v>-9.3623699999999985</c:v>
                </c:pt>
                <c:pt idx="100">
                  <c:v>-9.0325600000000001</c:v>
                </c:pt>
              </c:numCache>
            </c:numRef>
          </c:yVal>
          <c:smooth val="1"/>
          <c:extLst>
            <c:ext xmlns:c16="http://schemas.microsoft.com/office/drawing/2014/chart" uri="{C3380CC4-5D6E-409C-BE32-E72D297353CC}">
              <c16:uniqueId val="{00000000-06C7-41AC-8262-7E18709187F8}"/>
            </c:ext>
          </c:extLst>
        </c:ser>
        <c:dLbls>
          <c:showLegendKey val="0"/>
          <c:showVal val="0"/>
          <c:showCatName val="0"/>
          <c:showSerName val="0"/>
          <c:showPercent val="0"/>
          <c:showBubbleSize val="0"/>
        </c:dLbls>
        <c:axId val="86415616"/>
        <c:axId val="86433792"/>
      </c:scatterChart>
      <c:valAx>
        <c:axId val="86415616"/>
        <c:scaling>
          <c:orientation val="minMax"/>
          <c:max val="100"/>
        </c:scaling>
        <c:delete val="0"/>
        <c:axPos val="b"/>
        <c:numFmt formatCode="General" sourceLinked="1"/>
        <c:majorTickMark val="out"/>
        <c:minorTickMark val="none"/>
        <c:tickLblPos val="nextTo"/>
        <c:txPr>
          <a:bodyPr/>
          <a:lstStyle/>
          <a:p>
            <a:pPr>
              <a:defRPr lang="en-US" sz="800"/>
            </a:pPr>
            <a:endParaRPr lang="en-US"/>
          </a:p>
        </c:txPr>
        <c:crossAx val="86433792"/>
        <c:crosses val="autoZero"/>
        <c:crossBetween val="midCat"/>
        <c:majorUnit val="20"/>
      </c:valAx>
      <c:valAx>
        <c:axId val="86433792"/>
        <c:scaling>
          <c:orientation val="minMax"/>
        </c:scaling>
        <c:delete val="0"/>
        <c:axPos val="l"/>
        <c:title>
          <c:tx>
            <c:rich>
              <a:bodyPr rot="-5400000" vert="horz"/>
              <a:lstStyle/>
              <a:p>
                <a:pPr>
                  <a:defRPr lang="en-AU" sz="900"/>
                </a:pPr>
                <a:r>
                  <a:rPr lang="en-US" sz="900"/>
                  <a:t>Angle (degrees)</a:t>
                </a:r>
              </a:p>
            </c:rich>
          </c:tx>
          <c:layout>
            <c:manualLayout>
              <c:xMode val="edge"/>
              <c:yMode val="edge"/>
              <c:x val="7.8807368782308996E-4"/>
              <c:y val="0.33402271733993133"/>
            </c:manualLayout>
          </c:layout>
          <c:overlay val="0"/>
        </c:title>
        <c:numFmt formatCode="0" sourceLinked="0"/>
        <c:majorTickMark val="out"/>
        <c:minorTickMark val="none"/>
        <c:tickLblPos val="nextTo"/>
        <c:txPr>
          <a:bodyPr/>
          <a:lstStyle/>
          <a:p>
            <a:pPr>
              <a:defRPr lang="en-US" sz="800"/>
            </a:pPr>
            <a:endParaRPr lang="en-US"/>
          </a:p>
        </c:txPr>
        <c:crossAx val="86415616"/>
        <c:crosses val="autoZero"/>
        <c:crossBetween val="midCat"/>
      </c:valAx>
    </c:plotArea>
    <c:plotVisOnly val="1"/>
    <c:dispBlanksAs val="gap"/>
    <c:showDLblsOverMax val="0"/>
  </c:chart>
  <c:printSettings>
    <c:headerFooter/>
    <c:pageMargins b="0.75000000000001421" l="0.70000000000000095" r="0.70000000000000095" t="0.75000000000001421" header="0.3000000000000001" footer="0.3000000000000001"/>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US" sz="1200"/>
            </a:pPr>
            <a:r>
              <a:rPr lang="en-US" sz="1200"/>
              <a:t>Sagittal</a:t>
            </a:r>
            <a:r>
              <a:rPr lang="en-US" sz="1200" baseline="0"/>
              <a:t> Thorax</a:t>
            </a:r>
            <a:r>
              <a:rPr lang="en-US" sz="1200"/>
              <a:t> Angle</a:t>
            </a:r>
          </a:p>
        </c:rich>
      </c:tx>
      <c:overlay val="0"/>
    </c:title>
    <c:autoTitleDeleted val="0"/>
    <c:plotArea>
      <c:layout>
        <c:manualLayout>
          <c:layoutTarget val="inner"/>
          <c:xMode val="edge"/>
          <c:yMode val="edge"/>
          <c:x val="7.8647205338968712E-2"/>
          <c:y val="3.7734248736149362E-2"/>
          <c:w val="0.89172244995468097"/>
          <c:h val="0.92456770489895657"/>
        </c:manualLayout>
      </c:layout>
      <c:scatterChart>
        <c:scatterStyle val="smoothMarker"/>
        <c:varyColors val="0"/>
        <c:ser>
          <c:idx val="1"/>
          <c:order val="0"/>
          <c:tx>
            <c:v>Normative</c:v>
          </c:tx>
          <c:spPr>
            <a:ln>
              <a:solidFill>
                <a:schemeClr val="tx1"/>
              </a:solidFill>
            </a:ln>
          </c:spPr>
          <c:marker>
            <c:symbol val="none"/>
          </c:marker>
          <c:xVal>
            <c:numRef>
              <c:f>Normative!$A$2:$A$102</c:f>
              <c:numCache>
                <c:formatCode>General</c:formatCode>
                <c:ptCount val="101"/>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numCache>
            </c:numRef>
          </c:xVal>
          <c:yVal>
            <c:numRef>
              <c:f>Normative!$G$2:$G$102</c:f>
              <c:numCache>
                <c:formatCode>General</c:formatCode>
                <c:ptCount val="101"/>
                <c:pt idx="0">
                  <c:v>16.881711104166669</c:v>
                </c:pt>
                <c:pt idx="1">
                  <c:v>16.881711104166669</c:v>
                </c:pt>
                <c:pt idx="2">
                  <c:v>16.822164958333332</c:v>
                </c:pt>
                <c:pt idx="3">
                  <c:v>16.791030708333334</c:v>
                </c:pt>
                <c:pt idx="4">
                  <c:v>16.685671124999999</c:v>
                </c:pt>
                <c:pt idx="5">
                  <c:v>16.647445375</c:v>
                </c:pt>
                <c:pt idx="6">
                  <c:v>16.451810125000002</c:v>
                </c:pt>
                <c:pt idx="7">
                  <c:v>16.390585062500001</c:v>
                </c:pt>
                <c:pt idx="8">
                  <c:v>16.124661500000002</c:v>
                </c:pt>
                <c:pt idx="9">
                  <c:v>16.000456645833331</c:v>
                </c:pt>
                <c:pt idx="10">
                  <c:v>14.289996690000001</c:v>
                </c:pt>
                <c:pt idx="11">
                  <c:v>14.182493506666669</c:v>
                </c:pt>
                <c:pt idx="12">
                  <c:v>13.879058263333331</c:v>
                </c:pt>
                <c:pt idx="13">
                  <c:v>13.67919627</c:v>
                </c:pt>
                <c:pt idx="14">
                  <c:v>13.432395966666666</c:v>
                </c:pt>
                <c:pt idx="15">
                  <c:v>13.267267926666666</c:v>
                </c:pt>
                <c:pt idx="16">
                  <c:v>13.014115603333334</c:v>
                </c:pt>
                <c:pt idx="17">
                  <c:v>12.855265523333333</c:v>
                </c:pt>
                <c:pt idx="18">
                  <c:v>12.509819526666666</c:v>
                </c:pt>
                <c:pt idx="19">
                  <c:v>12.38804178</c:v>
                </c:pt>
                <c:pt idx="20">
                  <c:v>12.088575803333333</c:v>
                </c:pt>
                <c:pt idx="21">
                  <c:v>11.930974076666667</c:v>
                </c:pt>
                <c:pt idx="22">
                  <c:v>11.592454406666667</c:v>
                </c:pt>
                <c:pt idx="23">
                  <c:v>11.428817223333334</c:v>
                </c:pt>
                <c:pt idx="24">
                  <c:v>11.108370963333332</c:v>
                </c:pt>
                <c:pt idx="25">
                  <c:v>10.69644036</c:v>
                </c:pt>
                <c:pt idx="26">
                  <c:v>10.385401976666666</c:v>
                </c:pt>
                <c:pt idx="27">
                  <c:v>10.085879563333332</c:v>
                </c:pt>
                <c:pt idx="28">
                  <c:v>9.9417161233333324</c:v>
                </c:pt>
                <c:pt idx="29">
                  <c:v>9.5843398199999985</c:v>
                </c:pt>
                <c:pt idx="30">
                  <c:v>9.4206395199999982</c:v>
                </c:pt>
                <c:pt idx="31">
                  <c:v>9.1176575266666653</c:v>
                </c:pt>
                <c:pt idx="32">
                  <c:v>8.9637791733333341</c:v>
                </c:pt>
                <c:pt idx="33">
                  <c:v>8.5392781000000006</c:v>
                </c:pt>
                <c:pt idx="34">
                  <c:v>8.2651905133333337</c:v>
                </c:pt>
                <c:pt idx="35">
                  <c:v>7.9543960066666672</c:v>
                </c:pt>
                <c:pt idx="36">
                  <c:v>7.6434668000000006</c:v>
                </c:pt>
                <c:pt idx="37">
                  <c:v>7.28492651</c:v>
                </c:pt>
                <c:pt idx="38">
                  <c:v>6.7897013033333335</c:v>
                </c:pt>
                <c:pt idx="39">
                  <c:v>6.4375803333333321</c:v>
                </c:pt>
                <c:pt idx="40">
                  <c:v>6.1016567666666672</c:v>
                </c:pt>
                <c:pt idx="41">
                  <c:v>5.7616082700000009</c:v>
                </c:pt>
                <c:pt idx="42">
                  <c:v>5.3830968500000003</c:v>
                </c:pt>
                <c:pt idx="43">
                  <c:v>4.9915834233333332</c:v>
                </c:pt>
                <c:pt idx="44">
                  <c:v>4.7563039566666667</c:v>
                </c:pt>
                <c:pt idx="45">
                  <c:v>4.2456914233333327</c:v>
                </c:pt>
                <c:pt idx="46">
                  <c:v>4.1110674933333335</c:v>
                </c:pt>
                <c:pt idx="47">
                  <c:v>3.6618814466666665</c:v>
                </c:pt>
                <c:pt idx="48">
                  <c:v>3.5466625966666667</c:v>
                </c:pt>
                <c:pt idx="49">
                  <c:v>3.1058287566666669</c:v>
                </c:pt>
                <c:pt idx="50">
                  <c:v>2.5805272366666667</c:v>
                </c:pt>
              </c:numCache>
            </c:numRef>
          </c:yVal>
          <c:smooth val="1"/>
          <c:extLst>
            <c:ext xmlns:c16="http://schemas.microsoft.com/office/drawing/2014/chart" uri="{C3380CC4-5D6E-409C-BE32-E72D297353CC}">
              <c16:uniqueId val="{00000002-B916-43F4-A2A2-DD7F7A5C01EC}"/>
            </c:ext>
          </c:extLst>
        </c:ser>
        <c:ser>
          <c:idx val="6"/>
          <c:order val="1"/>
          <c:tx>
            <c:v>Right 3</c:v>
          </c:tx>
          <c:spPr>
            <a:ln w="19050">
              <a:solidFill>
                <a:srgbClr val="00B050"/>
              </a:solidFill>
            </a:ln>
          </c:spPr>
          <c:marker>
            <c:symbol val="none"/>
          </c:marker>
          <c:xVal>
            <c:numRef>
              <c:f>'Right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3 Kin'!$G$2:$G$102</c:f>
              <c:numCache>
                <c:formatCode>General</c:formatCode>
                <c:ptCount val="101"/>
                <c:pt idx="0">
                  <c:v>10.901300000000001</c:v>
                </c:pt>
                <c:pt idx="1">
                  <c:v>10.898622</c:v>
                </c:pt>
                <c:pt idx="2">
                  <c:v>10.895944</c:v>
                </c:pt>
                <c:pt idx="3">
                  <c:v>10.893266000000001</c:v>
                </c:pt>
                <c:pt idx="4">
                  <c:v>10.890252</c:v>
                </c:pt>
                <c:pt idx="5">
                  <c:v>10.885389999999999</c:v>
                </c:pt>
                <c:pt idx="6">
                  <c:v>10.880528</c:v>
                </c:pt>
                <c:pt idx="7">
                  <c:v>10.875666000000001</c:v>
                </c:pt>
                <c:pt idx="8">
                  <c:v>10.870516</c:v>
                </c:pt>
                <c:pt idx="9">
                  <c:v>10.864718</c:v>
                </c:pt>
                <c:pt idx="10">
                  <c:v>10.858919999999999</c:v>
                </c:pt>
                <c:pt idx="11">
                  <c:v>10.853122000000001</c:v>
                </c:pt>
                <c:pt idx="12">
                  <c:v>10.847156</c:v>
                </c:pt>
                <c:pt idx="13">
                  <c:v>10.840994</c:v>
                </c:pt>
                <c:pt idx="14">
                  <c:v>10.834832</c:v>
                </c:pt>
                <c:pt idx="15">
                  <c:v>10.828670000000001</c:v>
                </c:pt>
                <c:pt idx="16">
                  <c:v>10.822156</c:v>
                </c:pt>
                <c:pt idx="17">
                  <c:v>10.815422</c:v>
                </c:pt>
                <c:pt idx="18">
                  <c:v>10.808688</c:v>
                </c:pt>
                <c:pt idx="19">
                  <c:v>10.801954</c:v>
                </c:pt>
                <c:pt idx="20">
                  <c:v>10.79396</c:v>
                </c:pt>
                <c:pt idx="21">
                  <c:v>10.785588000000001</c:v>
                </c:pt>
                <c:pt idx="22">
                  <c:v>10.777215999999999</c:v>
                </c:pt>
                <c:pt idx="23">
                  <c:v>10.768844</c:v>
                </c:pt>
                <c:pt idx="24">
                  <c:v>10.757232</c:v>
                </c:pt>
                <c:pt idx="25">
                  <c:v>10.74535</c:v>
                </c:pt>
                <c:pt idx="26">
                  <c:v>10.733468</c:v>
                </c:pt>
                <c:pt idx="27">
                  <c:v>10.721116</c:v>
                </c:pt>
                <c:pt idx="28">
                  <c:v>10.703124000000001</c:v>
                </c:pt>
                <c:pt idx="29">
                  <c:v>10.685131999999999</c:v>
                </c:pt>
                <c:pt idx="30">
                  <c:v>10.66714</c:v>
                </c:pt>
                <c:pt idx="31">
                  <c:v>10.647017999999999</c:v>
                </c:pt>
                <c:pt idx="32">
                  <c:v>10.619795999999999</c:v>
                </c:pt>
                <c:pt idx="33">
                  <c:v>10.592574000000001</c:v>
                </c:pt>
                <c:pt idx="34">
                  <c:v>10.565352000000001</c:v>
                </c:pt>
                <c:pt idx="35">
                  <c:v>10.53328</c:v>
                </c:pt>
                <c:pt idx="36">
                  <c:v>10.493448000000001</c:v>
                </c:pt>
                <c:pt idx="37">
                  <c:v>10.453616</c:v>
                </c:pt>
                <c:pt idx="38">
                  <c:v>10.413784</c:v>
                </c:pt>
                <c:pt idx="39">
                  <c:v>10.3653</c:v>
                </c:pt>
                <c:pt idx="40">
                  <c:v>10.3094</c:v>
                </c:pt>
                <c:pt idx="41">
                  <c:v>10.253500000000001</c:v>
                </c:pt>
                <c:pt idx="42">
                  <c:v>10.1976</c:v>
                </c:pt>
                <c:pt idx="43">
                  <c:v>10.128376400000001</c:v>
                </c:pt>
                <c:pt idx="44">
                  <c:v>10.053231200000001</c:v>
                </c:pt>
                <c:pt idx="45">
                  <c:v>9.9780859999999993</c:v>
                </c:pt>
                <c:pt idx="46">
                  <c:v>9.9029407999999997</c:v>
                </c:pt>
                <c:pt idx="47">
                  <c:v>9.8093398000000001</c:v>
                </c:pt>
                <c:pt idx="48">
                  <c:v>9.7123832000000014</c:v>
                </c:pt>
                <c:pt idx="49">
                  <c:v>9.615426600000001</c:v>
                </c:pt>
                <c:pt idx="50">
                  <c:v>9.5184700000000007</c:v>
                </c:pt>
                <c:pt idx="51">
                  <c:v>9.3978871999999996</c:v>
                </c:pt>
                <c:pt idx="52">
                  <c:v>9.2773044000000002</c:v>
                </c:pt>
                <c:pt idx="53">
                  <c:v>9.1567216000000009</c:v>
                </c:pt>
                <c:pt idx="54">
                  <c:v>9.032394</c:v>
                </c:pt>
                <c:pt idx="55">
                  <c:v>8.8874700000000004</c:v>
                </c:pt>
                <c:pt idx="56">
                  <c:v>8.7425460000000008</c:v>
                </c:pt>
                <c:pt idx="57">
                  <c:v>8.5976219999999994</c:v>
                </c:pt>
                <c:pt idx="58">
                  <c:v>8.4453563999999997</c:v>
                </c:pt>
                <c:pt idx="59">
                  <c:v>8.2765722000000004</c:v>
                </c:pt>
                <c:pt idx="60">
                  <c:v>8.1077879999999993</c:v>
                </c:pt>
                <c:pt idx="61">
                  <c:v>7.9390037999999992</c:v>
                </c:pt>
                <c:pt idx="62">
                  <c:v>7.7600459999999982</c:v>
                </c:pt>
                <c:pt idx="63">
                  <c:v>7.5692189999999986</c:v>
                </c:pt>
                <c:pt idx="64">
                  <c:v>7.378391999999999</c:v>
                </c:pt>
                <c:pt idx="65">
                  <c:v>7.1875650000000002</c:v>
                </c:pt>
                <c:pt idx="66">
                  <c:v>6.9851507999999978</c:v>
                </c:pt>
                <c:pt idx="67">
                  <c:v>6.7754945999999991</c:v>
                </c:pt>
                <c:pt idx="68">
                  <c:v>6.5658384000000014</c:v>
                </c:pt>
                <c:pt idx="69">
                  <c:v>6.3561821999999983</c:v>
                </c:pt>
                <c:pt idx="70">
                  <c:v>6.1355239999999993</c:v>
                </c:pt>
                <c:pt idx="71">
                  <c:v>5.9115651999999974</c:v>
                </c:pt>
                <c:pt idx="72">
                  <c:v>5.6876063999999982</c:v>
                </c:pt>
                <c:pt idx="73">
                  <c:v>5.4636475999999989</c:v>
                </c:pt>
                <c:pt idx="74">
                  <c:v>5.2318335999999972</c:v>
                </c:pt>
                <c:pt idx="75">
                  <c:v>4.9993649999999983</c:v>
                </c:pt>
                <c:pt idx="76">
                  <c:v>4.7668963999999994</c:v>
                </c:pt>
                <c:pt idx="77">
                  <c:v>4.5342897999999972</c:v>
                </c:pt>
                <c:pt idx="78">
                  <c:v>4.3000271999999988</c:v>
                </c:pt>
                <c:pt idx="79">
                  <c:v>4.0657645999999996</c:v>
                </c:pt>
                <c:pt idx="80">
                  <c:v>3.8315019999999969</c:v>
                </c:pt>
                <c:pt idx="81">
                  <c:v>3.598558199999998</c:v>
                </c:pt>
                <c:pt idx="82">
                  <c:v>3.3700104</c:v>
                </c:pt>
                <c:pt idx="83">
                  <c:v>3.141462599999997</c:v>
                </c:pt>
                <c:pt idx="84">
                  <c:v>2.912914799999998</c:v>
                </c:pt>
                <c:pt idx="85">
                  <c:v>2.689545999999996</c:v>
                </c:pt>
                <c:pt idx="86">
                  <c:v>2.4744635999999969</c:v>
                </c:pt>
                <c:pt idx="87">
                  <c:v>2.2593811999999991</c:v>
                </c:pt>
                <c:pt idx="88">
                  <c:v>2.044298799999996</c:v>
                </c:pt>
                <c:pt idx="89">
                  <c:v>1.8406053999999981</c:v>
                </c:pt>
                <c:pt idx="90">
                  <c:v>1.646674</c:v>
                </c:pt>
                <c:pt idx="91">
                  <c:v>1.452742599999999</c:v>
                </c:pt>
                <c:pt idx="92">
                  <c:v>1.2588112000000009</c:v>
                </c:pt>
                <c:pt idx="93">
                  <c:v>1.084431940000002</c:v>
                </c:pt>
                <c:pt idx="94">
                  <c:v>0.9187425199999999</c:v>
                </c:pt>
                <c:pt idx="95">
                  <c:v>0.7530531000000007</c:v>
                </c:pt>
                <c:pt idx="96">
                  <c:v>0.5873636800000015</c:v>
                </c:pt>
                <c:pt idx="97">
                  <c:v>0.45080005999999989</c:v>
                </c:pt>
                <c:pt idx="98">
                  <c:v>0.31953204000000057</c:v>
                </c:pt>
                <c:pt idx="99">
                  <c:v>0.18826401999999939</c:v>
                </c:pt>
                <c:pt idx="100">
                  <c:v>5.6995999999999998E-2</c:v>
                </c:pt>
              </c:numCache>
            </c:numRef>
          </c:yVal>
          <c:smooth val="1"/>
          <c:extLst>
            <c:ext xmlns:c16="http://schemas.microsoft.com/office/drawing/2014/chart" uri="{C3380CC4-5D6E-409C-BE32-E72D297353CC}">
              <c16:uniqueId val="{00000004-202D-4A1F-B422-3BA7456E6AA2}"/>
            </c:ext>
          </c:extLst>
        </c:ser>
        <c:ser>
          <c:idx val="5"/>
          <c:order val="2"/>
          <c:tx>
            <c:v>Right 2</c:v>
          </c:tx>
          <c:spPr>
            <a:ln w="19050">
              <a:solidFill>
                <a:srgbClr val="00B050"/>
              </a:solidFill>
            </a:ln>
          </c:spPr>
          <c:marker>
            <c:symbol val="none"/>
          </c:marker>
          <c:xVal>
            <c:numRef>
              <c:f>'Right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2 Kin'!$G$2:$G$102</c:f>
              <c:numCache>
                <c:formatCode>General</c:formatCode>
                <c:ptCount val="101"/>
                <c:pt idx="0">
                  <c:v>10.4725</c:v>
                </c:pt>
                <c:pt idx="1">
                  <c:v>10.450009</c:v>
                </c:pt>
                <c:pt idx="2">
                  <c:v>10.427517999999999</c:v>
                </c:pt>
                <c:pt idx="3">
                  <c:v>10.405027</c:v>
                </c:pt>
                <c:pt idx="4">
                  <c:v>10.379864</c:v>
                </c:pt>
                <c:pt idx="5">
                  <c:v>10.348355</c:v>
                </c:pt>
                <c:pt idx="6">
                  <c:v>10.316846</c:v>
                </c:pt>
                <c:pt idx="7">
                  <c:v>10.285337</c:v>
                </c:pt>
                <c:pt idx="8">
                  <c:v>10.248915999999999</c:v>
                </c:pt>
                <c:pt idx="9">
                  <c:v>10.209118</c:v>
                </c:pt>
                <c:pt idx="10">
                  <c:v>10.169320000000001</c:v>
                </c:pt>
                <c:pt idx="11">
                  <c:v>10.129522</c:v>
                </c:pt>
                <c:pt idx="12">
                  <c:v>10.082785599999999</c:v>
                </c:pt>
                <c:pt idx="13">
                  <c:v>10.0351819</c:v>
                </c:pt>
                <c:pt idx="14">
                  <c:v>9.9875781999999997</c:v>
                </c:pt>
                <c:pt idx="15">
                  <c:v>9.9385745000000014</c:v>
                </c:pt>
                <c:pt idx="16">
                  <c:v>9.8834108000000001</c:v>
                </c:pt>
                <c:pt idx="17">
                  <c:v>9.8282471000000005</c:v>
                </c:pt>
                <c:pt idx="18">
                  <c:v>9.7730833999999991</c:v>
                </c:pt>
                <c:pt idx="19">
                  <c:v>9.7143056999999988</c:v>
                </c:pt>
                <c:pt idx="20">
                  <c:v>9.6516359999999999</c:v>
                </c:pt>
                <c:pt idx="21">
                  <c:v>9.5889663000000009</c:v>
                </c:pt>
                <c:pt idx="22">
                  <c:v>9.5262966000000002</c:v>
                </c:pt>
                <c:pt idx="23">
                  <c:v>9.4576671000000001</c:v>
                </c:pt>
                <c:pt idx="24">
                  <c:v>9.3873347999999996</c:v>
                </c:pt>
                <c:pt idx="25">
                  <c:v>9.3170024999999992</c:v>
                </c:pt>
                <c:pt idx="26">
                  <c:v>9.2460819999999995</c:v>
                </c:pt>
                <c:pt idx="27">
                  <c:v>9.1678090000000001</c:v>
                </c:pt>
                <c:pt idx="28">
                  <c:v>9.0895360000000007</c:v>
                </c:pt>
                <c:pt idx="29">
                  <c:v>9.0112629999999996</c:v>
                </c:pt>
                <c:pt idx="30">
                  <c:v>8.9299060000000008</c:v>
                </c:pt>
                <c:pt idx="31">
                  <c:v>8.8433062000000007</c:v>
                </c:pt>
                <c:pt idx="32">
                  <c:v>8.7567064000000006</c:v>
                </c:pt>
                <c:pt idx="33">
                  <c:v>8.6701066000000004</c:v>
                </c:pt>
                <c:pt idx="34">
                  <c:v>8.5776964000000007</c:v>
                </c:pt>
                <c:pt idx="35">
                  <c:v>8.4823810000000002</c:v>
                </c:pt>
                <c:pt idx="36">
                  <c:v>8.3870655999999997</c:v>
                </c:pt>
                <c:pt idx="37">
                  <c:v>8.291750200000001</c:v>
                </c:pt>
                <c:pt idx="38">
                  <c:v>8.1876910000000009</c:v>
                </c:pt>
                <c:pt idx="39">
                  <c:v>8.0832955000000002</c:v>
                </c:pt>
                <c:pt idx="40">
                  <c:v>7.9789000000000003</c:v>
                </c:pt>
                <c:pt idx="41">
                  <c:v>7.8720937000000006</c:v>
                </c:pt>
                <c:pt idx="42">
                  <c:v>7.7583994000000001</c:v>
                </c:pt>
                <c:pt idx="43">
                  <c:v>7.6447050999999986</c:v>
                </c:pt>
                <c:pt idx="44">
                  <c:v>7.5310107999999998</c:v>
                </c:pt>
                <c:pt idx="45">
                  <c:v>7.4121205000000003</c:v>
                </c:pt>
                <c:pt idx="46">
                  <c:v>7.2890734000000004</c:v>
                </c:pt>
                <c:pt idx="47">
                  <c:v>7.1660263000000004</c:v>
                </c:pt>
                <c:pt idx="48">
                  <c:v>7.0429792000000004</c:v>
                </c:pt>
                <c:pt idx="49">
                  <c:v>6.9121581000000001</c:v>
                </c:pt>
                <c:pt idx="50">
                  <c:v>6.779984999999999</c:v>
                </c:pt>
                <c:pt idx="51">
                  <c:v>6.6478118999999989</c:v>
                </c:pt>
                <c:pt idx="52">
                  <c:v>6.5143647999999992</c:v>
                </c:pt>
                <c:pt idx="53">
                  <c:v>6.3735921999999992</c:v>
                </c:pt>
                <c:pt idx="54">
                  <c:v>6.2328195999999991</c:v>
                </c:pt>
                <c:pt idx="55">
                  <c:v>6.0920469999999991</c:v>
                </c:pt>
                <c:pt idx="56">
                  <c:v>5.9478484000000007</c:v>
                </c:pt>
                <c:pt idx="57">
                  <c:v>5.7993673000000001</c:v>
                </c:pt>
                <c:pt idx="58">
                  <c:v>5.6508862000000004</c:v>
                </c:pt>
                <c:pt idx="59">
                  <c:v>5.5024051000000007</c:v>
                </c:pt>
                <c:pt idx="60">
                  <c:v>5.34917</c:v>
                </c:pt>
                <c:pt idx="61">
                  <c:v>5.1942709999999996</c:v>
                </c:pt>
                <c:pt idx="62">
                  <c:v>5.0393719999999984</c:v>
                </c:pt>
                <c:pt idx="63">
                  <c:v>4.8842980999999996</c:v>
                </c:pt>
                <c:pt idx="64">
                  <c:v>4.7246767999999992</c:v>
                </c:pt>
                <c:pt idx="65">
                  <c:v>4.5650555000000006</c:v>
                </c:pt>
                <c:pt idx="66">
                  <c:v>4.4054341999999993</c:v>
                </c:pt>
                <c:pt idx="67">
                  <c:v>4.2449300000000001</c:v>
                </c:pt>
                <c:pt idx="68">
                  <c:v>4.0826600000000006</c:v>
                </c:pt>
                <c:pt idx="69">
                  <c:v>3.920389999999998</c:v>
                </c:pt>
                <c:pt idx="70">
                  <c:v>3.758119999999999</c:v>
                </c:pt>
                <c:pt idx="71">
                  <c:v>3.5957275999999969</c:v>
                </c:pt>
                <c:pt idx="72">
                  <c:v>3.433263199999999</c:v>
                </c:pt>
                <c:pt idx="73">
                  <c:v>3.2707988000000001</c:v>
                </c:pt>
                <c:pt idx="74">
                  <c:v>3.1083343999999982</c:v>
                </c:pt>
                <c:pt idx="75">
                  <c:v>2.9482575</c:v>
                </c:pt>
                <c:pt idx="76">
                  <c:v>2.7883716000000009</c:v>
                </c:pt>
                <c:pt idx="77">
                  <c:v>2.6284856999999988</c:v>
                </c:pt>
                <c:pt idx="78">
                  <c:v>2.4698346</c:v>
                </c:pt>
                <c:pt idx="79">
                  <c:v>2.3155052999999999</c:v>
                </c:pt>
                <c:pt idx="80">
                  <c:v>2.161175999999998</c:v>
                </c:pt>
                <c:pt idx="81">
                  <c:v>2.0068466999999992</c:v>
                </c:pt>
                <c:pt idx="82">
                  <c:v>1.8570282</c:v>
                </c:pt>
                <c:pt idx="83">
                  <c:v>1.711398299999999</c:v>
                </c:pt>
                <c:pt idx="84">
                  <c:v>1.5657684000000001</c:v>
                </c:pt>
                <c:pt idx="85">
                  <c:v>1.420138499999998</c:v>
                </c:pt>
                <c:pt idx="86">
                  <c:v>1.2841762799999989</c:v>
                </c:pt>
                <c:pt idx="87">
                  <c:v>1.15041126</c:v>
                </c:pt>
                <c:pt idx="88">
                  <c:v>1.0166462399999989</c:v>
                </c:pt>
                <c:pt idx="89">
                  <c:v>0.88454180999999998</c:v>
                </c:pt>
                <c:pt idx="90">
                  <c:v>0.76572210000000029</c:v>
                </c:pt>
                <c:pt idx="91">
                  <c:v>0.64690238999999894</c:v>
                </c:pt>
                <c:pt idx="92">
                  <c:v>0.52808267999999925</c:v>
                </c:pt>
                <c:pt idx="93">
                  <c:v>0.41653350799999977</c:v>
                </c:pt>
                <c:pt idx="94">
                  <c:v>0.31555966399999902</c:v>
                </c:pt>
                <c:pt idx="95">
                  <c:v>0.21458581999999959</c:v>
                </c:pt>
                <c:pt idx="96">
                  <c:v>0.11361197600000029</c:v>
                </c:pt>
                <c:pt idx="97">
                  <c:v>2.6996317999999599E-2</c:v>
                </c:pt>
                <c:pt idx="98">
                  <c:v>-5.3573787999999893E-2</c:v>
                </c:pt>
                <c:pt idx="99">
                  <c:v>-0.13414389400000051</c:v>
                </c:pt>
                <c:pt idx="100">
                  <c:v>-0.21471399999999999</c:v>
                </c:pt>
              </c:numCache>
            </c:numRef>
          </c:yVal>
          <c:smooth val="1"/>
          <c:extLst>
            <c:ext xmlns:c16="http://schemas.microsoft.com/office/drawing/2014/chart" uri="{C3380CC4-5D6E-409C-BE32-E72D297353CC}">
              <c16:uniqueId val="{00000003-202D-4A1F-B422-3BA7456E6AA2}"/>
            </c:ext>
          </c:extLst>
        </c:ser>
        <c:ser>
          <c:idx val="4"/>
          <c:order val="3"/>
          <c:tx>
            <c:v>Right 1</c:v>
          </c:tx>
          <c:spPr>
            <a:ln w="19050">
              <a:solidFill>
                <a:srgbClr val="00B050"/>
              </a:solidFill>
            </a:ln>
          </c:spPr>
          <c:marker>
            <c:symbol val="none"/>
          </c:marker>
          <c:xVal>
            <c:numRef>
              <c:f>'Right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1 Kin'!$G$2:$G$102</c:f>
              <c:numCache>
                <c:formatCode>General</c:formatCode>
                <c:ptCount val="101"/>
                <c:pt idx="0">
                  <c:v>9.5479299999999991</c:v>
                </c:pt>
                <c:pt idx="1">
                  <c:v>9.5298137000000001</c:v>
                </c:pt>
                <c:pt idx="2">
                  <c:v>9.5116973999999992</c:v>
                </c:pt>
                <c:pt idx="3">
                  <c:v>9.4935811000000001</c:v>
                </c:pt>
                <c:pt idx="4">
                  <c:v>9.4734136000000007</c:v>
                </c:pt>
                <c:pt idx="5">
                  <c:v>9.4515794999999994</c:v>
                </c:pt>
                <c:pt idx="6">
                  <c:v>9.4297453999999998</c:v>
                </c:pt>
                <c:pt idx="7">
                  <c:v>9.4078393000000009</c:v>
                </c:pt>
                <c:pt idx="8">
                  <c:v>9.3853092</c:v>
                </c:pt>
                <c:pt idx="9">
                  <c:v>9.3627791000000009</c:v>
                </c:pt>
                <c:pt idx="10">
                  <c:v>9.340249</c:v>
                </c:pt>
                <c:pt idx="11">
                  <c:v>9.3190090000000012</c:v>
                </c:pt>
                <c:pt idx="12">
                  <c:v>9.2984480000000005</c:v>
                </c:pt>
                <c:pt idx="13">
                  <c:v>9.2778869999999998</c:v>
                </c:pt>
                <c:pt idx="14">
                  <c:v>9.2581780000000009</c:v>
                </c:pt>
                <c:pt idx="15">
                  <c:v>9.2417350000000003</c:v>
                </c:pt>
                <c:pt idx="16">
                  <c:v>9.2252919999999996</c:v>
                </c:pt>
                <c:pt idx="17">
                  <c:v>9.208848999999999</c:v>
                </c:pt>
                <c:pt idx="18">
                  <c:v>9.1966497999999994</c:v>
                </c:pt>
                <c:pt idx="19">
                  <c:v>9.1858009000000003</c:v>
                </c:pt>
                <c:pt idx="20">
                  <c:v>9.1749519999999993</c:v>
                </c:pt>
                <c:pt idx="21">
                  <c:v>9.1660254999999999</c:v>
                </c:pt>
                <c:pt idx="22">
                  <c:v>9.161370999999999</c:v>
                </c:pt>
                <c:pt idx="23">
                  <c:v>9.1567164999999999</c:v>
                </c:pt>
                <c:pt idx="24">
                  <c:v>9.152061999999999</c:v>
                </c:pt>
                <c:pt idx="25">
                  <c:v>9.1524750000000008</c:v>
                </c:pt>
                <c:pt idx="26">
                  <c:v>9.1536988000000008</c:v>
                </c:pt>
                <c:pt idx="27">
                  <c:v>9.1549226000000008</c:v>
                </c:pt>
                <c:pt idx="28">
                  <c:v>9.1580411999999995</c:v>
                </c:pt>
                <c:pt idx="29">
                  <c:v>9.1638441000000004</c:v>
                </c:pt>
                <c:pt idx="30">
                  <c:v>9.1696469999999994</c:v>
                </c:pt>
                <c:pt idx="31">
                  <c:v>9.1754498999999985</c:v>
                </c:pt>
                <c:pt idx="32">
                  <c:v>9.1834787999999996</c:v>
                </c:pt>
                <c:pt idx="33">
                  <c:v>9.191587199999999</c:v>
                </c:pt>
                <c:pt idx="34">
                  <c:v>9.1996956000000001</c:v>
                </c:pt>
                <c:pt idx="35">
                  <c:v>9.2073944999999995</c:v>
                </c:pt>
                <c:pt idx="36">
                  <c:v>9.2147112</c:v>
                </c:pt>
                <c:pt idx="37">
                  <c:v>9.2220279000000005</c:v>
                </c:pt>
                <c:pt idx="38">
                  <c:v>9.2290284000000007</c:v>
                </c:pt>
                <c:pt idx="39">
                  <c:v>9.2317602000000001</c:v>
                </c:pt>
                <c:pt idx="40">
                  <c:v>9.2344919999999995</c:v>
                </c:pt>
                <c:pt idx="41">
                  <c:v>9.2372238000000007</c:v>
                </c:pt>
                <c:pt idx="42">
                  <c:v>9.2345015999999998</c:v>
                </c:pt>
                <c:pt idx="43">
                  <c:v>9.228446400000001</c:v>
                </c:pt>
                <c:pt idx="44">
                  <c:v>9.2223912000000006</c:v>
                </c:pt>
                <c:pt idx="45">
                  <c:v>9.2140705000000001</c:v>
                </c:pt>
                <c:pt idx="46">
                  <c:v>9.1948754000000008</c:v>
                </c:pt>
                <c:pt idx="47">
                  <c:v>9.1756802999999998</c:v>
                </c:pt>
                <c:pt idx="48">
                  <c:v>9.1564852000000005</c:v>
                </c:pt>
                <c:pt idx="49">
                  <c:v>9.1247740999999998</c:v>
                </c:pt>
                <c:pt idx="50">
                  <c:v>9.0882949999999987</c:v>
                </c:pt>
                <c:pt idx="51">
                  <c:v>9.0518158999999994</c:v>
                </c:pt>
                <c:pt idx="52">
                  <c:v>9.0095624000000001</c:v>
                </c:pt>
                <c:pt idx="53">
                  <c:v>8.9521511</c:v>
                </c:pt>
                <c:pt idx="54">
                  <c:v>8.8947398</c:v>
                </c:pt>
                <c:pt idx="55">
                  <c:v>8.8373284999999999</c:v>
                </c:pt>
                <c:pt idx="56">
                  <c:v>8.7602227999999993</c:v>
                </c:pt>
                <c:pt idx="57">
                  <c:v>8.6790140999999998</c:v>
                </c:pt>
                <c:pt idx="58">
                  <c:v>8.5978054000000004</c:v>
                </c:pt>
                <c:pt idx="59">
                  <c:v>8.5068914000000007</c:v>
                </c:pt>
                <c:pt idx="60">
                  <c:v>8.4000959999999996</c:v>
                </c:pt>
                <c:pt idx="61">
                  <c:v>8.2933006000000002</c:v>
                </c:pt>
                <c:pt idx="62">
                  <c:v>8.1865052000000009</c:v>
                </c:pt>
                <c:pt idx="63">
                  <c:v>8.0553450000000009</c:v>
                </c:pt>
                <c:pt idx="64">
                  <c:v>7.9223800000000004</c:v>
                </c:pt>
                <c:pt idx="65">
                  <c:v>7.7894150000000009</c:v>
                </c:pt>
                <c:pt idx="66">
                  <c:v>7.6441873999999999</c:v>
                </c:pt>
                <c:pt idx="67">
                  <c:v>7.4858212999999996</c:v>
                </c:pt>
                <c:pt idx="68">
                  <c:v>7.3274552000000019</c:v>
                </c:pt>
                <c:pt idx="69">
                  <c:v>7.1682870000000003</c:v>
                </c:pt>
                <c:pt idx="70">
                  <c:v>6.9866600000000014</c:v>
                </c:pt>
                <c:pt idx="71">
                  <c:v>6.8050329999999999</c:v>
                </c:pt>
                <c:pt idx="72">
                  <c:v>6.6234060000000001</c:v>
                </c:pt>
                <c:pt idx="73">
                  <c:v>6.4301765000000008</c:v>
                </c:pt>
                <c:pt idx="74">
                  <c:v>6.228756999999999</c:v>
                </c:pt>
                <c:pt idx="75">
                  <c:v>6.0273374999999989</c:v>
                </c:pt>
                <c:pt idx="76">
                  <c:v>5.8238336000000004</c:v>
                </c:pt>
                <c:pt idx="77">
                  <c:v>5.6073021999999986</c:v>
                </c:pt>
                <c:pt idx="78">
                  <c:v>5.3907708000000003</c:v>
                </c:pt>
                <c:pt idx="79">
                  <c:v>5.1742394000000012</c:v>
                </c:pt>
                <c:pt idx="80">
                  <c:v>4.9512259999999992</c:v>
                </c:pt>
                <c:pt idx="81">
                  <c:v>4.7252957000000002</c:v>
                </c:pt>
                <c:pt idx="82">
                  <c:v>4.4993654000000012</c:v>
                </c:pt>
                <c:pt idx="83">
                  <c:v>4.2727385999999976</c:v>
                </c:pt>
                <c:pt idx="84">
                  <c:v>4.0439227999999998</c:v>
                </c:pt>
                <c:pt idx="85">
                  <c:v>3.8151069999999971</c:v>
                </c:pt>
                <c:pt idx="86">
                  <c:v>3.586291199999998</c:v>
                </c:pt>
                <c:pt idx="87">
                  <c:v>3.3606954</c:v>
                </c:pt>
                <c:pt idx="88">
                  <c:v>3.1359395999999991</c:v>
                </c:pt>
                <c:pt idx="89">
                  <c:v>2.9111837999999999</c:v>
                </c:pt>
                <c:pt idx="90">
                  <c:v>2.690304000000002</c:v>
                </c:pt>
                <c:pt idx="91">
                  <c:v>2.476788599999999</c:v>
                </c:pt>
                <c:pt idx="92">
                  <c:v>2.2632732</c:v>
                </c:pt>
                <c:pt idx="93">
                  <c:v>2.049757800000001</c:v>
                </c:pt>
                <c:pt idx="94">
                  <c:v>1.8525391999999989</c:v>
                </c:pt>
                <c:pt idx="95">
                  <c:v>1.657200999999999</c:v>
                </c:pt>
                <c:pt idx="96">
                  <c:v>1.4618628</c:v>
                </c:pt>
                <c:pt idx="97">
                  <c:v>1.277542879999999</c:v>
                </c:pt>
                <c:pt idx="98">
                  <c:v>1.10678392</c:v>
                </c:pt>
                <c:pt idx="99">
                  <c:v>0.93602495999999868</c:v>
                </c:pt>
                <c:pt idx="100">
                  <c:v>0.765266</c:v>
                </c:pt>
              </c:numCache>
            </c:numRef>
          </c:yVal>
          <c:smooth val="1"/>
          <c:extLst>
            <c:ext xmlns:c16="http://schemas.microsoft.com/office/drawing/2014/chart" uri="{C3380CC4-5D6E-409C-BE32-E72D297353CC}">
              <c16:uniqueId val="{00000002-202D-4A1F-B422-3BA7456E6AA2}"/>
            </c:ext>
          </c:extLst>
        </c:ser>
        <c:ser>
          <c:idx val="3"/>
          <c:order val="4"/>
          <c:tx>
            <c:v>Left 3</c:v>
          </c:tx>
          <c:spPr>
            <a:ln w="19050">
              <a:solidFill>
                <a:srgbClr val="FF0000"/>
              </a:solidFill>
            </a:ln>
          </c:spPr>
          <c:marker>
            <c:symbol val="none"/>
          </c:marker>
          <c:xVal>
            <c:numRef>
              <c:f>'Left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3 Kin'!$G$2:$G$102</c:f>
              <c:numCache>
                <c:formatCode>General</c:formatCode>
                <c:ptCount val="101"/>
                <c:pt idx="0">
                  <c:v>13.223100000000001</c:v>
                </c:pt>
                <c:pt idx="1">
                  <c:v>13.155343999999999</c:v>
                </c:pt>
                <c:pt idx="2">
                  <c:v>13.087588</c:v>
                </c:pt>
                <c:pt idx="3">
                  <c:v>13.019831999999999</c:v>
                </c:pt>
                <c:pt idx="4">
                  <c:v>12.952176</c:v>
                </c:pt>
                <c:pt idx="5">
                  <c:v>12.885070000000001</c:v>
                </c:pt>
                <c:pt idx="6">
                  <c:v>12.817964</c:v>
                </c:pt>
                <c:pt idx="7">
                  <c:v>12.750857999999999</c:v>
                </c:pt>
                <c:pt idx="8">
                  <c:v>12.684552</c:v>
                </c:pt>
                <c:pt idx="9">
                  <c:v>12.620046</c:v>
                </c:pt>
                <c:pt idx="10">
                  <c:v>12.555540000000001</c:v>
                </c:pt>
                <c:pt idx="11">
                  <c:v>12.491034000000001</c:v>
                </c:pt>
                <c:pt idx="12">
                  <c:v>12.428304000000001</c:v>
                </c:pt>
                <c:pt idx="13">
                  <c:v>12.367646000000001</c:v>
                </c:pt>
                <c:pt idx="14">
                  <c:v>12.306988</c:v>
                </c:pt>
                <c:pt idx="15">
                  <c:v>12.24633</c:v>
                </c:pt>
                <c:pt idx="16">
                  <c:v>12.188392</c:v>
                </c:pt>
                <c:pt idx="17">
                  <c:v>12.132154</c:v>
                </c:pt>
                <c:pt idx="18">
                  <c:v>12.075915999999999</c:v>
                </c:pt>
                <c:pt idx="19">
                  <c:v>12.019678000000001</c:v>
                </c:pt>
                <c:pt idx="20">
                  <c:v>11.96658</c:v>
                </c:pt>
                <c:pt idx="21">
                  <c:v>11.914424</c:v>
                </c:pt>
                <c:pt idx="22">
                  <c:v>11.862268</c:v>
                </c:pt>
                <c:pt idx="23">
                  <c:v>11.810112</c:v>
                </c:pt>
                <c:pt idx="24">
                  <c:v>11.760764</c:v>
                </c:pt>
                <c:pt idx="25">
                  <c:v>11.711650000000001</c:v>
                </c:pt>
                <c:pt idx="26">
                  <c:v>11.662535999999999</c:v>
                </c:pt>
                <c:pt idx="27">
                  <c:v>11.613504000000001</c:v>
                </c:pt>
                <c:pt idx="28">
                  <c:v>11.565455999999999</c:v>
                </c:pt>
                <c:pt idx="29">
                  <c:v>11.517408</c:v>
                </c:pt>
                <c:pt idx="30">
                  <c:v>11.46936</c:v>
                </c:pt>
                <c:pt idx="31">
                  <c:v>11.420964</c:v>
                </c:pt>
                <c:pt idx="32">
                  <c:v>11.371408000000001</c:v>
                </c:pt>
                <c:pt idx="33">
                  <c:v>11.321852</c:v>
                </c:pt>
                <c:pt idx="34">
                  <c:v>11.272296000000001</c:v>
                </c:pt>
                <c:pt idx="35">
                  <c:v>11.220929999999999</c:v>
                </c:pt>
                <c:pt idx="36">
                  <c:v>11.166668</c:v>
                </c:pt>
                <c:pt idx="37">
                  <c:v>11.112406</c:v>
                </c:pt>
                <c:pt idx="38">
                  <c:v>11.058144</c:v>
                </c:pt>
                <c:pt idx="39">
                  <c:v>10.999472000000001</c:v>
                </c:pt>
                <c:pt idx="40">
                  <c:v>10.93702</c:v>
                </c:pt>
                <c:pt idx="41">
                  <c:v>10.874568</c:v>
                </c:pt>
                <c:pt idx="42">
                  <c:v>10.812116</c:v>
                </c:pt>
                <c:pt idx="43">
                  <c:v>10.741546</c:v>
                </c:pt>
                <c:pt idx="44">
                  <c:v>10.667368</c:v>
                </c:pt>
                <c:pt idx="45">
                  <c:v>10.59319</c:v>
                </c:pt>
                <c:pt idx="46">
                  <c:v>10.519012</c:v>
                </c:pt>
                <c:pt idx="47">
                  <c:v>10.432008</c:v>
                </c:pt>
                <c:pt idx="48">
                  <c:v>10.342672</c:v>
                </c:pt>
                <c:pt idx="49">
                  <c:v>10.253335999999999</c:v>
                </c:pt>
                <c:pt idx="50">
                  <c:v>10.164</c:v>
                </c:pt>
                <c:pt idx="51">
                  <c:v>10.056672000000001</c:v>
                </c:pt>
                <c:pt idx="52">
                  <c:v>9.949344</c:v>
                </c:pt>
                <c:pt idx="53">
                  <c:v>9.842016000000001</c:v>
                </c:pt>
                <c:pt idx="54">
                  <c:v>9.731587600000001</c:v>
                </c:pt>
                <c:pt idx="55">
                  <c:v>9.6041069999999991</c:v>
                </c:pt>
                <c:pt idx="56">
                  <c:v>9.4766264000000007</c:v>
                </c:pt>
                <c:pt idx="57">
                  <c:v>9.3491458000000005</c:v>
                </c:pt>
                <c:pt idx="58">
                  <c:v>9.2151435999999993</c:v>
                </c:pt>
                <c:pt idx="59">
                  <c:v>9.0664677999999999</c:v>
                </c:pt>
                <c:pt idx="60">
                  <c:v>8.9177919999999986</c:v>
                </c:pt>
                <c:pt idx="61">
                  <c:v>8.7691161999999991</c:v>
                </c:pt>
                <c:pt idx="62">
                  <c:v>8.6107695999999994</c:v>
                </c:pt>
                <c:pt idx="63">
                  <c:v>8.4411404000000001</c:v>
                </c:pt>
                <c:pt idx="64">
                  <c:v>8.2715111999999991</c:v>
                </c:pt>
                <c:pt idx="65">
                  <c:v>8.1018819999999998</c:v>
                </c:pt>
                <c:pt idx="66">
                  <c:v>7.9204879999999989</c:v>
                </c:pt>
                <c:pt idx="67">
                  <c:v>7.7317410000000004</c:v>
                </c:pt>
                <c:pt idx="68">
                  <c:v>7.5429940000000002</c:v>
                </c:pt>
                <c:pt idx="69">
                  <c:v>7.3542469999999991</c:v>
                </c:pt>
                <c:pt idx="70">
                  <c:v>7.1534459999999997</c:v>
                </c:pt>
                <c:pt idx="71">
                  <c:v>6.9490287999999971</c:v>
                </c:pt>
                <c:pt idx="72">
                  <c:v>6.7446115999999989</c:v>
                </c:pt>
                <c:pt idx="73">
                  <c:v>6.540194399999999</c:v>
                </c:pt>
                <c:pt idx="74">
                  <c:v>6.3260595999999971</c:v>
                </c:pt>
                <c:pt idx="75">
                  <c:v>6.1111149999999981</c:v>
                </c:pt>
                <c:pt idx="76">
                  <c:v>5.896170399999999</c:v>
                </c:pt>
                <c:pt idx="77">
                  <c:v>5.6809249999999976</c:v>
                </c:pt>
                <c:pt idx="78">
                  <c:v>5.462069999999998</c:v>
                </c:pt>
                <c:pt idx="79">
                  <c:v>5.2432149999999993</c:v>
                </c:pt>
                <c:pt idx="80">
                  <c:v>5.0243599999999979</c:v>
                </c:pt>
                <c:pt idx="81">
                  <c:v>4.8064025999999993</c:v>
                </c:pt>
                <c:pt idx="82">
                  <c:v>4.5914371999999997</c:v>
                </c:pt>
                <c:pt idx="83">
                  <c:v>4.3764717999999974</c:v>
                </c:pt>
                <c:pt idx="84">
                  <c:v>4.1615063999999986</c:v>
                </c:pt>
                <c:pt idx="85">
                  <c:v>3.951259999999996</c:v>
                </c:pt>
                <c:pt idx="86">
                  <c:v>3.7485639999999969</c:v>
                </c:pt>
                <c:pt idx="87">
                  <c:v>3.5458679999999991</c:v>
                </c:pt>
                <c:pt idx="88">
                  <c:v>3.3431719999999969</c:v>
                </c:pt>
                <c:pt idx="89">
                  <c:v>3.1516325999999988</c:v>
                </c:pt>
                <c:pt idx="90">
                  <c:v>2.9696560000000001</c:v>
                </c:pt>
                <c:pt idx="91">
                  <c:v>2.7876793999999991</c:v>
                </c:pt>
                <c:pt idx="92">
                  <c:v>2.6057028</c:v>
                </c:pt>
                <c:pt idx="93">
                  <c:v>2.4434722000000009</c:v>
                </c:pt>
                <c:pt idx="94">
                  <c:v>2.2900176000000001</c:v>
                </c:pt>
                <c:pt idx="95">
                  <c:v>2.1365630000000011</c:v>
                </c:pt>
                <c:pt idx="96">
                  <c:v>1.983108400000001</c:v>
                </c:pt>
                <c:pt idx="97">
                  <c:v>1.8593274</c:v>
                </c:pt>
                <c:pt idx="98">
                  <c:v>1.7409416000000011</c:v>
                </c:pt>
                <c:pt idx="99">
                  <c:v>1.6225557999999991</c:v>
                </c:pt>
                <c:pt idx="100">
                  <c:v>1.50417</c:v>
                </c:pt>
              </c:numCache>
            </c:numRef>
          </c:yVal>
          <c:smooth val="1"/>
          <c:extLst>
            <c:ext xmlns:c16="http://schemas.microsoft.com/office/drawing/2014/chart" uri="{C3380CC4-5D6E-409C-BE32-E72D297353CC}">
              <c16:uniqueId val="{00000001-202D-4A1F-B422-3BA7456E6AA2}"/>
            </c:ext>
          </c:extLst>
        </c:ser>
        <c:ser>
          <c:idx val="2"/>
          <c:order val="5"/>
          <c:tx>
            <c:v>Left 2</c:v>
          </c:tx>
          <c:spPr>
            <a:ln w="19050">
              <a:solidFill>
                <a:srgbClr val="FF0000"/>
              </a:solidFill>
            </a:ln>
          </c:spPr>
          <c:marker>
            <c:symbol val="none"/>
          </c:marker>
          <c:xVal>
            <c:numRef>
              <c:f>'Left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2 Kin'!$G$2:$G$102</c:f>
              <c:numCache>
                <c:formatCode>General</c:formatCode>
                <c:ptCount val="101"/>
                <c:pt idx="0">
                  <c:v>12.742699999999999</c:v>
                </c:pt>
                <c:pt idx="1">
                  <c:v>12.704636000000001</c:v>
                </c:pt>
                <c:pt idx="2">
                  <c:v>12.666572</c:v>
                </c:pt>
                <c:pt idx="3">
                  <c:v>12.628508</c:v>
                </c:pt>
                <c:pt idx="4">
                  <c:v>12.590444</c:v>
                </c:pt>
                <c:pt idx="5">
                  <c:v>12.54256</c:v>
                </c:pt>
                <c:pt idx="6">
                  <c:v>12.492711999999999</c:v>
                </c:pt>
                <c:pt idx="7">
                  <c:v>12.442864</c:v>
                </c:pt>
                <c:pt idx="8">
                  <c:v>12.393015999999999</c:v>
                </c:pt>
                <c:pt idx="9">
                  <c:v>12.335296</c:v>
                </c:pt>
                <c:pt idx="10">
                  <c:v>12.27364</c:v>
                </c:pt>
                <c:pt idx="11">
                  <c:v>12.211983999999999</c:v>
                </c:pt>
                <c:pt idx="12">
                  <c:v>12.150328</c:v>
                </c:pt>
                <c:pt idx="13">
                  <c:v>12.082792</c:v>
                </c:pt>
                <c:pt idx="14">
                  <c:v>12.009376</c:v>
                </c:pt>
                <c:pt idx="15">
                  <c:v>11.93596</c:v>
                </c:pt>
                <c:pt idx="16">
                  <c:v>11.862544</c:v>
                </c:pt>
                <c:pt idx="17">
                  <c:v>11.785223999999999</c:v>
                </c:pt>
                <c:pt idx="18">
                  <c:v>11.700096</c:v>
                </c:pt>
                <c:pt idx="19">
                  <c:v>11.614967999999999</c:v>
                </c:pt>
                <c:pt idx="20">
                  <c:v>11.52984</c:v>
                </c:pt>
                <c:pt idx="21">
                  <c:v>11.442784</c:v>
                </c:pt>
                <c:pt idx="22">
                  <c:v>11.346088</c:v>
                </c:pt>
                <c:pt idx="23">
                  <c:v>11.249392</c:v>
                </c:pt>
                <c:pt idx="24">
                  <c:v>11.152696000000001</c:v>
                </c:pt>
                <c:pt idx="25">
                  <c:v>11.055999999999999</c:v>
                </c:pt>
                <c:pt idx="26">
                  <c:v>10.947952000000001</c:v>
                </c:pt>
                <c:pt idx="27">
                  <c:v>10.839904000000001</c:v>
                </c:pt>
                <c:pt idx="28">
                  <c:v>10.731856000000001</c:v>
                </c:pt>
                <c:pt idx="29">
                  <c:v>10.623808</c:v>
                </c:pt>
                <c:pt idx="30">
                  <c:v>10.506600000000001</c:v>
                </c:pt>
                <c:pt idx="31">
                  <c:v>10.387560000000001</c:v>
                </c:pt>
                <c:pt idx="32">
                  <c:v>10.268520000000001</c:v>
                </c:pt>
                <c:pt idx="33">
                  <c:v>10.149480000000001</c:v>
                </c:pt>
                <c:pt idx="34">
                  <c:v>10.023476799999999</c:v>
                </c:pt>
                <c:pt idx="35">
                  <c:v>9.8939920000000008</c:v>
                </c:pt>
                <c:pt idx="36">
                  <c:v>9.7645072000000006</c:v>
                </c:pt>
                <c:pt idx="37">
                  <c:v>9.6350224000000004</c:v>
                </c:pt>
                <c:pt idx="38">
                  <c:v>9.5006751999999999</c:v>
                </c:pt>
                <c:pt idx="39">
                  <c:v>9.3614656000000007</c:v>
                </c:pt>
                <c:pt idx="40">
                  <c:v>9.2222559999999998</c:v>
                </c:pt>
                <c:pt idx="41">
                  <c:v>9.0830464000000006</c:v>
                </c:pt>
                <c:pt idx="42">
                  <c:v>8.940918400000001</c:v>
                </c:pt>
                <c:pt idx="43">
                  <c:v>8.7929536000000006</c:v>
                </c:pt>
                <c:pt idx="44">
                  <c:v>8.6449888000000001</c:v>
                </c:pt>
                <c:pt idx="45">
                  <c:v>8.4970240000000015</c:v>
                </c:pt>
                <c:pt idx="46">
                  <c:v>8.3477996000000001</c:v>
                </c:pt>
                <c:pt idx="47">
                  <c:v>8.1922771999999995</c:v>
                </c:pt>
                <c:pt idx="48">
                  <c:v>8.0367548000000006</c:v>
                </c:pt>
                <c:pt idx="49">
                  <c:v>7.8812324000000009</c:v>
                </c:pt>
                <c:pt idx="50">
                  <c:v>7.7257100000000003</c:v>
                </c:pt>
                <c:pt idx="51">
                  <c:v>7.5641011999999996</c:v>
                </c:pt>
                <c:pt idx="52">
                  <c:v>7.4024924000000007</c:v>
                </c:pt>
                <c:pt idx="53">
                  <c:v>7.2408836000000001</c:v>
                </c:pt>
                <c:pt idx="54">
                  <c:v>7.0792748000000003</c:v>
                </c:pt>
                <c:pt idx="55">
                  <c:v>6.9140180000000004</c:v>
                </c:pt>
                <c:pt idx="56">
                  <c:v>6.7480316000000009</c:v>
                </c:pt>
                <c:pt idx="57">
                  <c:v>6.5820451999999996</c:v>
                </c:pt>
                <c:pt idx="58">
                  <c:v>6.4160588000000001</c:v>
                </c:pt>
                <c:pt idx="59">
                  <c:v>6.2484724000000007</c:v>
                </c:pt>
                <c:pt idx="60">
                  <c:v>6.0800860000000014</c:v>
                </c:pt>
                <c:pt idx="61">
                  <c:v>5.9116995999999986</c:v>
                </c:pt>
                <c:pt idx="62">
                  <c:v>5.7433131999999993</c:v>
                </c:pt>
                <c:pt idx="63">
                  <c:v>5.5748224000000004</c:v>
                </c:pt>
                <c:pt idx="64">
                  <c:v>5.4062272</c:v>
                </c:pt>
                <c:pt idx="65">
                  <c:v>5.2376320000000014</c:v>
                </c:pt>
                <c:pt idx="66">
                  <c:v>5.0690367999999992</c:v>
                </c:pt>
                <c:pt idx="67">
                  <c:v>4.9011600000000008</c:v>
                </c:pt>
                <c:pt idx="68">
                  <c:v>4.7347200000000011</c:v>
                </c:pt>
                <c:pt idx="69">
                  <c:v>4.5682799999999997</c:v>
                </c:pt>
                <c:pt idx="70">
                  <c:v>4.40184</c:v>
                </c:pt>
                <c:pt idx="71">
                  <c:v>4.2361767999999991</c:v>
                </c:pt>
                <c:pt idx="72">
                  <c:v>4.0743976000000002</c:v>
                </c:pt>
                <c:pt idx="73">
                  <c:v>3.9126183999999999</c:v>
                </c:pt>
                <c:pt idx="74">
                  <c:v>3.7508391999999988</c:v>
                </c:pt>
                <c:pt idx="75">
                  <c:v>3.5890599999999999</c:v>
                </c:pt>
                <c:pt idx="76">
                  <c:v>3.4345288000000012</c:v>
                </c:pt>
                <c:pt idx="77">
                  <c:v>3.2799975999999988</c:v>
                </c:pt>
                <c:pt idx="78">
                  <c:v>3.1254664000000001</c:v>
                </c:pt>
                <c:pt idx="79">
                  <c:v>2.9709352000000009</c:v>
                </c:pt>
                <c:pt idx="80">
                  <c:v>2.824592</c:v>
                </c:pt>
                <c:pt idx="81">
                  <c:v>2.6798864</c:v>
                </c:pt>
                <c:pt idx="82">
                  <c:v>2.5351808000000009</c:v>
                </c:pt>
                <c:pt idx="83">
                  <c:v>2.3904752</c:v>
                </c:pt>
                <c:pt idx="84">
                  <c:v>2.2540048000000001</c:v>
                </c:pt>
                <c:pt idx="85">
                  <c:v>2.1216519999999992</c:v>
                </c:pt>
                <c:pt idx="86">
                  <c:v>1.9892992</c:v>
                </c:pt>
                <c:pt idx="87">
                  <c:v>1.8569464</c:v>
                </c:pt>
                <c:pt idx="88">
                  <c:v>1.731951999999999</c:v>
                </c:pt>
                <c:pt idx="89">
                  <c:v>1.6143160000000001</c:v>
                </c:pt>
                <c:pt idx="90">
                  <c:v>1.4966800000000009</c:v>
                </c:pt>
                <c:pt idx="91">
                  <c:v>1.3790439999999999</c:v>
                </c:pt>
                <c:pt idx="92">
                  <c:v>1.26703784</c:v>
                </c:pt>
                <c:pt idx="93">
                  <c:v>1.1662913600000011</c:v>
                </c:pt>
                <c:pt idx="94">
                  <c:v>1.06554488</c:v>
                </c:pt>
                <c:pt idx="95">
                  <c:v>0.96479840000000039</c:v>
                </c:pt>
                <c:pt idx="96">
                  <c:v>0.86718228000000075</c:v>
                </c:pt>
                <c:pt idx="97">
                  <c:v>0.78521795999999999</c:v>
                </c:pt>
                <c:pt idx="98">
                  <c:v>0.70325364000000035</c:v>
                </c:pt>
                <c:pt idx="99">
                  <c:v>0.62128931999999959</c:v>
                </c:pt>
                <c:pt idx="100">
                  <c:v>0.53932500000000005</c:v>
                </c:pt>
              </c:numCache>
            </c:numRef>
          </c:yVal>
          <c:smooth val="1"/>
          <c:extLst>
            <c:ext xmlns:c16="http://schemas.microsoft.com/office/drawing/2014/chart" uri="{C3380CC4-5D6E-409C-BE32-E72D297353CC}">
              <c16:uniqueId val="{00000000-202D-4A1F-B422-3BA7456E6AA2}"/>
            </c:ext>
          </c:extLst>
        </c:ser>
        <c:ser>
          <c:idx val="0"/>
          <c:order val="6"/>
          <c:tx>
            <c:v>Left 1</c:v>
          </c:tx>
          <c:spPr>
            <a:ln w="19050">
              <a:solidFill>
                <a:srgbClr val="FF0000"/>
              </a:solidFill>
            </a:ln>
          </c:spPr>
          <c:marker>
            <c:symbol val="none"/>
          </c:marker>
          <c:xVal>
            <c:numRef>
              <c:f>'Left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1 Kin'!$G$2:$G$102</c:f>
              <c:numCache>
                <c:formatCode>General</c:formatCode>
                <c:ptCount val="101"/>
                <c:pt idx="0">
                  <c:v>9.8840299999999992</c:v>
                </c:pt>
                <c:pt idx="1">
                  <c:v>9.8326224999999994</c:v>
                </c:pt>
                <c:pt idx="2">
                  <c:v>9.7812149999999995</c:v>
                </c:pt>
                <c:pt idx="3">
                  <c:v>9.7298074999999997</c:v>
                </c:pt>
                <c:pt idx="4">
                  <c:v>9.6783999999999999</c:v>
                </c:pt>
                <c:pt idx="5">
                  <c:v>9.6274800000000003</c:v>
                </c:pt>
                <c:pt idx="6">
                  <c:v>9.5765600000000006</c:v>
                </c:pt>
                <c:pt idx="7">
                  <c:v>9.5256399999999992</c:v>
                </c:pt>
                <c:pt idx="8">
                  <c:v>9.4747199999999996</c:v>
                </c:pt>
                <c:pt idx="9">
                  <c:v>9.4252124999999989</c:v>
                </c:pt>
                <c:pt idx="10">
                  <c:v>9.375705</c:v>
                </c:pt>
                <c:pt idx="11">
                  <c:v>9.3261974999999993</c:v>
                </c:pt>
                <c:pt idx="12">
                  <c:v>9.2766900000000003</c:v>
                </c:pt>
                <c:pt idx="13">
                  <c:v>9.2288800000000002</c:v>
                </c:pt>
                <c:pt idx="14">
                  <c:v>9.1810700000000001</c:v>
                </c:pt>
                <c:pt idx="15">
                  <c:v>9.1332599999999999</c:v>
                </c:pt>
                <c:pt idx="16">
                  <c:v>9.0854499999999998</c:v>
                </c:pt>
                <c:pt idx="17">
                  <c:v>9.0389350000000004</c:v>
                </c:pt>
                <c:pt idx="18">
                  <c:v>8.9924199999999992</c:v>
                </c:pt>
                <c:pt idx="19">
                  <c:v>8.9459049999999998</c:v>
                </c:pt>
                <c:pt idx="20">
                  <c:v>8.8993900000000004</c:v>
                </c:pt>
                <c:pt idx="21">
                  <c:v>8.8530425000000008</c:v>
                </c:pt>
                <c:pt idx="22">
                  <c:v>8.8066949999999995</c:v>
                </c:pt>
                <c:pt idx="23">
                  <c:v>8.7603475</c:v>
                </c:pt>
                <c:pt idx="24">
                  <c:v>8.7140000000000004</c:v>
                </c:pt>
                <c:pt idx="25">
                  <c:v>8.6660249999999994</c:v>
                </c:pt>
                <c:pt idx="26">
                  <c:v>8.6180500000000002</c:v>
                </c:pt>
                <c:pt idx="27">
                  <c:v>8.5700749999999992</c:v>
                </c:pt>
                <c:pt idx="28">
                  <c:v>8.5221</c:v>
                </c:pt>
                <c:pt idx="29">
                  <c:v>8.4701199999999996</c:v>
                </c:pt>
                <c:pt idx="30">
                  <c:v>8.4181400000000011</c:v>
                </c:pt>
                <c:pt idx="31">
                  <c:v>8.3661600000000007</c:v>
                </c:pt>
                <c:pt idx="32">
                  <c:v>8.3141800000000003</c:v>
                </c:pt>
                <c:pt idx="33">
                  <c:v>8.2553675000000002</c:v>
                </c:pt>
                <c:pt idx="34">
                  <c:v>8.196555</c:v>
                </c:pt>
                <c:pt idx="35">
                  <c:v>8.1377424999999999</c:v>
                </c:pt>
                <c:pt idx="36">
                  <c:v>8.0789299999999997</c:v>
                </c:pt>
                <c:pt idx="37">
                  <c:v>8.0102150000000005</c:v>
                </c:pt>
                <c:pt idx="38">
                  <c:v>7.9414999999999996</c:v>
                </c:pt>
                <c:pt idx="39">
                  <c:v>7.8727850000000004</c:v>
                </c:pt>
                <c:pt idx="40">
                  <c:v>7.8040700000000003</c:v>
                </c:pt>
                <c:pt idx="41">
                  <c:v>7.7223200000000007</c:v>
                </c:pt>
                <c:pt idx="42">
                  <c:v>7.6405700000000003</c:v>
                </c:pt>
                <c:pt idx="43">
                  <c:v>7.5588200000000008</c:v>
                </c:pt>
                <c:pt idx="44">
                  <c:v>7.4770700000000003</c:v>
                </c:pt>
                <c:pt idx="45">
                  <c:v>7.3794225000000004</c:v>
                </c:pt>
                <c:pt idx="46">
                  <c:v>7.2817749999999997</c:v>
                </c:pt>
                <c:pt idx="47">
                  <c:v>7.1841274999999998</c:v>
                </c:pt>
                <c:pt idx="48">
                  <c:v>7.0864799999999999</c:v>
                </c:pt>
                <c:pt idx="49">
                  <c:v>6.9704874999999999</c:v>
                </c:pt>
                <c:pt idx="50">
                  <c:v>6.854495</c:v>
                </c:pt>
                <c:pt idx="51">
                  <c:v>6.7385024999999992</c:v>
                </c:pt>
                <c:pt idx="52">
                  <c:v>6.6225100000000001</c:v>
                </c:pt>
                <c:pt idx="53">
                  <c:v>6.4864850000000001</c:v>
                </c:pt>
                <c:pt idx="54">
                  <c:v>6.3504599999999991</c:v>
                </c:pt>
                <c:pt idx="55">
                  <c:v>6.214434999999999</c:v>
                </c:pt>
                <c:pt idx="56">
                  <c:v>6.0784099999999999</c:v>
                </c:pt>
                <c:pt idx="57">
                  <c:v>5.9216549999999986</c:v>
                </c:pt>
                <c:pt idx="58">
                  <c:v>5.764899999999999</c:v>
                </c:pt>
                <c:pt idx="59">
                  <c:v>5.6081450000000004</c:v>
                </c:pt>
                <c:pt idx="60">
                  <c:v>5.45139</c:v>
                </c:pt>
                <c:pt idx="61">
                  <c:v>5.2743599999999997</c:v>
                </c:pt>
                <c:pt idx="62">
                  <c:v>5.0973299999999986</c:v>
                </c:pt>
                <c:pt idx="63">
                  <c:v>4.9203000000000001</c:v>
                </c:pt>
                <c:pt idx="64">
                  <c:v>4.7432699999999999</c:v>
                </c:pt>
                <c:pt idx="65">
                  <c:v>4.5478075000000002</c:v>
                </c:pt>
                <c:pt idx="66">
                  <c:v>4.3523449999999988</c:v>
                </c:pt>
                <c:pt idx="67">
                  <c:v>4.1568824999999991</c:v>
                </c:pt>
                <c:pt idx="68">
                  <c:v>3.9614199999999999</c:v>
                </c:pt>
                <c:pt idx="69">
                  <c:v>3.7507349999999979</c:v>
                </c:pt>
                <c:pt idx="70">
                  <c:v>3.5400499999999999</c:v>
                </c:pt>
                <c:pt idx="71">
                  <c:v>3.3293649999999979</c:v>
                </c:pt>
                <c:pt idx="72">
                  <c:v>3.1186799999999999</c:v>
                </c:pt>
                <c:pt idx="73">
                  <c:v>2.897377500000001</c:v>
                </c:pt>
                <c:pt idx="74">
                  <c:v>2.6760749999999982</c:v>
                </c:pt>
                <c:pt idx="75">
                  <c:v>2.4547724999999989</c:v>
                </c:pt>
                <c:pt idx="76">
                  <c:v>2.2334700000000001</c:v>
                </c:pt>
                <c:pt idx="77">
                  <c:v>2.007359999999998</c:v>
                </c:pt>
                <c:pt idx="78">
                  <c:v>1.78125</c:v>
                </c:pt>
                <c:pt idx="79">
                  <c:v>1.555140000000002</c:v>
                </c:pt>
                <c:pt idx="80">
                  <c:v>1.3290299999999999</c:v>
                </c:pt>
                <c:pt idx="81">
                  <c:v>1.104858000000001</c:v>
                </c:pt>
                <c:pt idx="82">
                  <c:v>0.88068600000000163</c:v>
                </c:pt>
                <c:pt idx="83">
                  <c:v>0.65651399999999926</c:v>
                </c:pt>
                <c:pt idx="84">
                  <c:v>0.432342</c:v>
                </c:pt>
                <c:pt idx="85">
                  <c:v>0.21738299999999841</c:v>
                </c:pt>
                <c:pt idx="86">
                  <c:v>2.4239999999999822E-3</c:v>
                </c:pt>
                <c:pt idx="87">
                  <c:v>-0.2125349999999985</c:v>
                </c:pt>
                <c:pt idx="88">
                  <c:v>-0.42749399999999999</c:v>
                </c:pt>
                <c:pt idx="89">
                  <c:v>-0.62583799999999923</c:v>
                </c:pt>
                <c:pt idx="90">
                  <c:v>-0.82418199999999842</c:v>
                </c:pt>
                <c:pt idx="91">
                  <c:v>-1.022526</c:v>
                </c:pt>
                <c:pt idx="92">
                  <c:v>-1.2208699999999999</c:v>
                </c:pt>
                <c:pt idx="93">
                  <c:v>-1.3955699999999991</c:v>
                </c:pt>
                <c:pt idx="94">
                  <c:v>-1.5702700000000009</c:v>
                </c:pt>
                <c:pt idx="95">
                  <c:v>-1.744970000000001</c:v>
                </c:pt>
                <c:pt idx="96">
                  <c:v>-1.91967</c:v>
                </c:pt>
                <c:pt idx="97">
                  <c:v>-2.0644825000000009</c:v>
                </c:pt>
                <c:pt idx="98">
                  <c:v>-2.209295</c:v>
                </c:pt>
                <c:pt idx="99">
                  <c:v>-2.3541075000000009</c:v>
                </c:pt>
                <c:pt idx="100">
                  <c:v>-2.49892</c:v>
                </c:pt>
              </c:numCache>
            </c:numRef>
          </c:yVal>
          <c:smooth val="1"/>
          <c:extLst>
            <c:ext xmlns:c16="http://schemas.microsoft.com/office/drawing/2014/chart" uri="{C3380CC4-5D6E-409C-BE32-E72D297353CC}">
              <c16:uniqueId val="{00000000-4282-414F-BB6A-BC4F90C8613D}"/>
            </c:ext>
          </c:extLst>
        </c:ser>
        <c:dLbls>
          <c:showLegendKey val="0"/>
          <c:showVal val="0"/>
          <c:showCatName val="0"/>
          <c:showSerName val="0"/>
          <c:showPercent val="0"/>
          <c:showBubbleSize val="0"/>
        </c:dLbls>
        <c:axId val="90982272"/>
        <c:axId val="90983808"/>
      </c:scatterChart>
      <c:valAx>
        <c:axId val="90982272"/>
        <c:scaling>
          <c:orientation val="minMax"/>
          <c:max val="100"/>
        </c:scaling>
        <c:delete val="0"/>
        <c:axPos val="b"/>
        <c:numFmt formatCode="General" sourceLinked="1"/>
        <c:majorTickMark val="out"/>
        <c:minorTickMark val="none"/>
        <c:tickLblPos val="nextTo"/>
        <c:txPr>
          <a:bodyPr/>
          <a:lstStyle/>
          <a:p>
            <a:pPr>
              <a:defRPr lang="en-US" sz="800"/>
            </a:pPr>
            <a:endParaRPr lang="en-US"/>
          </a:p>
        </c:txPr>
        <c:crossAx val="90983808"/>
        <c:crosses val="autoZero"/>
        <c:crossBetween val="midCat"/>
        <c:majorUnit val="20"/>
      </c:valAx>
      <c:valAx>
        <c:axId val="90983808"/>
        <c:scaling>
          <c:orientation val="minMax"/>
        </c:scaling>
        <c:delete val="0"/>
        <c:axPos val="l"/>
        <c:title>
          <c:tx>
            <c:rich>
              <a:bodyPr rot="-5400000" vert="horz"/>
              <a:lstStyle/>
              <a:p>
                <a:pPr>
                  <a:defRPr lang="en-AU" sz="900"/>
                </a:pPr>
                <a:r>
                  <a:rPr lang="en-US" sz="900"/>
                  <a:t>Angle (degrees)</a:t>
                </a:r>
              </a:p>
            </c:rich>
          </c:tx>
          <c:layout>
            <c:manualLayout>
              <c:xMode val="edge"/>
              <c:yMode val="edge"/>
              <c:x val="6.1702551325188921E-3"/>
              <c:y val="0.32694305948250502"/>
            </c:manualLayout>
          </c:layout>
          <c:overlay val="0"/>
        </c:title>
        <c:numFmt formatCode="0" sourceLinked="0"/>
        <c:majorTickMark val="out"/>
        <c:minorTickMark val="none"/>
        <c:tickLblPos val="nextTo"/>
        <c:txPr>
          <a:bodyPr/>
          <a:lstStyle/>
          <a:p>
            <a:pPr>
              <a:defRPr lang="en-US" sz="800"/>
            </a:pPr>
            <a:endParaRPr lang="en-US"/>
          </a:p>
        </c:txPr>
        <c:crossAx val="90982272"/>
        <c:crosses val="autoZero"/>
        <c:crossBetween val="midCat"/>
      </c:valAx>
    </c:plotArea>
    <c:plotVisOnly val="1"/>
    <c:dispBlanksAs val="gap"/>
    <c:showDLblsOverMax val="0"/>
  </c:chart>
  <c:printSettings>
    <c:headerFooter/>
    <c:pageMargins b="0.75000000000001421" l="0.70000000000000095" r="0.70000000000000095" t="0.75000000000001421" header="0.3000000000000001" footer="0.3000000000000001"/>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US" sz="1200"/>
            </a:pPr>
            <a:r>
              <a:rPr lang="en-US" sz="1200"/>
              <a:t>Frontal </a:t>
            </a:r>
            <a:r>
              <a:rPr lang="en-US" sz="1200" b="1" i="0" u="none" strike="noStrike" baseline="0">
                <a:effectLst/>
              </a:rPr>
              <a:t>Thorax</a:t>
            </a:r>
            <a:r>
              <a:rPr lang="en-US" sz="1200"/>
              <a:t> Angle</a:t>
            </a:r>
          </a:p>
        </c:rich>
      </c:tx>
      <c:layout>
        <c:manualLayout>
          <c:xMode val="edge"/>
          <c:yMode val="edge"/>
          <c:x val="0.36973442192192191"/>
          <c:y val="0.11043478260869566"/>
        </c:manualLayout>
      </c:layout>
      <c:overlay val="0"/>
    </c:title>
    <c:autoTitleDeleted val="0"/>
    <c:plotArea>
      <c:layout>
        <c:manualLayout>
          <c:layoutTarget val="inner"/>
          <c:xMode val="edge"/>
          <c:yMode val="edge"/>
          <c:x val="8.7057639300463799E-2"/>
          <c:y val="3.8899447913838342E-2"/>
          <c:w val="0.88328187471189756"/>
          <c:h val="0.92849669653362299"/>
        </c:manualLayout>
      </c:layout>
      <c:scatterChart>
        <c:scatterStyle val="smoothMarker"/>
        <c:varyColors val="0"/>
        <c:ser>
          <c:idx val="1"/>
          <c:order val="0"/>
          <c:tx>
            <c:v>Normative</c:v>
          </c:tx>
          <c:spPr>
            <a:ln>
              <a:solidFill>
                <a:schemeClr val="tx1"/>
              </a:solidFill>
            </a:ln>
          </c:spPr>
          <c:marker>
            <c:symbol val="none"/>
          </c:marker>
          <c:xVal>
            <c:numRef>
              <c:f>Normative!$A$2:$A$102</c:f>
              <c:numCache>
                <c:formatCode>General</c:formatCode>
                <c:ptCount val="101"/>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numCache>
            </c:numRef>
          </c:xVal>
          <c:yVal>
            <c:numRef>
              <c:f>Normative!$H$2:$H$102</c:f>
              <c:numCache>
                <c:formatCode>General</c:formatCode>
                <c:ptCount val="101"/>
                <c:pt idx="0">
                  <c:v>-8.3725893333333339</c:v>
                </c:pt>
                <c:pt idx="1">
                  <c:v>-8.3725893333333339</c:v>
                </c:pt>
                <c:pt idx="2">
                  <c:v>-8.3475004166666675</c:v>
                </c:pt>
                <c:pt idx="3">
                  <c:v>-8.3239200416666677</c:v>
                </c:pt>
                <c:pt idx="4">
                  <c:v>-8.268630083333333</c:v>
                </c:pt>
                <c:pt idx="5">
                  <c:v>-8.2430837083333337</c:v>
                </c:pt>
                <c:pt idx="6">
                  <c:v>-8.1680639999999993</c:v>
                </c:pt>
                <c:pt idx="7">
                  <c:v>-8.1155082499999995</c:v>
                </c:pt>
                <c:pt idx="8">
                  <c:v>-8.0484223333333347</c:v>
                </c:pt>
                <c:pt idx="9">
                  <c:v>-7.9815683124999994</c:v>
                </c:pt>
                <c:pt idx="10">
                  <c:v>-8.3090230900000002</c:v>
                </c:pt>
                <c:pt idx="11">
                  <c:v>-8.2516219233333334</c:v>
                </c:pt>
                <c:pt idx="12">
                  <c:v>-8.1610761533333314</c:v>
                </c:pt>
                <c:pt idx="13">
                  <c:v>-8.0817827666666666</c:v>
                </c:pt>
                <c:pt idx="14">
                  <c:v>-7.9712011866666668</c:v>
                </c:pt>
                <c:pt idx="15">
                  <c:v>-7.9133467466666669</c:v>
                </c:pt>
                <c:pt idx="16">
                  <c:v>-7.8018400400000019</c:v>
                </c:pt>
                <c:pt idx="17">
                  <c:v>-7.7432176699999999</c:v>
                </c:pt>
                <c:pt idx="18">
                  <c:v>-7.6075411766666665</c:v>
                </c:pt>
                <c:pt idx="19">
                  <c:v>-7.5672157900000006</c:v>
                </c:pt>
                <c:pt idx="20">
                  <c:v>-7.4473369800000002</c:v>
                </c:pt>
                <c:pt idx="21">
                  <c:v>-7.3893718199999991</c:v>
                </c:pt>
                <c:pt idx="22">
                  <c:v>-7.2551914233333337</c:v>
                </c:pt>
                <c:pt idx="23">
                  <c:v>-7.2008788333333325</c:v>
                </c:pt>
                <c:pt idx="24">
                  <c:v>-7.0774203999999994</c:v>
                </c:pt>
                <c:pt idx="25">
                  <c:v>-6.9403592433333348</c:v>
                </c:pt>
                <c:pt idx="26">
                  <c:v>-6.8165552399999996</c:v>
                </c:pt>
                <c:pt idx="27">
                  <c:v>-6.7005953633333331</c:v>
                </c:pt>
                <c:pt idx="28">
                  <c:v>-6.6325736366666677</c:v>
                </c:pt>
                <c:pt idx="29">
                  <c:v>-6.4808353500000013</c:v>
                </c:pt>
                <c:pt idx="30">
                  <c:v>-6.3897321200000015</c:v>
                </c:pt>
                <c:pt idx="31">
                  <c:v>-6.2512073900000003</c:v>
                </c:pt>
                <c:pt idx="32">
                  <c:v>-6.1644543200000008</c:v>
                </c:pt>
                <c:pt idx="33">
                  <c:v>-5.9583966066666676</c:v>
                </c:pt>
                <c:pt idx="34">
                  <c:v>-5.8453490433333331</c:v>
                </c:pt>
                <c:pt idx="35">
                  <c:v>-5.6675033533333332</c:v>
                </c:pt>
                <c:pt idx="36">
                  <c:v>-5.538321456666667</c:v>
                </c:pt>
                <c:pt idx="37">
                  <c:v>-5.3363788333333328</c:v>
                </c:pt>
                <c:pt idx="38">
                  <c:v>-5.1261510366666663</c:v>
                </c:pt>
                <c:pt idx="39">
                  <c:v>-4.9367189900000001</c:v>
                </c:pt>
                <c:pt idx="40">
                  <c:v>-4.7536115066666671</c:v>
                </c:pt>
                <c:pt idx="41">
                  <c:v>-4.5487544666666668</c:v>
                </c:pt>
                <c:pt idx="42">
                  <c:v>-4.3341715733333332</c:v>
                </c:pt>
                <c:pt idx="43">
                  <c:v>-4.0664176633333344</c:v>
                </c:pt>
                <c:pt idx="44">
                  <c:v>-3.910958496666666</c:v>
                </c:pt>
                <c:pt idx="45">
                  <c:v>-3.5325842566666665</c:v>
                </c:pt>
                <c:pt idx="46">
                  <c:v>-3.4421405666666671</c:v>
                </c:pt>
                <c:pt idx="47">
                  <c:v>-3.0640084399999998</c:v>
                </c:pt>
                <c:pt idx="48">
                  <c:v>-2.9878682900000002</c:v>
                </c:pt>
                <c:pt idx="49">
                  <c:v>-2.6087698599999998</c:v>
                </c:pt>
                <c:pt idx="50">
                  <c:v>-2.1886109733333337</c:v>
                </c:pt>
              </c:numCache>
            </c:numRef>
          </c:yVal>
          <c:smooth val="1"/>
          <c:extLst>
            <c:ext xmlns:c16="http://schemas.microsoft.com/office/drawing/2014/chart" uri="{C3380CC4-5D6E-409C-BE32-E72D297353CC}">
              <c16:uniqueId val="{00000000-1115-4B58-B721-0D8CA03226DB}"/>
            </c:ext>
          </c:extLst>
        </c:ser>
        <c:ser>
          <c:idx val="6"/>
          <c:order val="1"/>
          <c:tx>
            <c:v>Right 3</c:v>
          </c:tx>
          <c:spPr>
            <a:ln w="19050">
              <a:solidFill>
                <a:srgbClr val="00B050"/>
              </a:solidFill>
            </a:ln>
          </c:spPr>
          <c:marker>
            <c:symbol val="none"/>
          </c:marker>
          <c:xVal>
            <c:numRef>
              <c:f>'Right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3 Kin'!$H$2:$H$102</c:f>
              <c:numCache>
                <c:formatCode>General</c:formatCode>
                <c:ptCount val="101"/>
                <c:pt idx="0">
                  <c:v>-9.8035399999999999</c:v>
                </c:pt>
                <c:pt idx="1">
                  <c:v>-9.8495235999999995</c:v>
                </c:pt>
                <c:pt idx="2">
                  <c:v>-9.8955071999999991</c:v>
                </c:pt>
                <c:pt idx="3">
                  <c:v>-9.9414908000000004</c:v>
                </c:pt>
                <c:pt idx="4">
                  <c:v>-9.9858279999999997</c:v>
                </c:pt>
                <c:pt idx="5">
                  <c:v>-10.02111</c:v>
                </c:pt>
                <c:pt idx="6">
                  <c:v>-10.056392000000001</c:v>
                </c:pt>
                <c:pt idx="7">
                  <c:v>-10.091673999999999</c:v>
                </c:pt>
                <c:pt idx="8">
                  <c:v>-10.123564</c:v>
                </c:pt>
                <c:pt idx="9">
                  <c:v>-10.147822</c:v>
                </c:pt>
                <c:pt idx="10">
                  <c:v>-10.172079999999999</c:v>
                </c:pt>
                <c:pt idx="11">
                  <c:v>-10.196338000000001</c:v>
                </c:pt>
                <c:pt idx="12">
                  <c:v>-10.215472</c:v>
                </c:pt>
                <c:pt idx="13">
                  <c:v>-10.228628</c:v>
                </c:pt>
                <c:pt idx="14">
                  <c:v>-10.241784000000001</c:v>
                </c:pt>
                <c:pt idx="15">
                  <c:v>-10.25494</c:v>
                </c:pt>
                <c:pt idx="16">
                  <c:v>-10.261343999999999</c:v>
                </c:pt>
                <c:pt idx="17">
                  <c:v>-10.263528000000001</c:v>
                </c:pt>
                <c:pt idx="18">
                  <c:v>-10.265712000000001</c:v>
                </c:pt>
                <c:pt idx="19">
                  <c:v>-10.267896</c:v>
                </c:pt>
                <c:pt idx="20">
                  <c:v>-10.261979999999999</c:v>
                </c:pt>
                <c:pt idx="21">
                  <c:v>-10.253634</c:v>
                </c:pt>
                <c:pt idx="22">
                  <c:v>-10.245288</c:v>
                </c:pt>
                <c:pt idx="23">
                  <c:v>-10.236942000000001</c:v>
                </c:pt>
                <c:pt idx="24">
                  <c:v>-10.219476</c:v>
                </c:pt>
                <c:pt idx="25">
                  <c:v>-10.20125</c:v>
                </c:pt>
                <c:pt idx="26">
                  <c:v>-10.183024</c:v>
                </c:pt>
                <c:pt idx="27">
                  <c:v>-10.164111999999999</c:v>
                </c:pt>
                <c:pt idx="28">
                  <c:v>-10.136968</c:v>
                </c:pt>
                <c:pt idx="29">
                  <c:v>-10.109824</c:v>
                </c:pt>
                <c:pt idx="30">
                  <c:v>-10.08268</c:v>
                </c:pt>
                <c:pt idx="31">
                  <c:v>-10.053734800000001</c:v>
                </c:pt>
                <c:pt idx="32">
                  <c:v>-10.018785599999999</c:v>
                </c:pt>
                <c:pt idx="33">
                  <c:v>-9.9838363999999995</c:v>
                </c:pt>
                <c:pt idx="34">
                  <c:v>-9.9488871999999997</c:v>
                </c:pt>
                <c:pt idx="35">
                  <c:v>-9.9114159999999991</c:v>
                </c:pt>
                <c:pt idx="36">
                  <c:v>-9.8699095999999997</c:v>
                </c:pt>
                <c:pt idx="37">
                  <c:v>-9.8284031999999986</c:v>
                </c:pt>
                <c:pt idx="38">
                  <c:v>-9.7868967999999992</c:v>
                </c:pt>
                <c:pt idx="39">
                  <c:v>-9.7425666</c:v>
                </c:pt>
                <c:pt idx="40">
                  <c:v>-9.6958159999999989</c:v>
                </c:pt>
                <c:pt idx="41">
                  <c:v>-9.6490653999999996</c:v>
                </c:pt>
                <c:pt idx="42">
                  <c:v>-9.6023148000000003</c:v>
                </c:pt>
                <c:pt idx="43">
                  <c:v>-9.5527867999999998</c:v>
                </c:pt>
                <c:pt idx="44">
                  <c:v>-9.5020243999999998</c:v>
                </c:pt>
                <c:pt idx="45">
                  <c:v>-9.4512619999999998</c:v>
                </c:pt>
                <c:pt idx="46">
                  <c:v>-9.4004995999999998</c:v>
                </c:pt>
                <c:pt idx="47">
                  <c:v>-9.347242399999999</c:v>
                </c:pt>
                <c:pt idx="48">
                  <c:v>-9.2935315999999997</c:v>
                </c:pt>
                <c:pt idx="49">
                  <c:v>-9.2398208000000004</c:v>
                </c:pt>
                <c:pt idx="50">
                  <c:v>-9.1861099999999993</c:v>
                </c:pt>
                <c:pt idx="51">
                  <c:v>-9.1302567999999997</c:v>
                </c:pt>
                <c:pt idx="52">
                  <c:v>-9.0744036000000001</c:v>
                </c:pt>
                <c:pt idx="53">
                  <c:v>-9.0185504000000005</c:v>
                </c:pt>
                <c:pt idx="54">
                  <c:v>-8.9624411999999989</c:v>
                </c:pt>
                <c:pt idx="55">
                  <c:v>-8.9049239999999994</c:v>
                </c:pt>
                <c:pt idx="56">
                  <c:v>-8.8474067999999999</c:v>
                </c:pt>
                <c:pt idx="57">
                  <c:v>-8.7898895999999986</c:v>
                </c:pt>
                <c:pt idx="58">
                  <c:v>-8.7319067999999991</c:v>
                </c:pt>
                <c:pt idx="59">
                  <c:v>-8.6728763999999998</c:v>
                </c:pt>
                <c:pt idx="60">
                  <c:v>-8.6138460000000006</c:v>
                </c:pt>
                <c:pt idx="61">
                  <c:v>-8.5548155999999995</c:v>
                </c:pt>
                <c:pt idx="62">
                  <c:v>-8.4950171999999995</c:v>
                </c:pt>
                <c:pt idx="63">
                  <c:v>-8.4343228000000003</c:v>
                </c:pt>
                <c:pt idx="64">
                  <c:v>-8.3736283999999994</c:v>
                </c:pt>
                <c:pt idx="65">
                  <c:v>-8.3129340000000003</c:v>
                </c:pt>
                <c:pt idx="66">
                  <c:v>-8.2509852000000006</c:v>
                </c:pt>
                <c:pt idx="67">
                  <c:v>-8.1882523999999997</c:v>
                </c:pt>
                <c:pt idx="68">
                  <c:v>-8.1255196000000005</c:v>
                </c:pt>
                <c:pt idx="69">
                  <c:v>-8.0627867999999996</c:v>
                </c:pt>
                <c:pt idx="70">
                  <c:v>-7.9981240000000007</c:v>
                </c:pt>
                <c:pt idx="71">
                  <c:v>-7.9328821999999999</c:v>
                </c:pt>
                <c:pt idx="72">
                  <c:v>-7.8676404</c:v>
                </c:pt>
                <c:pt idx="73">
                  <c:v>-7.8023986000000001</c:v>
                </c:pt>
                <c:pt idx="74">
                  <c:v>-7.7344063999999992</c:v>
                </c:pt>
                <c:pt idx="75">
                  <c:v>-7.6661849999999996</c:v>
                </c:pt>
                <c:pt idx="76">
                  <c:v>-7.5979635999999999</c:v>
                </c:pt>
                <c:pt idx="77">
                  <c:v>-7.5294853999999987</c:v>
                </c:pt>
                <c:pt idx="78">
                  <c:v>-7.4579255999999994</c:v>
                </c:pt>
                <c:pt idx="79">
                  <c:v>-7.3863658000000001</c:v>
                </c:pt>
                <c:pt idx="80">
                  <c:v>-7.314805999999999</c:v>
                </c:pt>
                <c:pt idx="81">
                  <c:v>-7.2424373999999991</c:v>
                </c:pt>
                <c:pt idx="82">
                  <c:v>-7.1673727999999999</c:v>
                </c:pt>
                <c:pt idx="83">
                  <c:v>-7.0923081999999988</c:v>
                </c:pt>
                <c:pt idx="84">
                  <c:v>-7.0172435999999996</c:v>
                </c:pt>
                <c:pt idx="85">
                  <c:v>-6.9408489999999992</c:v>
                </c:pt>
                <c:pt idx="86">
                  <c:v>-6.8623263999999988</c:v>
                </c:pt>
                <c:pt idx="87">
                  <c:v>-6.7838037999999994</c:v>
                </c:pt>
                <c:pt idx="88">
                  <c:v>-6.7052811999999991</c:v>
                </c:pt>
                <c:pt idx="89">
                  <c:v>-6.6250225999999994</c:v>
                </c:pt>
                <c:pt idx="90">
                  <c:v>-6.5432759999999996</c:v>
                </c:pt>
                <c:pt idx="91">
                  <c:v>-6.4615293999999999</c:v>
                </c:pt>
                <c:pt idx="92">
                  <c:v>-6.3797828000000001</c:v>
                </c:pt>
                <c:pt idx="93">
                  <c:v>-6.2960508000000006</c:v>
                </c:pt>
                <c:pt idx="94">
                  <c:v>-6.2114364000000002</c:v>
                </c:pt>
                <c:pt idx="95">
                  <c:v>-6.1268220000000007</c:v>
                </c:pt>
                <c:pt idx="96">
                  <c:v>-6.0422076000000002</c:v>
                </c:pt>
                <c:pt idx="97">
                  <c:v>-5.9554878000000002</c:v>
                </c:pt>
                <c:pt idx="98">
                  <c:v>-5.8683852000000014</c:v>
                </c:pt>
                <c:pt idx="99">
                  <c:v>-5.7812825999999999</c:v>
                </c:pt>
                <c:pt idx="100">
                  <c:v>-5.6941800000000002</c:v>
                </c:pt>
              </c:numCache>
            </c:numRef>
          </c:yVal>
          <c:smooth val="1"/>
          <c:extLst>
            <c:ext xmlns:c16="http://schemas.microsoft.com/office/drawing/2014/chart" uri="{C3380CC4-5D6E-409C-BE32-E72D297353CC}">
              <c16:uniqueId val="{00000004-FA7E-4F6A-A799-1F862F25D909}"/>
            </c:ext>
          </c:extLst>
        </c:ser>
        <c:ser>
          <c:idx val="5"/>
          <c:order val="2"/>
          <c:tx>
            <c:v>Right 2</c:v>
          </c:tx>
          <c:spPr>
            <a:ln w="19050">
              <a:solidFill>
                <a:srgbClr val="00B050"/>
              </a:solidFill>
            </a:ln>
          </c:spPr>
          <c:marker>
            <c:symbol val="none"/>
          </c:marker>
          <c:xVal>
            <c:numRef>
              <c:f>'Right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2 Kin'!$H$2:$H$102</c:f>
              <c:numCache>
                <c:formatCode>General</c:formatCode>
                <c:ptCount val="101"/>
                <c:pt idx="0">
                  <c:v>-10.8996</c:v>
                </c:pt>
                <c:pt idx="1">
                  <c:v>-10.936292999999999</c:v>
                </c:pt>
                <c:pt idx="2">
                  <c:v>-10.972986000000001</c:v>
                </c:pt>
                <c:pt idx="3">
                  <c:v>-11.009679</c:v>
                </c:pt>
                <c:pt idx="4">
                  <c:v>-11.043236</c:v>
                </c:pt>
                <c:pt idx="5">
                  <c:v>-11.069345</c:v>
                </c:pt>
                <c:pt idx="6">
                  <c:v>-11.095454</c:v>
                </c:pt>
                <c:pt idx="7">
                  <c:v>-11.121563</c:v>
                </c:pt>
                <c:pt idx="8">
                  <c:v>-11.14148</c:v>
                </c:pt>
                <c:pt idx="9">
                  <c:v>-11.15714</c:v>
                </c:pt>
                <c:pt idx="10">
                  <c:v>-11.172800000000001</c:v>
                </c:pt>
                <c:pt idx="11">
                  <c:v>-11.188459999999999</c:v>
                </c:pt>
                <c:pt idx="12">
                  <c:v>-11.195119999999999</c:v>
                </c:pt>
                <c:pt idx="13">
                  <c:v>-11.200654999999999</c:v>
                </c:pt>
                <c:pt idx="14">
                  <c:v>-11.206189999999999</c:v>
                </c:pt>
                <c:pt idx="15">
                  <c:v>-11.209944999999999</c:v>
                </c:pt>
                <c:pt idx="16">
                  <c:v>-11.205868000000001</c:v>
                </c:pt>
                <c:pt idx="17">
                  <c:v>-11.201791</c:v>
                </c:pt>
                <c:pt idx="18">
                  <c:v>-11.197714</c:v>
                </c:pt>
                <c:pt idx="19">
                  <c:v>-11.189347</c:v>
                </c:pt>
                <c:pt idx="20">
                  <c:v>-11.176360000000001</c:v>
                </c:pt>
                <c:pt idx="21">
                  <c:v>-11.163373</c:v>
                </c:pt>
                <c:pt idx="22">
                  <c:v>-11.150385999999999</c:v>
                </c:pt>
                <c:pt idx="23">
                  <c:v>-11.131078</c:v>
                </c:pt>
                <c:pt idx="24">
                  <c:v>-11.109964</c:v>
                </c:pt>
                <c:pt idx="25">
                  <c:v>-11.088850000000001</c:v>
                </c:pt>
                <c:pt idx="26">
                  <c:v>-11.067195999999999</c:v>
                </c:pt>
                <c:pt idx="27">
                  <c:v>-11.038792000000001</c:v>
                </c:pt>
                <c:pt idx="28">
                  <c:v>-11.010388000000001</c:v>
                </c:pt>
                <c:pt idx="29">
                  <c:v>-10.981984000000001</c:v>
                </c:pt>
                <c:pt idx="30">
                  <c:v>-10.95124</c:v>
                </c:pt>
                <c:pt idx="31">
                  <c:v>-10.916518</c:v>
                </c:pt>
                <c:pt idx="32">
                  <c:v>-10.881796</c:v>
                </c:pt>
                <c:pt idx="33">
                  <c:v>-10.847073999999999</c:v>
                </c:pt>
                <c:pt idx="34">
                  <c:v>-10.808752</c:v>
                </c:pt>
                <c:pt idx="35">
                  <c:v>-10.76863</c:v>
                </c:pt>
                <c:pt idx="36">
                  <c:v>-10.728508</c:v>
                </c:pt>
                <c:pt idx="37">
                  <c:v>-10.688385999999999</c:v>
                </c:pt>
                <c:pt idx="38">
                  <c:v>-10.64387</c:v>
                </c:pt>
                <c:pt idx="39">
                  <c:v>-10.599185</c:v>
                </c:pt>
                <c:pt idx="40">
                  <c:v>-10.554500000000001</c:v>
                </c:pt>
                <c:pt idx="41">
                  <c:v>-10.508834999999999</c:v>
                </c:pt>
                <c:pt idx="42">
                  <c:v>-10.460369999999999</c:v>
                </c:pt>
                <c:pt idx="43">
                  <c:v>-10.411905000000001</c:v>
                </c:pt>
                <c:pt idx="44">
                  <c:v>-10.363440000000001</c:v>
                </c:pt>
                <c:pt idx="45">
                  <c:v>-10.313264999999999</c:v>
                </c:pt>
                <c:pt idx="46">
                  <c:v>-10.261722000000001</c:v>
                </c:pt>
                <c:pt idx="47">
                  <c:v>-10.210179</c:v>
                </c:pt>
                <c:pt idx="48">
                  <c:v>-10.158636</c:v>
                </c:pt>
                <c:pt idx="49">
                  <c:v>-10.104896500000001</c:v>
                </c:pt>
                <c:pt idx="50">
                  <c:v>-10.050775</c:v>
                </c:pt>
                <c:pt idx="51">
                  <c:v>-9.996653499999999</c:v>
                </c:pt>
                <c:pt idx="52">
                  <c:v>-9.942207999999999</c:v>
                </c:pt>
                <c:pt idx="53">
                  <c:v>-9.8858995000000007</c:v>
                </c:pt>
                <c:pt idx="54">
                  <c:v>-9.8295910000000006</c:v>
                </c:pt>
                <c:pt idx="55">
                  <c:v>-9.7732825000000005</c:v>
                </c:pt>
                <c:pt idx="56">
                  <c:v>-9.7160908000000017</c:v>
                </c:pt>
                <c:pt idx="57">
                  <c:v>-9.6577951000000013</c:v>
                </c:pt>
                <c:pt idx="58">
                  <c:v>-9.5994994000000009</c:v>
                </c:pt>
                <c:pt idx="59">
                  <c:v>-9.5412037000000005</c:v>
                </c:pt>
                <c:pt idx="60">
                  <c:v>-9.4814779999999992</c:v>
                </c:pt>
                <c:pt idx="61">
                  <c:v>-9.4212518000000003</c:v>
                </c:pt>
                <c:pt idx="62">
                  <c:v>-9.3610255999999996</c:v>
                </c:pt>
                <c:pt idx="63">
                  <c:v>-9.3007239999999989</c:v>
                </c:pt>
                <c:pt idx="64">
                  <c:v>-9.2384620000000002</c:v>
                </c:pt>
                <c:pt idx="65">
                  <c:v>-9.1761999999999997</c:v>
                </c:pt>
                <c:pt idx="66">
                  <c:v>-9.113938000000001</c:v>
                </c:pt>
                <c:pt idx="67">
                  <c:v>-9.0509254000000006</c:v>
                </c:pt>
                <c:pt idx="68">
                  <c:v>-8.9864116000000003</c:v>
                </c:pt>
                <c:pt idx="69">
                  <c:v>-8.9218978</c:v>
                </c:pt>
                <c:pt idx="70">
                  <c:v>-8.8573839999999997</c:v>
                </c:pt>
                <c:pt idx="71">
                  <c:v>-8.7912449999999982</c:v>
                </c:pt>
                <c:pt idx="72">
                  <c:v>-8.7241499999999981</c:v>
                </c:pt>
                <c:pt idx="73">
                  <c:v>-8.6570549999999997</c:v>
                </c:pt>
                <c:pt idx="74">
                  <c:v>-8.5899599999999996</c:v>
                </c:pt>
                <c:pt idx="75">
                  <c:v>-8.5201149999999988</c:v>
                </c:pt>
                <c:pt idx="76">
                  <c:v>-8.4500500000000009</c:v>
                </c:pt>
                <c:pt idx="77">
                  <c:v>-8.3799849999999996</c:v>
                </c:pt>
                <c:pt idx="78">
                  <c:v>-8.3091652000000007</c:v>
                </c:pt>
                <c:pt idx="79">
                  <c:v>-8.2357036000000008</c:v>
                </c:pt>
                <c:pt idx="80">
                  <c:v>-8.1622419999999991</c:v>
                </c:pt>
                <c:pt idx="81">
                  <c:v>-8.0887803999999992</c:v>
                </c:pt>
                <c:pt idx="82">
                  <c:v>-8.0133293999999999</c:v>
                </c:pt>
                <c:pt idx="83">
                  <c:v>-7.9360310999999992</c:v>
                </c:pt>
                <c:pt idx="84">
                  <c:v>-7.8587327999999994</c:v>
                </c:pt>
                <c:pt idx="85">
                  <c:v>-7.7814344999999996</c:v>
                </c:pt>
                <c:pt idx="86">
                  <c:v>-7.7006733999999986</c:v>
                </c:pt>
                <c:pt idx="87">
                  <c:v>-7.6191253000000003</c:v>
                </c:pt>
                <c:pt idx="88">
                  <c:v>-7.5375771999999994</c:v>
                </c:pt>
                <c:pt idx="89">
                  <c:v>-7.4555167000000004</c:v>
                </c:pt>
                <c:pt idx="90">
                  <c:v>-7.3693569999999999</c:v>
                </c:pt>
                <c:pt idx="91">
                  <c:v>-7.2831972999999994</c:v>
                </c:pt>
                <c:pt idx="92">
                  <c:v>-7.1970375999999989</c:v>
                </c:pt>
                <c:pt idx="93">
                  <c:v>-7.1088769999999997</c:v>
                </c:pt>
                <c:pt idx="94">
                  <c:v>-7.0178059999999984</c:v>
                </c:pt>
                <c:pt idx="95">
                  <c:v>-6.9267349999999999</c:v>
                </c:pt>
                <c:pt idx="96">
                  <c:v>-6.8356640000000004</c:v>
                </c:pt>
                <c:pt idx="97">
                  <c:v>-6.7409829999999991</c:v>
                </c:pt>
                <c:pt idx="98">
                  <c:v>-6.6447820000000002</c:v>
                </c:pt>
                <c:pt idx="99">
                  <c:v>-6.5485810000000004</c:v>
                </c:pt>
                <c:pt idx="100">
                  <c:v>-6.4523799999999998</c:v>
                </c:pt>
              </c:numCache>
            </c:numRef>
          </c:yVal>
          <c:smooth val="1"/>
          <c:extLst>
            <c:ext xmlns:c16="http://schemas.microsoft.com/office/drawing/2014/chart" uri="{C3380CC4-5D6E-409C-BE32-E72D297353CC}">
              <c16:uniqueId val="{00000003-FA7E-4F6A-A799-1F862F25D909}"/>
            </c:ext>
          </c:extLst>
        </c:ser>
        <c:ser>
          <c:idx val="4"/>
          <c:order val="3"/>
          <c:tx>
            <c:v>Right 1</c:v>
          </c:tx>
          <c:spPr>
            <a:ln w="19050">
              <a:solidFill>
                <a:srgbClr val="00B050"/>
              </a:solidFill>
            </a:ln>
          </c:spPr>
          <c:marker>
            <c:symbol val="none"/>
          </c:marker>
          <c:xVal>
            <c:numRef>
              <c:f>'Right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1 Kin'!$H$2:$H$102</c:f>
              <c:numCache>
                <c:formatCode>General</c:formatCode>
                <c:ptCount val="101"/>
                <c:pt idx="0">
                  <c:v>-11.163</c:v>
                </c:pt>
                <c:pt idx="1">
                  <c:v>-11.239936999999999</c:v>
                </c:pt>
                <c:pt idx="2">
                  <c:v>-11.316874</c:v>
                </c:pt>
                <c:pt idx="3">
                  <c:v>-11.393810999999999</c:v>
                </c:pt>
                <c:pt idx="4">
                  <c:v>-11.466652</c:v>
                </c:pt>
                <c:pt idx="5">
                  <c:v>-11.536165</c:v>
                </c:pt>
                <c:pt idx="6">
                  <c:v>-11.605677999999999</c:v>
                </c:pt>
                <c:pt idx="7">
                  <c:v>-11.674378000000001</c:v>
                </c:pt>
                <c:pt idx="8">
                  <c:v>-11.736032</c:v>
                </c:pt>
                <c:pt idx="9">
                  <c:v>-11.797686000000001</c:v>
                </c:pt>
                <c:pt idx="10">
                  <c:v>-11.85934</c:v>
                </c:pt>
                <c:pt idx="11">
                  <c:v>-11.915540999999999</c:v>
                </c:pt>
                <c:pt idx="12">
                  <c:v>-11.968871999999999</c:v>
                </c:pt>
                <c:pt idx="13">
                  <c:v>-12.022202999999999</c:v>
                </c:pt>
                <c:pt idx="14">
                  <c:v>-12.073686</c:v>
                </c:pt>
                <c:pt idx="15">
                  <c:v>-12.118085000000001</c:v>
                </c:pt>
                <c:pt idx="16">
                  <c:v>-12.162483999999999</c:v>
                </c:pt>
                <c:pt idx="17">
                  <c:v>-12.206882999999999</c:v>
                </c:pt>
                <c:pt idx="18">
                  <c:v>-12.244066</c:v>
                </c:pt>
                <c:pt idx="19">
                  <c:v>-12.278953</c:v>
                </c:pt>
                <c:pt idx="20">
                  <c:v>-12.313840000000001</c:v>
                </c:pt>
                <c:pt idx="21">
                  <c:v>-12.345586000000001</c:v>
                </c:pt>
                <c:pt idx="22">
                  <c:v>-12.370352</c:v>
                </c:pt>
                <c:pt idx="23">
                  <c:v>-12.395118</c:v>
                </c:pt>
                <c:pt idx="24">
                  <c:v>-12.419884</c:v>
                </c:pt>
                <c:pt idx="25">
                  <c:v>-12.435375000000001</c:v>
                </c:pt>
                <c:pt idx="26">
                  <c:v>-12.449382</c:v>
                </c:pt>
                <c:pt idx="27">
                  <c:v>-12.463388999999999</c:v>
                </c:pt>
                <c:pt idx="28">
                  <c:v>-12.472704</c:v>
                </c:pt>
                <c:pt idx="29">
                  <c:v>-12.475372</c:v>
                </c:pt>
                <c:pt idx="30">
                  <c:v>-12.47804</c:v>
                </c:pt>
                <c:pt idx="31">
                  <c:v>-12.480708</c:v>
                </c:pt>
                <c:pt idx="32">
                  <c:v>-12.471952</c:v>
                </c:pt>
                <c:pt idx="33">
                  <c:v>-12.462788</c:v>
                </c:pt>
                <c:pt idx="34">
                  <c:v>-12.453624</c:v>
                </c:pt>
                <c:pt idx="35">
                  <c:v>-12.438129999999999</c:v>
                </c:pt>
                <c:pt idx="36">
                  <c:v>-12.416728000000001</c:v>
                </c:pt>
                <c:pt idx="37">
                  <c:v>-12.395326000000001</c:v>
                </c:pt>
                <c:pt idx="38">
                  <c:v>-12.373068</c:v>
                </c:pt>
                <c:pt idx="39">
                  <c:v>-12.339254</c:v>
                </c:pt>
                <c:pt idx="40">
                  <c:v>-12.305440000000001</c:v>
                </c:pt>
                <c:pt idx="41">
                  <c:v>-12.271625999999999</c:v>
                </c:pt>
                <c:pt idx="42">
                  <c:v>-12.230090000000001</c:v>
                </c:pt>
                <c:pt idx="43">
                  <c:v>-12.183835</c:v>
                </c:pt>
                <c:pt idx="44">
                  <c:v>-12.13758</c:v>
                </c:pt>
                <c:pt idx="45">
                  <c:v>-12.089225000000001</c:v>
                </c:pt>
                <c:pt idx="46">
                  <c:v>-12.03079</c:v>
                </c:pt>
                <c:pt idx="47">
                  <c:v>-11.972355</c:v>
                </c:pt>
                <c:pt idx="48">
                  <c:v>-11.913919999999999</c:v>
                </c:pt>
                <c:pt idx="49">
                  <c:v>-11.846938</c:v>
                </c:pt>
                <c:pt idx="50">
                  <c:v>-11.7767</c:v>
                </c:pt>
                <c:pt idx="51">
                  <c:v>-11.706462</c:v>
                </c:pt>
                <c:pt idx="52">
                  <c:v>-11.633152000000001</c:v>
                </c:pt>
                <c:pt idx="53">
                  <c:v>-11.551778000000001</c:v>
                </c:pt>
                <c:pt idx="54">
                  <c:v>-11.470404</c:v>
                </c:pt>
                <c:pt idx="55">
                  <c:v>-11.38903</c:v>
                </c:pt>
                <c:pt idx="56">
                  <c:v>-11.299111999999999</c:v>
                </c:pt>
                <c:pt idx="57">
                  <c:v>-11.207414</c:v>
                </c:pt>
                <c:pt idx="58">
                  <c:v>-11.115716000000001</c:v>
                </c:pt>
                <c:pt idx="59">
                  <c:v>-11.020476</c:v>
                </c:pt>
                <c:pt idx="60">
                  <c:v>-10.91944</c:v>
                </c:pt>
                <c:pt idx="61">
                  <c:v>-10.818403999999999</c:v>
                </c:pt>
                <c:pt idx="62">
                  <c:v>-10.717368</c:v>
                </c:pt>
                <c:pt idx="63">
                  <c:v>-10.608691</c:v>
                </c:pt>
                <c:pt idx="64">
                  <c:v>-10.499447999999999</c:v>
                </c:pt>
                <c:pt idx="65">
                  <c:v>-10.390205</c:v>
                </c:pt>
                <c:pt idx="66">
                  <c:v>-10.2775558</c:v>
                </c:pt>
                <c:pt idx="67">
                  <c:v>-10.1612571</c:v>
                </c:pt>
                <c:pt idx="68">
                  <c:v>-10.044958400000001</c:v>
                </c:pt>
                <c:pt idx="69">
                  <c:v>-9.9284619000000003</c:v>
                </c:pt>
                <c:pt idx="70">
                  <c:v>-9.8064270000000011</c:v>
                </c:pt>
                <c:pt idx="71">
                  <c:v>-9.6843921000000002</c:v>
                </c:pt>
                <c:pt idx="72">
                  <c:v>-9.562357200000001</c:v>
                </c:pt>
                <c:pt idx="73">
                  <c:v>-9.4377315000000017</c:v>
                </c:pt>
                <c:pt idx="74">
                  <c:v>-9.3112770000000005</c:v>
                </c:pt>
                <c:pt idx="75">
                  <c:v>-9.1848224999999992</c:v>
                </c:pt>
                <c:pt idx="76">
                  <c:v>-9.0579444000000002</c:v>
                </c:pt>
                <c:pt idx="77">
                  <c:v>-8.9284187999999993</c:v>
                </c:pt>
                <c:pt idx="78">
                  <c:v>-8.7988932000000002</c:v>
                </c:pt>
                <c:pt idx="79">
                  <c:v>-8.6693676000000011</c:v>
                </c:pt>
                <c:pt idx="80">
                  <c:v>-8.5386500000000005</c:v>
                </c:pt>
                <c:pt idx="81">
                  <c:v>-8.4073960000000003</c:v>
                </c:pt>
                <c:pt idx="82">
                  <c:v>-8.2761420000000001</c:v>
                </c:pt>
                <c:pt idx="83">
                  <c:v>-8.1447816</c:v>
                </c:pt>
                <c:pt idx="84">
                  <c:v>-8.0130868</c:v>
                </c:pt>
                <c:pt idx="85">
                  <c:v>-7.8813919999999991</c:v>
                </c:pt>
                <c:pt idx="86">
                  <c:v>-7.7496971999999991</c:v>
                </c:pt>
                <c:pt idx="87">
                  <c:v>-7.6185888999999998</c:v>
                </c:pt>
                <c:pt idx="88">
                  <c:v>-7.4876335999999988</c:v>
                </c:pt>
                <c:pt idx="89">
                  <c:v>-7.3566782999999996</c:v>
                </c:pt>
                <c:pt idx="90">
                  <c:v>-7.2263290000000007</c:v>
                </c:pt>
                <c:pt idx="91">
                  <c:v>-7.0971310999999986</c:v>
                </c:pt>
                <c:pt idx="92">
                  <c:v>-6.9679332</c:v>
                </c:pt>
                <c:pt idx="93">
                  <c:v>-6.8387353000000006</c:v>
                </c:pt>
                <c:pt idx="94">
                  <c:v>-6.7118331999999992</c:v>
                </c:pt>
                <c:pt idx="95">
                  <c:v>-6.5851959999999998</c:v>
                </c:pt>
                <c:pt idx="96">
                  <c:v>-6.4585587999999996</c:v>
                </c:pt>
                <c:pt idx="97">
                  <c:v>-6.3332995999999993</c:v>
                </c:pt>
                <c:pt idx="98">
                  <c:v>-6.2097363999999997</c:v>
                </c:pt>
                <c:pt idx="99">
                  <c:v>-6.0861731999999993</c:v>
                </c:pt>
                <c:pt idx="100">
                  <c:v>-5.9626099999999997</c:v>
                </c:pt>
              </c:numCache>
            </c:numRef>
          </c:yVal>
          <c:smooth val="1"/>
          <c:extLst>
            <c:ext xmlns:c16="http://schemas.microsoft.com/office/drawing/2014/chart" uri="{C3380CC4-5D6E-409C-BE32-E72D297353CC}">
              <c16:uniqueId val="{00000002-FA7E-4F6A-A799-1F862F25D909}"/>
            </c:ext>
          </c:extLst>
        </c:ser>
        <c:ser>
          <c:idx val="3"/>
          <c:order val="4"/>
          <c:tx>
            <c:v>Left 3</c:v>
          </c:tx>
          <c:spPr>
            <a:ln w="19050">
              <a:solidFill>
                <a:srgbClr val="FF0000"/>
              </a:solidFill>
            </a:ln>
          </c:spPr>
          <c:marker>
            <c:symbol val="none"/>
          </c:marker>
          <c:xVal>
            <c:numRef>
              <c:f>'Left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3 Kin'!$H$2:$H$102</c:f>
              <c:numCache>
                <c:formatCode>General</c:formatCode>
                <c:ptCount val="101"/>
                <c:pt idx="0">
                  <c:v>-9.9765800000000002</c:v>
                </c:pt>
                <c:pt idx="1">
                  <c:v>-10.0121012</c:v>
                </c:pt>
                <c:pt idx="2">
                  <c:v>-10.0476224</c:v>
                </c:pt>
                <c:pt idx="3">
                  <c:v>-10.0831436</c:v>
                </c:pt>
                <c:pt idx="4">
                  <c:v>-10.116228</c:v>
                </c:pt>
                <c:pt idx="5">
                  <c:v>-10.135910000000001</c:v>
                </c:pt>
                <c:pt idx="6">
                  <c:v>-10.155592</c:v>
                </c:pt>
                <c:pt idx="7">
                  <c:v>-10.175274</c:v>
                </c:pt>
                <c:pt idx="8">
                  <c:v>-10.190044</c:v>
                </c:pt>
                <c:pt idx="9">
                  <c:v>-10.193762</c:v>
                </c:pt>
                <c:pt idx="10">
                  <c:v>-10.197480000000001</c:v>
                </c:pt>
                <c:pt idx="11">
                  <c:v>-10.201198</c:v>
                </c:pt>
                <c:pt idx="12">
                  <c:v>-10.197620000000001</c:v>
                </c:pt>
                <c:pt idx="13">
                  <c:v>-10.18553</c:v>
                </c:pt>
                <c:pt idx="14">
                  <c:v>-10.173439999999999</c:v>
                </c:pt>
                <c:pt idx="15">
                  <c:v>-10.161350000000001</c:v>
                </c:pt>
                <c:pt idx="16">
                  <c:v>-10.139851999999999</c:v>
                </c:pt>
                <c:pt idx="17">
                  <c:v>-10.112474000000001</c:v>
                </c:pt>
                <c:pt idx="18">
                  <c:v>-10.085096</c:v>
                </c:pt>
                <c:pt idx="19">
                  <c:v>-10.057717999999999</c:v>
                </c:pt>
                <c:pt idx="20">
                  <c:v>-10.019268</c:v>
                </c:pt>
                <c:pt idx="21">
                  <c:v>-9.9774963999999997</c:v>
                </c:pt>
                <c:pt idx="22">
                  <c:v>-9.9357247999999991</c:v>
                </c:pt>
                <c:pt idx="23">
                  <c:v>-9.8939531999999986</c:v>
                </c:pt>
                <c:pt idx="24">
                  <c:v>-9.8400567999999993</c:v>
                </c:pt>
                <c:pt idx="25">
                  <c:v>-9.7851499999999998</c:v>
                </c:pt>
                <c:pt idx="26">
                  <c:v>-9.7302432000000003</c:v>
                </c:pt>
                <c:pt idx="27">
                  <c:v>-9.6744535999999997</c:v>
                </c:pt>
                <c:pt idx="28">
                  <c:v>-9.6080704000000008</c:v>
                </c:pt>
                <c:pt idx="29">
                  <c:v>-9.5416872000000001</c:v>
                </c:pt>
                <c:pt idx="30">
                  <c:v>-9.4753039999999995</c:v>
                </c:pt>
                <c:pt idx="31">
                  <c:v>-9.4067295999999985</c:v>
                </c:pt>
                <c:pt idx="32">
                  <c:v>-9.3308511999999997</c:v>
                </c:pt>
                <c:pt idx="33">
                  <c:v>-9.2549727999999991</c:v>
                </c:pt>
                <c:pt idx="34">
                  <c:v>-9.1790944000000003</c:v>
                </c:pt>
                <c:pt idx="35">
                  <c:v>-9.1004260000000006</c:v>
                </c:pt>
                <c:pt idx="36">
                  <c:v>-9.0172936000000004</c:v>
                </c:pt>
                <c:pt idx="37">
                  <c:v>-8.9341611999999984</c:v>
                </c:pt>
                <c:pt idx="38">
                  <c:v>-8.8510287999999999</c:v>
                </c:pt>
                <c:pt idx="39">
                  <c:v>-8.7652363999999992</c:v>
                </c:pt>
                <c:pt idx="40">
                  <c:v>-8.6771639999999994</c:v>
                </c:pt>
                <c:pt idx="41">
                  <c:v>-8.5890915999999997</c:v>
                </c:pt>
                <c:pt idx="42">
                  <c:v>-8.5010192</c:v>
                </c:pt>
                <c:pt idx="43">
                  <c:v>-8.4110783999999992</c:v>
                </c:pt>
                <c:pt idx="44">
                  <c:v>-8.3203072000000002</c:v>
                </c:pt>
                <c:pt idx="45">
                  <c:v>-8.2295360000000013</c:v>
                </c:pt>
                <c:pt idx="46">
                  <c:v>-8.1387648000000006</c:v>
                </c:pt>
                <c:pt idx="47">
                  <c:v>-8.0473467999999997</c:v>
                </c:pt>
                <c:pt idx="48">
                  <c:v>-7.9558112000000003</c:v>
                </c:pt>
                <c:pt idx="49">
                  <c:v>-7.8642756</c:v>
                </c:pt>
                <c:pt idx="50">
                  <c:v>-7.7727399999999998</c:v>
                </c:pt>
                <c:pt idx="51">
                  <c:v>-7.6819115999999994</c:v>
                </c:pt>
                <c:pt idx="52">
                  <c:v>-7.5910831999999999</c:v>
                </c:pt>
                <c:pt idx="53">
                  <c:v>-7.5002548000000004</c:v>
                </c:pt>
                <c:pt idx="54">
                  <c:v>-7.4096739999999999</c:v>
                </c:pt>
                <c:pt idx="55">
                  <c:v>-7.3204549999999999</c:v>
                </c:pt>
                <c:pt idx="56">
                  <c:v>-7.231236</c:v>
                </c:pt>
                <c:pt idx="57">
                  <c:v>-7.1420170000000001</c:v>
                </c:pt>
                <c:pt idx="58">
                  <c:v>-7.0533707999999997</c:v>
                </c:pt>
                <c:pt idx="59">
                  <c:v>-6.9660133999999996</c:v>
                </c:pt>
                <c:pt idx="60">
                  <c:v>-6.8786559999999994</c:v>
                </c:pt>
                <c:pt idx="61">
                  <c:v>-6.7912985999999993</c:v>
                </c:pt>
                <c:pt idx="62">
                  <c:v>-6.7046599999999987</c:v>
                </c:pt>
                <c:pt idx="63">
                  <c:v>-6.6188599999999997</c:v>
                </c:pt>
                <c:pt idx="64">
                  <c:v>-6.533059999999999</c:v>
                </c:pt>
                <c:pt idx="65">
                  <c:v>-6.44726</c:v>
                </c:pt>
                <c:pt idx="66">
                  <c:v>-6.3619671999999987</c:v>
                </c:pt>
                <c:pt idx="67">
                  <c:v>-6.2769914</c:v>
                </c:pt>
                <c:pt idx="68">
                  <c:v>-6.1920156000000004</c:v>
                </c:pt>
                <c:pt idx="69">
                  <c:v>-6.1070397999999999</c:v>
                </c:pt>
                <c:pt idx="70">
                  <c:v>-6.0219379999999996</c:v>
                </c:pt>
                <c:pt idx="71">
                  <c:v>-5.9367983999999989</c:v>
                </c:pt>
                <c:pt idx="72">
                  <c:v>-5.8516587999999992</c:v>
                </c:pt>
                <c:pt idx="73">
                  <c:v>-5.7665191999999994</c:v>
                </c:pt>
                <c:pt idx="74">
                  <c:v>-5.6802803999999991</c:v>
                </c:pt>
                <c:pt idx="75">
                  <c:v>-5.5939500000000004</c:v>
                </c:pt>
                <c:pt idx="76">
                  <c:v>-5.5076195999999999</c:v>
                </c:pt>
                <c:pt idx="77">
                  <c:v>-5.4211285999999994</c:v>
                </c:pt>
                <c:pt idx="78">
                  <c:v>-5.332710399999999</c:v>
                </c:pt>
                <c:pt idx="79">
                  <c:v>-5.2442921999999994</c:v>
                </c:pt>
                <c:pt idx="80">
                  <c:v>-5.155873999999999</c:v>
                </c:pt>
                <c:pt idx="81">
                  <c:v>-5.066821599999999</c:v>
                </c:pt>
                <c:pt idx="82">
                  <c:v>-4.9756551999999994</c:v>
                </c:pt>
                <c:pt idx="83">
                  <c:v>-4.8844887999999989</c:v>
                </c:pt>
                <c:pt idx="84">
                  <c:v>-4.7933223999999992</c:v>
                </c:pt>
                <c:pt idx="85">
                  <c:v>-4.7009459999999983</c:v>
                </c:pt>
                <c:pt idx="86">
                  <c:v>-4.6066335999999994</c:v>
                </c:pt>
                <c:pt idx="87">
                  <c:v>-4.5123211999999997</c:v>
                </c:pt>
                <c:pt idx="88">
                  <c:v>-4.4180087999999991</c:v>
                </c:pt>
                <c:pt idx="89">
                  <c:v>-4.321919799999999</c:v>
                </c:pt>
                <c:pt idx="90">
                  <c:v>-4.2243079999999997</c:v>
                </c:pt>
                <c:pt idx="91">
                  <c:v>-4.1266961999999996</c:v>
                </c:pt>
                <c:pt idx="92">
                  <c:v>-4.0290844000000003</c:v>
                </c:pt>
                <c:pt idx="93">
                  <c:v>-3.9291812000000008</c:v>
                </c:pt>
                <c:pt idx="94">
                  <c:v>-3.8282596</c:v>
                </c:pt>
                <c:pt idx="95">
                  <c:v>-3.727338</c:v>
                </c:pt>
                <c:pt idx="96">
                  <c:v>-3.626416400000001</c:v>
                </c:pt>
                <c:pt idx="97">
                  <c:v>-3.5227491999999998</c:v>
                </c:pt>
                <c:pt idx="98">
                  <c:v>-3.4185827999999998</c:v>
                </c:pt>
                <c:pt idx="99">
                  <c:v>-3.3144163999999989</c:v>
                </c:pt>
                <c:pt idx="100">
                  <c:v>-3.2102499999999998</c:v>
                </c:pt>
              </c:numCache>
            </c:numRef>
          </c:yVal>
          <c:smooth val="1"/>
          <c:extLst>
            <c:ext xmlns:c16="http://schemas.microsoft.com/office/drawing/2014/chart" uri="{C3380CC4-5D6E-409C-BE32-E72D297353CC}">
              <c16:uniqueId val="{00000001-FA7E-4F6A-A799-1F862F25D909}"/>
            </c:ext>
          </c:extLst>
        </c:ser>
        <c:ser>
          <c:idx val="2"/>
          <c:order val="5"/>
          <c:tx>
            <c:v>Left 2</c:v>
          </c:tx>
          <c:spPr>
            <a:ln w="19050">
              <a:solidFill>
                <a:srgbClr val="FF0000"/>
              </a:solidFill>
            </a:ln>
          </c:spPr>
          <c:marker>
            <c:symbol val="none"/>
          </c:marker>
          <c:xVal>
            <c:numRef>
              <c:f>'Left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2 Kin'!$H$2:$H$102</c:f>
              <c:numCache>
                <c:formatCode>General</c:formatCode>
                <c:ptCount val="101"/>
                <c:pt idx="0">
                  <c:v>-8.7974700000000006</c:v>
                </c:pt>
                <c:pt idx="1">
                  <c:v>-8.7860460000000007</c:v>
                </c:pt>
                <c:pt idx="2">
                  <c:v>-8.7746220000000008</c:v>
                </c:pt>
                <c:pt idx="3">
                  <c:v>-8.7631979999999992</c:v>
                </c:pt>
                <c:pt idx="4">
                  <c:v>-8.7517739999999993</c:v>
                </c:pt>
                <c:pt idx="5">
                  <c:v>-8.7308799999999991</c:v>
                </c:pt>
                <c:pt idx="6">
                  <c:v>-8.7080920000000006</c:v>
                </c:pt>
                <c:pt idx="7">
                  <c:v>-8.6853040000000004</c:v>
                </c:pt>
                <c:pt idx="8">
                  <c:v>-8.6625160000000001</c:v>
                </c:pt>
                <c:pt idx="9">
                  <c:v>-8.6327328000000012</c:v>
                </c:pt>
                <c:pt idx="10">
                  <c:v>-8.5994519999999994</c:v>
                </c:pt>
                <c:pt idx="11">
                  <c:v>-8.5661711999999994</c:v>
                </c:pt>
                <c:pt idx="12">
                  <c:v>-8.5328903999999994</c:v>
                </c:pt>
                <c:pt idx="13">
                  <c:v>-8.4948491999999991</c:v>
                </c:pt>
                <c:pt idx="14">
                  <c:v>-8.4520476000000002</c:v>
                </c:pt>
                <c:pt idx="15">
                  <c:v>-8.4092459999999996</c:v>
                </c:pt>
                <c:pt idx="16">
                  <c:v>-8.3664444000000007</c:v>
                </c:pt>
                <c:pt idx="17">
                  <c:v>-8.3208164</c:v>
                </c:pt>
                <c:pt idx="18">
                  <c:v>-8.2695356000000011</c:v>
                </c:pt>
                <c:pt idx="19">
                  <c:v>-8.2182548000000004</c:v>
                </c:pt>
                <c:pt idx="20">
                  <c:v>-8.1669739999999997</c:v>
                </c:pt>
                <c:pt idx="21">
                  <c:v>-8.1144580000000008</c:v>
                </c:pt>
                <c:pt idx="22">
                  <c:v>-8.0557660000000002</c:v>
                </c:pt>
                <c:pt idx="23">
                  <c:v>-7.9970739999999996</c:v>
                </c:pt>
                <c:pt idx="24">
                  <c:v>-7.9383820000000007</c:v>
                </c:pt>
                <c:pt idx="25">
                  <c:v>-7.8796900000000001</c:v>
                </c:pt>
                <c:pt idx="26">
                  <c:v>-7.8146547999999996</c:v>
                </c:pt>
                <c:pt idx="27">
                  <c:v>-7.7496195999999999</c:v>
                </c:pt>
                <c:pt idx="28">
                  <c:v>-7.6845844000000003</c:v>
                </c:pt>
                <c:pt idx="29">
                  <c:v>-7.6195491999999998</c:v>
                </c:pt>
                <c:pt idx="30">
                  <c:v>-7.5500880000000006</c:v>
                </c:pt>
                <c:pt idx="31">
                  <c:v>-7.4797415999999997</c:v>
                </c:pt>
                <c:pt idx="32">
                  <c:v>-7.4093951999999996</c:v>
                </c:pt>
                <c:pt idx="33">
                  <c:v>-7.3390487999999996</c:v>
                </c:pt>
                <c:pt idx="34">
                  <c:v>-7.2658079999999998</c:v>
                </c:pt>
                <c:pt idx="35">
                  <c:v>-7.1911200000000006</c:v>
                </c:pt>
                <c:pt idx="36">
                  <c:v>-7.1164320000000014</c:v>
                </c:pt>
                <c:pt idx="37">
                  <c:v>-7.0417439999999996</c:v>
                </c:pt>
                <c:pt idx="38">
                  <c:v>-6.9653232000000003</c:v>
                </c:pt>
                <c:pt idx="39">
                  <c:v>-6.8871696</c:v>
                </c:pt>
                <c:pt idx="40">
                  <c:v>-6.8090159999999997</c:v>
                </c:pt>
                <c:pt idx="41">
                  <c:v>-6.7308624000000004</c:v>
                </c:pt>
                <c:pt idx="42">
                  <c:v>-6.6518144000000001</c:v>
                </c:pt>
                <c:pt idx="43">
                  <c:v>-6.5709776</c:v>
                </c:pt>
                <c:pt idx="44">
                  <c:v>-6.4901407999999998</c:v>
                </c:pt>
                <c:pt idx="45">
                  <c:v>-6.4093040000000006</c:v>
                </c:pt>
                <c:pt idx="46">
                  <c:v>-6.3281288</c:v>
                </c:pt>
                <c:pt idx="47">
                  <c:v>-6.2452616000000001</c:v>
                </c:pt>
                <c:pt idx="48">
                  <c:v>-6.1623944000000002</c:v>
                </c:pt>
                <c:pt idx="49">
                  <c:v>-6.0795272000000002</c:v>
                </c:pt>
                <c:pt idx="50">
                  <c:v>-5.9966600000000003</c:v>
                </c:pt>
                <c:pt idx="51">
                  <c:v>-5.9122952</c:v>
                </c:pt>
                <c:pt idx="52">
                  <c:v>-5.8279304000000014</c:v>
                </c:pt>
                <c:pt idx="53">
                  <c:v>-5.7435656000000002</c:v>
                </c:pt>
                <c:pt idx="54">
                  <c:v>-5.6592007999999998</c:v>
                </c:pt>
                <c:pt idx="55">
                  <c:v>-5.5739219999999996</c:v>
                </c:pt>
                <c:pt idx="56">
                  <c:v>-5.4884604000000001</c:v>
                </c:pt>
                <c:pt idx="57">
                  <c:v>-5.4029987999999998</c:v>
                </c:pt>
                <c:pt idx="58">
                  <c:v>-5.3175371999999994</c:v>
                </c:pt>
                <c:pt idx="59">
                  <c:v>-5.2315316000000003</c:v>
                </c:pt>
                <c:pt idx="60">
                  <c:v>-5.1452540000000004</c:v>
                </c:pt>
                <c:pt idx="61">
                  <c:v>-5.0589763999999997</c:v>
                </c:pt>
                <c:pt idx="62">
                  <c:v>-4.9726987999999999</c:v>
                </c:pt>
                <c:pt idx="63">
                  <c:v>-4.8860936000000006</c:v>
                </c:pt>
                <c:pt idx="64">
                  <c:v>-4.7991608000000001</c:v>
                </c:pt>
                <c:pt idx="65">
                  <c:v>-4.7122280000000014</c:v>
                </c:pt>
                <c:pt idx="66">
                  <c:v>-4.6252951999999992</c:v>
                </c:pt>
                <c:pt idx="67">
                  <c:v>-4.5381640000000001</c:v>
                </c:pt>
                <c:pt idx="68">
                  <c:v>-4.4506360000000003</c:v>
                </c:pt>
                <c:pt idx="69">
                  <c:v>-4.3631080000000004</c:v>
                </c:pt>
                <c:pt idx="70">
                  <c:v>-4.2755799999999997</c:v>
                </c:pt>
                <c:pt idx="71">
                  <c:v>-4.1879475999999993</c:v>
                </c:pt>
                <c:pt idx="72">
                  <c:v>-4.0997931999999997</c:v>
                </c:pt>
                <c:pt idx="73">
                  <c:v>-4.0116388000000001</c:v>
                </c:pt>
                <c:pt idx="74">
                  <c:v>-3.9234844</c:v>
                </c:pt>
                <c:pt idx="75">
                  <c:v>-3.8353299999999999</c:v>
                </c:pt>
                <c:pt idx="76">
                  <c:v>-3.7464460000000011</c:v>
                </c:pt>
                <c:pt idx="77">
                  <c:v>-3.657562</c:v>
                </c:pt>
                <c:pt idx="78">
                  <c:v>-3.5686779999999998</c:v>
                </c:pt>
                <c:pt idx="79">
                  <c:v>-3.4797940000000009</c:v>
                </c:pt>
                <c:pt idx="80">
                  <c:v>-3.390174</c:v>
                </c:pt>
                <c:pt idx="81">
                  <c:v>-3.3004068000000002</c:v>
                </c:pt>
                <c:pt idx="82">
                  <c:v>-3.2106395999999999</c:v>
                </c:pt>
                <c:pt idx="83">
                  <c:v>-3.1208724000000001</c:v>
                </c:pt>
                <c:pt idx="84">
                  <c:v>-3.0303852</c:v>
                </c:pt>
                <c:pt idx="85">
                  <c:v>-2.9395379999999989</c:v>
                </c:pt>
                <c:pt idx="86">
                  <c:v>-2.8486908</c:v>
                </c:pt>
                <c:pt idx="87">
                  <c:v>-2.7578436000000002</c:v>
                </c:pt>
                <c:pt idx="88">
                  <c:v>-2.666354399999999</c:v>
                </c:pt>
                <c:pt idx="89">
                  <c:v>-2.5742232</c:v>
                </c:pt>
                <c:pt idx="90">
                  <c:v>-2.4820920000000002</c:v>
                </c:pt>
                <c:pt idx="91">
                  <c:v>-2.389960799999999</c:v>
                </c:pt>
                <c:pt idx="92">
                  <c:v>-2.2973311999999999</c:v>
                </c:pt>
                <c:pt idx="93">
                  <c:v>-2.203704800000001</c:v>
                </c:pt>
                <c:pt idx="94">
                  <c:v>-2.1100783999999999</c:v>
                </c:pt>
                <c:pt idx="95">
                  <c:v>-2.0164520000000001</c:v>
                </c:pt>
                <c:pt idx="96">
                  <c:v>-1.922545200000001</c:v>
                </c:pt>
                <c:pt idx="97">
                  <c:v>-1.8272364000000001</c:v>
                </c:pt>
                <c:pt idx="98">
                  <c:v>-1.7319275999999999</c:v>
                </c:pt>
                <c:pt idx="99">
                  <c:v>-1.636618799999999</c:v>
                </c:pt>
                <c:pt idx="100">
                  <c:v>-1.54131</c:v>
                </c:pt>
              </c:numCache>
            </c:numRef>
          </c:yVal>
          <c:smooth val="1"/>
          <c:extLst>
            <c:ext xmlns:c16="http://schemas.microsoft.com/office/drawing/2014/chart" uri="{C3380CC4-5D6E-409C-BE32-E72D297353CC}">
              <c16:uniqueId val="{00000000-FA7E-4F6A-A799-1F862F25D909}"/>
            </c:ext>
          </c:extLst>
        </c:ser>
        <c:ser>
          <c:idx val="0"/>
          <c:order val="6"/>
          <c:tx>
            <c:v>Left 1</c:v>
          </c:tx>
          <c:spPr>
            <a:ln w="19050">
              <a:solidFill>
                <a:srgbClr val="FF0000"/>
              </a:solidFill>
            </a:ln>
          </c:spPr>
          <c:marker>
            <c:symbol val="none"/>
          </c:marker>
          <c:xVal>
            <c:numRef>
              <c:f>'Left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1 Kin'!$H$2:$H$102</c:f>
              <c:numCache>
                <c:formatCode>General</c:formatCode>
                <c:ptCount val="101"/>
                <c:pt idx="0">
                  <c:v>-10.002800000000001</c:v>
                </c:pt>
                <c:pt idx="1">
                  <c:v>-10.04135</c:v>
                </c:pt>
                <c:pt idx="2">
                  <c:v>-10.0799</c:v>
                </c:pt>
                <c:pt idx="3">
                  <c:v>-10.118449999999999</c:v>
                </c:pt>
                <c:pt idx="4">
                  <c:v>-10.157</c:v>
                </c:pt>
                <c:pt idx="5">
                  <c:v>-10.180899999999999</c:v>
                </c:pt>
                <c:pt idx="6">
                  <c:v>-10.204800000000001</c:v>
                </c:pt>
                <c:pt idx="7">
                  <c:v>-10.2287</c:v>
                </c:pt>
                <c:pt idx="8">
                  <c:v>-10.252599999999999</c:v>
                </c:pt>
                <c:pt idx="9">
                  <c:v>-10.262525</c:v>
                </c:pt>
                <c:pt idx="10">
                  <c:v>-10.272449999999999</c:v>
                </c:pt>
                <c:pt idx="11">
                  <c:v>-10.282375</c:v>
                </c:pt>
                <c:pt idx="12">
                  <c:v>-10.292299999999999</c:v>
                </c:pt>
                <c:pt idx="13">
                  <c:v>-10.289175</c:v>
                </c:pt>
                <c:pt idx="14">
                  <c:v>-10.286049999999999</c:v>
                </c:pt>
                <c:pt idx="15">
                  <c:v>-10.282925000000001</c:v>
                </c:pt>
                <c:pt idx="16">
                  <c:v>-10.2798</c:v>
                </c:pt>
                <c:pt idx="17">
                  <c:v>-10.264749999999999</c:v>
                </c:pt>
                <c:pt idx="18">
                  <c:v>-10.249700000000001</c:v>
                </c:pt>
                <c:pt idx="19">
                  <c:v>-10.23465</c:v>
                </c:pt>
                <c:pt idx="20">
                  <c:v>-10.2196</c:v>
                </c:pt>
                <c:pt idx="21">
                  <c:v>-10.193875</c:v>
                </c:pt>
                <c:pt idx="22">
                  <c:v>-10.168150000000001</c:v>
                </c:pt>
                <c:pt idx="23">
                  <c:v>-10.142424999999999</c:v>
                </c:pt>
                <c:pt idx="24">
                  <c:v>-10.1167</c:v>
                </c:pt>
                <c:pt idx="25">
                  <c:v>-10.081664999999999</c:v>
                </c:pt>
                <c:pt idx="26">
                  <c:v>-10.04663</c:v>
                </c:pt>
                <c:pt idx="27">
                  <c:v>-10.011595</c:v>
                </c:pt>
                <c:pt idx="28">
                  <c:v>-9.9765599999999992</c:v>
                </c:pt>
                <c:pt idx="29">
                  <c:v>-9.9336674999999985</c:v>
                </c:pt>
                <c:pt idx="30">
                  <c:v>-9.8907749999999997</c:v>
                </c:pt>
                <c:pt idx="31">
                  <c:v>-9.847882499999999</c:v>
                </c:pt>
                <c:pt idx="32">
                  <c:v>-9.8049900000000001</c:v>
                </c:pt>
                <c:pt idx="33">
                  <c:v>-9.7555999999999994</c:v>
                </c:pt>
                <c:pt idx="34">
                  <c:v>-9.7062100000000004</c:v>
                </c:pt>
                <c:pt idx="35">
                  <c:v>-9.6568200000000015</c:v>
                </c:pt>
                <c:pt idx="36">
                  <c:v>-9.6074300000000008</c:v>
                </c:pt>
                <c:pt idx="37">
                  <c:v>-9.5527999999999995</c:v>
                </c:pt>
                <c:pt idx="38">
                  <c:v>-9.49817</c:v>
                </c:pt>
                <c:pt idx="39">
                  <c:v>-9.4435400000000005</c:v>
                </c:pt>
                <c:pt idx="40">
                  <c:v>-9.3889099999999992</c:v>
                </c:pt>
                <c:pt idx="41">
                  <c:v>-9.3300850000000004</c:v>
                </c:pt>
                <c:pt idx="42">
                  <c:v>-9.2712599999999998</c:v>
                </c:pt>
                <c:pt idx="43">
                  <c:v>-9.212435000000001</c:v>
                </c:pt>
                <c:pt idx="44">
                  <c:v>-9.1536100000000005</c:v>
                </c:pt>
                <c:pt idx="45">
                  <c:v>-9.0913149999999998</c:v>
                </c:pt>
                <c:pt idx="46">
                  <c:v>-9.0290199999999992</c:v>
                </c:pt>
                <c:pt idx="47">
                  <c:v>-8.9667250000000003</c:v>
                </c:pt>
                <c:pt idx="48">
                  <c:v>-8.9044299999999996</c:v>
                </c:pt>
                <c:pt idx="49">
                  <c:v>-8.8390674999999987</c:v>
                </c:pt>
                <c:pt idx="50">
                  <c:v>-8.7737049999999996</c:v>
                </c:pt>
                <c:pt idx="51">
                  <c:v>-8.7083424999999988</c:v>
                </c:pt>
                <c:pt idx="52">
                  <c:v>-8.6429799999999997</c:v>
                </c:pt>
                <c:pt idx="53">
                  <c:v>-8.574605</c:v>
                </c:pt>
                <c:pt idx="54">
                  <c:v>-8.5062299999999986</c:v>
                </c:pt>
                <c:pt idx="55">
                  <c:v>-8.437854999999999</c:v>
                </c:pt>
                <c:pt idx="56">
                  <c:v>-8.3694799999999994</c:v>
                </c:pt>
                <c:pt idx="57">
                  <c:v>-8.2978774999999985</c:v>
                </c:pt>
                <c:pt idx="58">
                  <c:v>-8.2262749999999993</c:v>
                </c:pt>
                <c:pt idx="59">
                  <c:v>-8.1546725000000002</c:v>
                </c:pt>
                <c:pt idx="60">
                  <c:v>-8.0830699999999993</c:v>
                </c:pt>
                <c:pt idx="61">
                  <c:v>-8.0078774999999993</c:v>
                </c:pt>
                <c:pt idx="62">
                  <c:v>-7.9326849999999993</c:v>
                </c:pt>
                <c:pt idx="63">
                  <c:v>-7.8574925000000002</c:v>
                </c:pt>
                <c:pt idx="64">
                  <c:v>-7.7823000000000002</c:v>
                </c:pt>
                <c:pt idx="65">
                  <c:v>-7.7031375000000004</c:v>
                </c:pt>
                <c:pt idx="66">
                  <c:v>-7.6239749999999997</c:v>
                </c:pt>
                <c:pt idx="67">
                  <c:v>-7.5448124999999999</c:v>
                </c:pt>
                <c:pt idx="68">
                  <c:v>-7.4656500000000001</c:v>
                </c:pt>
                <c:pt idx="69">
                  <c:v>-7.3822924999999993</c:v>
                </c:pt>
                <c:pt idx="70">
                  <c:v>-7.2989350000000002</c:v>
                </c:pt>
                <c:pt idx="71">
                  <c:v>-7.2155774999999993</c:v>
                </c:pt>
                <c:pt idx="72">
                  <c:v>-7.1322200000000002</c:v>
                </c:pt>
                <c:pt idx="73">
                  <c:v>-7.0447250000000006</c:v>
                </c:pt>
                <c:pt idx="74">
                  <c:v>-6.9572299999999991</c:v>
                </c:pt>
                <c:pt idx="75">
                  <c:v>-6.8697349999999986</c:v>
                </c:pt>
                <c:pt idx="76">
                  <c:v>-6.7822399999999998</c:v>
                </c:pt>
                <c:pt idx="77">
                  <c:v>-6.6910149999999993</c:v>
                </c:pt>
                <c:pt idx="78">
                  <c:v>-6.5997899999999996</c:v>
                </c:pt>
                <c:pt idx="79">
                  <c:v>-6.5085650000000008</c:v>
                </c:pt>
                <c:pt idx="80">
                  <c:v>-6.4173400000000003</c:v>
                </c:pt>
                <c:pt idx="81">
                  <c:v>-6.3231400000000004</c:v>
                </c:pt>
                <c:pt idx="82">
                  <c:v>-6.2289400000000006</c:v>
                </c:pt>
                <c:pt idx="83">
                  <c:v>-6.1347399999999999</c:v>
                </c:pt>
                <c:pt idx="84">
                  <c:v>-6.04054</c:v>
                </c:pt>
                <c:pt idx="85">
                  <c:v>-5.9443899999999994</c:v>
                </c:pt>
                <c:pt idx="86">
                  <c:v>-5.8482400000000014</c:v>
                </c:pt>
                <c:pt idx="87">
                  <c:v>-5.7520900000000008</c:v>
                </c:pt>
                <c:pt idx="88">
                  <c:v>-5.6559400000000002</c:v>
                </c:pt>
                <c:pt idx="89">
                  <c:v>-5.5590025000000001</c:v>
                </c:pt>
                <c:pt idx="90">
                  <c:v>-5.4620650000000008</c:v>
                </c:pt>
                <c:pt idx="91">
                  <c:v>-5.3651274999999998</c:v>
                </c:pt>
                <c:pt idx="92">
                  <c:v>-5.2681899999999997</c:v>
                </c:pt>
                <c:pt idx="93">
                  <c:v>-5.1715825000000004</c:v>
                </c:pt>
                <c:pt idx="94">
                  <c:v>-5.0749749999999993</c:v>
                </c:pt>
                <c:pt idx="95">
                  <c:v>-4.9783674999999992</c:v>
                </c:pt>
                <c:pt idx="96">
                  <c:v>-4.8817599999999999</c:v>
                </c:pt>
                <c:pt idx="97">
                  <c:v>-4.7863924999999989</c:v>
                </c:pt>
                <c:pt idx="98">
                  <c:v>-4.6910249999999998</c:v>
                </c:pt>
                <c:pt idx="99">
                  <c:v>-4.5956574999999988</c:v>
                </c:pt>
                <c:pt idx="100">
                  <c:v>-4.5002899999999997</c:v>
                </c:pt>
              </c:numCache>
            </c:numRef>
          </c:yVal>
          <c:smooth val="1"/>
          <c:extLst>
            <c:ext xmlns:c16="http://schemas.microsoft.com/office/drawing/2014/chart" uri="{C3380CC4-5D6E-409C-BE32-E72D297353CC}">
              <c16:uniqueId val="{00000000-81F8-4547-B814-FA92185C9893}"/>
            </c:ext>
          </c:extLst>
        </c:ser>
        <c:dLbls>
          <c:showLegendKey val="0"/>
          <c:showVal val="0"/>
          <c:showCatName val="0"/>
          <c:showSerName val="0"/>
          <c:showPercent val="0"/>
          <c:showBubbleSize val="0"/>
        </c:dLbls>
        <c:axId val="89456000"/>
        <c:axId val="89523328"/>
      </c:scatterChart>
      <c:valAx>
        <c:axId val="89456000"/>
        <c:scaling>
          <c:orientation val="minMax"/>
          <c:max val="100"/>
        </c:scaling>
        <c:delete val="0"/>
        <c:axPos val="b"/>
        <c:numFmt formatCode="General" sourceLinked="1"/>
        <c:majorTickMark val="out"/>
        <c:minorTickMark val="none"/>
        <c:tickLblPos val="nextTo"/>
        <c:txPr>
          <a:bodyPr/>
          <a:lstStyle/>
          <a:p>
            <a:pPr>
              <a:defRPr lang="en-US" sz="800"/>
            </a:pPr>
            <a:endParaRPr lang="en-US"/>
          </a:p>
        </c:txPr>
        <c:crossAx val="89523328"/>
        <c:crosses val="autoZero"/>
        <c:crossBetween val="midCat"/>
        <c:majorUnit val="20"/>
      </c:valAx>
      <c:valAx>
        <c:axId val="89523328"/>
        <c:scaling>
          <c:orientation val="minMax"/>
        </c:scaling>
        <c:delete val="0"/>
        <c:axPos val="l"/>
        <c:title>
          <c:tx>
            <c:rich>
              <a:bodyPr rot="-5400000" vert="horz"/>
              <a:lstStyle/>
              <a:p>
                <a:pPr>
                  <a:defRPr lang="en-AU" sz="900"/>
                </a:pPr>
                <a:r>
                  <a:rPr lang="en-US" sz="900"/>
                  <a:t>Angle (degrees)</a:t>
                </a:r>
              </a:p>
            </c:rich>
          </c:tx>
          <c:layout>
            <c:manualLayout>
              <c:xMode val="edge"/>
              <c:yMode val="edge"/>
              <c:x val="6.2355452540091916E-3"/>
              <c:y val="0.31986340162509314"/>
            </c:manualLayout>
          </c:layout>
          <c:overlay val="0"/>
        </c:title>
        <c:numFmt formatCode="0" sourceLinked="0"/>
        <c:majorTickMark val="out"/>
        <c:minorTickMark val="none"/>
        <c:tickLblPos val="nextTo"/>
        <c:txPr>
          <a:bodyPr/>
          <a:lstStyle/>
          <a:p>
            <a:pPr>
              <a:defRPr lang="en-US" sz="800"/>
            </a:pPr>
            <a:endParaRPr lang="en-US"/>
          </a:p>
        </c:txPr>
        <c:crossAx val="89456000"/>
        <c:crosses val="autoZero"/>
        <c:crossBetween val="midCat"/>
        <c:majorUnit val="20"/>
      </c:valAx>
    </c:plotArea>
    <c:plotVisOnly val="1"/>
    <c:dispBlanksAs val="gap"/>
    <c:showDLblsOverMax val="0"/>
  </c:chart>
  <c:printSettings>
    <c:headerFooter/>
    <c:pageMargins b="0.75000000000001421" l="0.70000000000000095" r="0.70000000000000095" t="0.75000000000001421" header="0.3000000000000001" footer="0.3000000000000001"/>
    <c:pageSetup/>
  </c:printSettings>
  <c:userShapes r:id="rId1"/>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US" sz="1200"/>
            </a:pPr>
            <a:r>
              <a:rPr lang="en-US" sz="1200"/>
              <a:t>Transverse </a:t>
            </a:r>
            <a:r>
              <a:rPr lang="en-US" sz="1200" b="1" i="0" u="none" strike="noStrike" baseline="0">
                <a:effectLst/>
              </a:rPr>
              <a:t>Thorax</a:t>
            </a:r>
            <a:r>
              <a:rPr lang="en-US" sz="1200"/>
              <a:t> Angle</a:t>
            </a:r>
          </a:p>
        </c:rich>
      </c:tx>
      <c:overlay val="0"/>
    </c:title>
    <c:autoTitleDeleted val="0"/>
    <c:plotArea>
      <c:layout>
        <c:manualLayout>
          <c:layoutTarget val="inner"/>
          <c:xMode val="edge"/>
          <c:yMode val="edge"/>
          <c:x val="8.2778953706055564E-2"/>
          <c:y val="3.551284030672637E-2"/>
          <c:w val="0.88767119163867958"/>
          <c:h val="0.93244094488188967"/>
        </c:manualLayout>
      </c:layout>
      <c:scatterChart>
        <c:scatterStyle val="smoothMarker"/>
        <c:varyColors val="0"/>
        <c:ser>
          <c:idx val="1"/>
          <c:order val="0"/>
          <c:tx>
            <c:v>Normative</c:v>
          </c:tx>
          <c:spPr>
            <a:ln>
              <a:solidFill>
                <a:schemeClr val="tx1"/>
              </a:solidFill>
            </a:ln>
          </c:spPr>
          <c:marker>
            <c:symbol val="none"/>
          </c:marker>
          <c:xVal>
            <c:numRef>
              <c:f>Normative!$A$2:$A$102</c:f>
              <c:numCache>
                <c:formatCode>General</c:formatCode>
                <c:ptCount val="101"/>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numCache>
            </c:numRef>
          </c:xVal>
          <c:yVal>
            <c:numRef>
              <c:f>Normative!$I$2:$I$102</c:f>
              <c:numCache>
                <c:formatCode>General</c:formatCode>
                <c:ptCount val="101"/>
                <c:pt idx="0">
                  <c:v>-9.4456160208333326</c:v>
                </c:pt>
                <c:pt idx="1">
                  <c:v>-9.4456160208333326</c:v>
                </c:pt>
                <c:pt idx="2">
                  <c:v>-9.2300812708333346</c:v>
                </c:pt>
                <c:pt idx="3">
                  <c:v>-9.2230673958333327</c:v>
                </c:pt>
                <c:pt idx="4">
                  <c:v>-9.002693854166667</c:v>
                </c:pt>
                <c:pt idx="5">
                  <c:v>-8.9876178541666683</c:v>
                </c:pt>
                <c:pt idx="6">
                  <c:v>-8.7921763958333319</c:v>
                </c:pt>
                <c:pt idx="7">
                  <c:v>-8.7186013333333321</c:v>
                </c:pt>
                <c:pt idx="8">
                  <c:v>-8.6021495624999993</c:v>
                </c:pt>
                <c:pt idx="9">
                  <c:v>-8.5108426875000003</c:v>
                </c:pt>
                <c:pt idx="10">
                  <c:v>-10.195590636666667</c:v>
                </c:pt>
                <c:pt idx="11">
                  <c:v>-10.123484019999999</c:v>
                </c:pt>
                <c:pt idx="12">
                  <c:v>-9.9405343433333329</c:v>
                </c:pt>
                <c:pt idx="13">
                  <c:v>-9.8507325433333328</c:v>
                </c:pt>
                <c:pt idx="14">
                  <c:v>-9.6404818466666651</c:v>
                </c:pt>
                <c:pt idx="15">
                  <c:v>-9.5713134333333336</c:v>
                </c:pt>
                <c:pt idx="16">
                  <c:v>-9.354737140000001</c:v>
                </c:pt>
                <c:pt idx="17">
                  <c:v>-9.2729674499999994</c:v>
                </c:pt>
                <c:pt idx="18">
                  <c:v>-8.9901468400000013</c:v>
                </c:pt>
                <c:pt idx="19">
                  <c:v>-8.9116768000000004</c:v>
                </c:pt>
                <c:pt idx="20">
                  <c:v>-8.6412088766666653</c:v>
                </c:pt>
                <c:pt idx="21">
                  <c:v>-8.4929053166666684</c:v>
                </c:pt>
                <c:pt idx="22">
                  <c:v>-8.1387022966666684</c:v>
                </c:pt>
                <c:pt idx="23">
                  <c:v>-7.9866231433333326</c:v>
                </c:pt>
                <c:pt idx="24">
                  <c:v>-7.6172303366666672</c:v>
                </c:pt>
                <c:pt idx="25">
                  <c:v>-7.1571268466666664</c:v>
                </c:pt>
                <c:pt idx="26">
                  <c:v>-6.7714178033333328</c:v>
                </c:pt>
                <c:pt idx="27">
                  <c:v>-6.3218333366666659</c:v>
                </c:pt>
                <c:pt idx="28">
                  <c:v>-6.0356283666666668</c:v>
                </c:pt>
                <c:pt idx="29">
                  <c:v>-5.4355743900000011</c:v>
                </c:pt>
                <c:pt idx="30">
                  <c:v>-5.0297277366666666</c:v>
                </c:pt>
                <c:pt idx="31">
                  <c:v>-4.4687185500000002</c:v>
                </c:pt>
                <c:pt idx="32">
                  <c:v>-4.0893914499999999</c:v>
                </c:pt>
                <c:pt idx="33">
                  <c:v>-3.2790750333333336</c:v>
                </c:pt>
                <c:pt idx="34">
                  <c:v>-2.8512093500000004</c:v>
                </c:pt>
                <c:pt idx="35">
                  <c:v>-2.2046766299999998</c:v>
                </c:pt>
                <c:pt idx="36">
                  <c:v>-1.7962941933333334</c:v>
                </c:pt>
                <c:pt idx="37">
                  <c:v>-1.0922248866666666</c:v>
                </c:pt>
                <c:pt idx="38">
                  <c:v>-0.44983322999999997</c:v>
                </c:pt>
                <c:pt idx="39">
                  <c:v>0.15807887333333337</c:v>
                </c:pt>
                <c:pt idx="40">
                  <c:v>0.65035092333333333</c:v>
                </c:pt>
                <c:pt idx="41">
                  <c:v>1.3006226333333335</c:v>
                </c:pt>
                <c:pt idx="42">
                  <c:v>1.8533674433333331</c:v>
                </c:pt>
                <c:pt idx="43">
                  <c:v>2.58452781</c:v>
                </c:pt>
                <c:pt idx="44">
                  <c:v>2.94343851</c:v>
                </c:pt>
                <c:pt idx="45">
                  <c:v>3.8881269466666666</c:v>
                </c:pt>
                <c:pt idx="46">
                  <c:v>4.1223102666666671</c:v>
                </c:pt>
                <c:pt idx="47">
                  <c:v>4.9881084033333334</c:v>
                </c:pt>
                <c:pt idx="48">
                  <c:v>5.1651116533333328</c:v>
                </c:pt>
                <c:pt idx="49">
                  <c:v>6.0272880433333338</c:v>
                </c:pt>
                <c:pt idx="50">
                  <c:v>6.9798267066666684</c:v>
                </c:pt>
              </c:numCache>
            </c:numRef>
          </c:yVal>
          <c:smooth val="1"/>
          <c:extLst>
            <c:ext xmlns:c16="http://schemas.microsoft.com/office/drawing/2014/chart" uri="{C3380CC4-5D6E-409C-BE32-E72D297353CC}">
              <c16:uniqueId val="{00000000-F19C-4F3A-AA73-F71F7F04C309}"/>
            </c:ext>
          </c:extLst>
        </c:ser>
        <c:ser>
          <c:idx val="6"/>
          <c:order val="1"/>
          <c:tx>
            <c:v>Right 3</c:v>
          </c:tx>
          <c:spPr>
            <a:ln w="19050">
              <a:solidFill>
                <a:srgbClr val="00B050"/>
              </a:solidFill>
            </a:ln>
          </c:spPr>
          <c:marker>
            <c:symbol val="none"/>
          </c:marker>
          <c:xVal>
            <c:numRef>
              <c:f>'Right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3 Kin'!$I$2:$I$102</c:f>
              <c:numCache>
                <c:formatCode>General</c:formatCode>
                <c:ptCount val="101"/>
                <c:pt idx="0">
                  <c:v>-8.3833400000000005</c:v>
                </c:pt>
                <c:pt idx="1">
                  <c:v>-8.2611426000000012</c:v>
                </c:pt>
                <c:pt idx="2">
                  <c:v>-8.1389452000000002</c:v>
                </c:pt>
                <c:pt idx="3">
                  <c:v>-8.016747800000001</c:v>
                </c:pt>
                <c:pt idx="4">
                  <c:v>-7.8977432000000007</c:v>
                </c:pt>
                <c:pt idx="5">
                  <c:v>-7.7962990000000003</c:v>
                </c:pt>
                <c:pt idx="6">
                  <c:v>-7.6948547999999999</c:v>
                </c:pt>
                <c:pt idx="7">
                  <c:v>-7.5934106000000003</c:v>
                </c:pt>
                <c:pt idx="8">
                  <c:v>-7.4982319999999998</c:v>
                </c:pt>
                <c:pt idx="9">
                  <c:v>-7.4171509999999996</c:v>
                </c:pt>
                <c:pt idx="10">
                  <c:v>-7.3360700000000003</c:v>
                </c:pt>
                <c:pt idx="11">
                  <c:v>-7.2549890000000001</c:v>
                </c:pt>
                <c:pt idx="12">
                  <c:v>-7.1822587999999996</c:v>
                </c:pt>
                <c:pt idx="13">
                  <c:v>-7.1192712</c:v>
                </c:pt>
                <c:pt idx="14">
                  <c:v>-7.0562836000000004</c:v>
                </c:pt>
                <c:pt idx="15">
                  <c:v>-6.993296</c:v>
                </c:pt>
                <c:pt idx="16">
                  <c:v>-6.9389148</c:v>
                </c:pt>
                <c:pt idx="17">
                  <c:v>-6.8899125999999997</c:v>
                </c:pt>
                <c:pt idx="18">
                  <c:v>-6.8409104000000003</c:v>
                </c:pt>
                <c:pt idx="19">
                  <c:v>-6.7919082</c:v>
                </c:pt>
                <c:pt idx="20">
                  <c:v>-6.7492459999999994</c:v>
                </c:pt>
                <c:pt idx="21">
                  <c:v>-6.7084858000000001</c:v>
                </c:pt>
                <c:pt idx="22">
                  <c:v>-6.6677255999999998</c:v>
                </c:pt>
                <c:pt idx="23">
                  <c:v>-6.6269653999999996</c:v>
                </c:pt>
                <c:pt idx="24">
                  <c:v>-6.5873188000000003</c:v>
                </c:pt>
                <c:pt idx="25">
                  <c:v>-6.5477650000000001</c:v>
                </c:pt>
                <c:pt idx="26">
                  <c:v>-6.5082111999999999</c:v>
                </c:pt>
                <c:pt idx="27">
                  <c:v>-6.4681470000000001</c:v>
                </c:pt>
                <c:pt idx="28">
                  <c:v>-6.4219580000000001</c:v>
                </c:pt>
                <c:pt idx="29">
                  <c:v>-6.375769</c:v>
                </c:pt>
                <c:pt idx="30">
                  <c:v>-6.32958</c:v>
                </c:pt>
                <c:pt idx="31">
                  <c:v>-6.2799889999999996</c:v>
                </c:pt>
                <c:pt idx="32">
                  <c:v>-6.2190580000000004</c:v>
                </c:pt>
                <c:pt idx="33">
                  <c:v>-6.1581270000000004</c:v>
                </c:pt>
                <c:pt idx="34">
                  <c:v>-6.0971960000000003</c:v>
                </c:pt>
                <c:pt idx="35">
                  <c:v>-6.0276079999999999</c:v>
                </c:pt>
                <c:pt idx="36">
                  <c:v>-5.9441687999999999</c:v>
                </c:pt>
                <c:pt idx="37">
                  <c:v>-5.8607296</c:v>
                </c:pt>
                <c:pt idx="38">
                  <c:v>-5.7772904</c:v>
                </c:pt>
                <c:pt idx="39">
                  <c:v>-5.6780200000000001</c:v>
                </c:pt>
                <c:pt idx="40">
                  <c:v>-5.5651799999999998</c:v>
                </c:pt>
                <c:pt idx="41">
                  <c:v>-5.4523400000000004</c:v>
                </c:pt>
                <c:pt idx="42">
                  <c:v>-5.3394999999999992</c:v>
                </c:pt>
                <c:pt idx="43">
                  <c:v>-5.2024914000000004</c:v>
                </c:pt>
                <c:pt idx="44">
                  <c:v>-5.0547411999999996</c:v>
                </c:pt>
                <c:pt idx="45">
                  <c:v>-4.9069910000000014</c:v>
                </c:pt>
                <c:pt idx="46">
                  <c:v>-4.7592408000000006</c:v>
                </c:pt>
                <c:pt idx="47">
                  <c:v>-4.5787876000000001</c:v>
                </c:pt>
                <c:pt idx="48">
                  <c:v>-4.3923884000000006</c:v>
                </c:pt>
                <c:pt idx="49">
                  <c:v>-4.2059892000000003</c:v>
                </c:pt>
                <c:pt idx="50">
                  <c:v>-4.01959</c:v>
                </c:pt>
                <c:pt idx="51">
                  <c:v>-3.792818</c:v>
                </c:pt>
                <c:pt idx="52">
                  <c:v>-3.566046</c:v>
                </c:pt>
                <c:pt idx="53">
                  <c:v>-3.3392740000000001</c:v>
                </c:pt>
                <c:pt idx="54">
                  <c:v>-3.106363599999999</c:v>
                </c:pt>
                <c:pt idx="55">
                  <c:v>-2.839691999999999</c:v>
                </c:pt>
                <c:pt idx="56">
                  <c:v>-2.5730203999999999</c:v>
                </c:pt>
                <c:pt idx="57">
                  <c:v>-2.306348799999999</c:v>
                </c:pt>
                <c:pt idx="58">
                  <c:v>-2.0282155199999981</c:v>
                </c:pt>
                <c:pt idx="59">
                  <c:v>-1.7242934599999999</c:v>
                </c:pt>
                <c:pt idx="60">
                  <c:v>-1.4203714000000001</c:v>
                </c:pt>
                <c:pt idx="61">
                  <c:v>-1.1164493399999991</c:v>
                </c:pt>
                <c:pt idx="62">
                  <c:v>-0.79751119999999798</c:v>
                </c:pt>
                <c:pt idx="63">
                  <c:v>-0.46105429999999958</c:v>
                </c:pt>
                <c:pt idx="64">
                  <c:v>-0.1245973999999989</c:v>
                </c:pt>
                <c:pt idx="65">
                  <c:v>0.2118594999999994</c:v>
                </c:pt>
                <c:pt idx="66">
                  <c:v>0.56434024000000282</c:v>
                </c:pt>
                <c:pt idx="67">
                  <c:v>0.92683588000000094</c:v>
                </c:pt>
                <c:pt idx="68">
                  <c:v>1.2893315199999991</c:v>
                </c:pt>
                <c:pt idx="69">
                  <c:v>1.651827160000003</c:v>
                </c:pt>
                <c:pt idx="70">
                  <c:v>2.0282940000000012</c:v>
                </c:pt>
                <c:pt idx="71">
                  <c:v>2.4089522000000039</c:v>
                </c:pt>
                <c:pt idx="72">
                  <c:v>2.789610400000003</c:v>
                </c:pt>
                <c:pt idx="73">
                  <c:v>3.1702686000000009</c:v>
                </c:pt>
                <c:pt idx="74">
                  <c:v>3.5596604000000052</c:v>
                </c:pt>
                <c:pt idx="75">
                  <c:v>3.9497800000000032</c:v>
                </c:pt>
                <c:pt idx="76">
                  <c:v>4.3398996000000007</c:v>
                </c:pt>
                <c:pt idx="77">
                  <c:v>4.7300590000000042</c:v>
                </c:pt>
                <c:pt idx="78">
                  <c:v>5.1206960000000024</c:v>
                </c:pt>
                <c:pt idx="79">
                  <c:v>5.5113329999999996</c:v>
                </c:pt>
                <c:pt idx="80">
                  <c:v>5.9019700000000048</c:v>
                </c:pt>
                <c:pt idx="81">
                  <c:v>6.2907494000000028</c:v>
                </c:pt>
                <c:pt idx="82">
                  <c:v>6.6733368000000004</c:v>
                </c:pt>
                <c:pt idx="83">
                  <c:v>7.0559242000000042</c:v>
                </c:pt>
                <c:pt idx="84">
                  <c:v>7.4385116000000018</c:v>
                </c:pt>
                <c:pt idx="85">
                  <c:v>7.8150470000000052</c:v>
                </c:pt>
                <c:pt idx="86">
                  <c:v>8.1818992000000037</c:v>
                </c:pt>
                <c:pt idx="87">
                  <c:v>8.5487514000000022</c:v>
                </c:pt>
                <c:pt idx="88">
                  <c:v>8.9156036000000061</c:v>
                </c:pt>
                <c:pt idx="89">
                  <c:v>9.2705432000000041</c:v>
                </c:pt>
                <c:pt idx="90">
                  <c:v>9.6152720000000009</c:v>
                </c:pt>
                <c:pt idx="91">
                  <c:v>9.9600008000000013</c:v>
                </c:pt>
                <c:pt idx="92">
                  <c:v>10.3047296</c:v>
                </c:pt>
                <c:pt idx="93">
                  <c:v>10.630706</c:v>
                </c:pt>
                <c:pt idx="94">
                  <c:v>10.948347999999999</c:v>
                </c:pt>
                <c:pt idx="95">
                  <c:v>11.26599</c:v>
                </c:pt>
                <c:pt idx="96">
                  <c:v>11.583632</c:v>
                </c:pt>
                <c:pt idx="97">
                  <c:v>11.875512000000001</c:v>
                </c:pt>
                <c:pt idx="98">
                  <c:v>12.162708</c:v>
                </c:pt>
                <c:pt idx="99">
                  <c:v>12.449904</c:v>
                </c:pt>
                <c:pt idx="100">
                  <c:v>12.7371</c:v>
                </c:pt>
              </c:numCache>
            </c:numRef>
          </c:yVal>
          <c:smooth val="1"/>
          <c:extLst>
            <c:ext xmlns:c16="http://schemas.microsoft.com/office/drawing/2014/chart" uri="{C3380CC4-5D6E-409C-BE32-E72D297353CC}">
              <c16:uniqueId val="{00000004-AA03-4A6F-95B4-7CA90C27C11B}"/>
            </c:ext>
          </c:extLst>
        </c:ser>
        <c:ser>
          <c:idx val="5"/>
          <c:order val="2"/>
          <c:tx>
            <c:v>Right 2</c:v>
          </c:tx>
          <c:spPr>
            <a:ln w="19050">
              <a:solidFill>
                <a:srgbClr val="00B050"/>
              </a:solidFill>
            </a:ln>
          </c:spPr>
          <c:marker>
            <c:symbol val="none"/>
          </c:marker>
          <c:xVal>
            <c:numRef>
              <c:f>'Right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2 Kin'!$I$2:$I$102</c:f>
              <c:numCache>
                <c:formatCode>General</c:formatCode>
                <c:ptCount val="101"/>
                <c:pt idx="0">
                  <c:v>-10.502700000000001</c:v>
                </c:pt>
                <c:pt idx="1">
                  <c:v>-10.388192999999999</c:v>
                </c:pt>
                <c:pt idx="2">
                  <c:v>-10.273686</c:v>
                </c:pt>
                <c:pt idx="3">
                  <c:v>-10.159179</c:v>
                </c:pt>
                <c:pt idx="4">
                  <c:v>-10.047052000000001</c:v>
                </c:pt>
                <c:pt idx="5">
                  <c:v>-9.9405774999999998</c:v>
                </c:pt>
                <c:pt idx="6">
                  <c:v>-9.8341030000000007</c:v>
                </c:pt>
                <c:pt idx="7">
                  <c:v>-9.7276284999999998</c:v>
                </c:pt>
                <c:pt idx="8">
                  <c:v>-9.6255731999999998</c:v>
                </c:pt>
                <c:pt idx="9">
                  <c:v>-9.5265561000000005</c:v>
                </c:pt>
                <c:pt idx="10">
                  <c:v>-9.4275389999999994</c:v>
                </c:pt>
                <c:pt idx="11">
                  <c:v>-9.3285219000000001</c:v>
                </c:pt>
                <c:pt idx="12">
                  <c:v>-9.2350776000000003</c:v>
                </c:pt>
                <c:pt idx="13">
                  <c:v>-9.1423299</c:v>
                </c:pt>
                <c:pt idx="14">
                  <c:v>-9.0495821999999997</c:v>
                </c:pt>
                <c:pt idx="15">
                  <c:v>-8.9576794999999994</c:v>
                </c:pt>
                <c:pt idx="16">
                  <c:v>-8.8694948</c:v>
                </c:pt>
                <c:pt idx="17">
                  <c:v>-8.7813100999999989</c:v>
                </c:pt>
                <c:pt idx="18">
                  <c:v>-8.6931253999999996</c:v>
                </c:pt>
                <c:pt idx="19">
                  <c:v>-8.606092499999999</c:v>
                </c:pt>
                <c:pt idx="20">
                  <c:v>-8.5203000000000007</c:v>
                </c:pt>
                <c:pt idx="21">
                  <c:v>-8.4345075000000005</c:v>
                </c:pt>
                <c:pt idx="22">
                  <c:v>-8.3487150000000003</c:v>
                </c:pt>
                <c:pt idx="23">
                  <c:v>-8.262792300000001</c:v>
                </c:pt>
                <c:pt idx="24">
                  <c:v>-8.1768324000000003</c:v>
                </c:pt>
                <c:pt idx="25">
                  <c:v>-8.0908724999999997</c:v>
                </c:pt>
                <c:pt idx="26">
                  <c:v>-8.0046906</c:v>
                </c:pt>
                <c:pt idx="27">
                  <c:v>-7.9157336999999988</c:v>
                </c:pt>
                <c:pt idx="28">
                  <c:v>-7.8267767999999993</c:v>
                </c:pt>
                <c:pt idx="29">
                  <c:v>-7.737819899999999</c:v>
                </c:pt>
                <c:pt idx="30">
                  <c:v>-7.6466399999999997</c:v>
                </c:pt>
                <c:pt idx="31">
                  <c:v>-7.5516809999999994</c:v>
                </c:pt>
                <c:pt idx="32">
                  <c:v>-7.4567220000000001</c:v>
                </c:pt>
                <c:pt idx="33">
                  <c:v>-7.3617629999999998</c:v>
                </c:pt>
                <c:pt idx="34">
                  <c:v>-7.2607866000000003</c:v>
                </c:pt>
                <c:pt idx="35">
                  <c:v>-7.1568015000000003</c:v>
                </c:pt>
                <c:pt idx="36">
                  <c:v>-7.0528164000000002</c:v>
                </c:pt>
                <c:pt idx="37">
                  <c:v>-6.9488312999999993</c:v>
                </c:pt>
                <c:pt idx="38">
                  <c:v>-6.8333333999999999</c:v>
                </c:pt>
                <c:pt idx="39">
                  <c:v>-6.7173927000000004</c:v>
                </c:pt>
                <c:pt idx="40">
                  <c:v>-6.6014519999999992</c:v>
                </c:pt>
                <c:pt idx="41">
                  <c:v>-6.4817159000000002</c:v>
                </c:pt>
                <c:pt idx="42">
                  <c:v>-6.3511357999999998</c:v>
                </c:pt>
                <c:pt idx="43">
                  <c:v>-6.2205556999999994</c:v>
                </c:pt>
                <c:pt idx="44">
                  <c:v>-6.0899755999999989</c:v>
                </c:pt>
                <c:pt idx="45">
                  <c:v>-5.9499725000000003</c:v>
                </c:pt>
                <c:pt idx="46">
                  <c:v>-5.8024310000000003</c:v>
                </c:pt>
                <c:pt idx="47">
                  <c:v>-5.6548894999999986</c:v>
                </c:pt>
                <c:pt idx="48">
                  <c:v>-5.5073480000000004</c:v>
                </c:pt>
                <c:pt idx="49">
                  <c:v>-5.3437961999999999</c:v>
                </c:pt>
                <c:pt idx="50">
                  <c:v>-5.17746</c:v>
                </c:pt>
                <c:pt idx="51">
                  <c:v>-5.0111237999999991</c:v>
                </c:pt>
                <c:pt idx="52">
                  <c:v>-4.841818</c:v>
                </c:pt>
                <c:pt idx="53">
                  <c:v>-4.655437</c:v>
                </c:pt>
                <c:pt idx="54">
                  <c:v>-4.4690559999999993</c:v>
                </c:pt>
                <c:pt idx="55">
                  <c:v>-4.2826749999999993</c:v>
                </c:pt>
                <c:pt idx="56">
                  <c:v>-4.0871320000000004</c:v>
                </c:pt>
                <c:pt idx="57">
                  <c:v>-3.8801364999999999</c:v>
                </c:pt>
                <c:pt idx="58">
                  <c:v>-3.6731409999999989</c:v>
                </c:pt>
                <c:pt idx="59">
                  <c:v>-3.4661455000000001</c:v>
                </c:pt>
                <c:pt idx="60">
                  <c:v>-3.243986</c:v>
                </c:pt>
                <c:pt idx="61">
                  <c:v>-3.0165190999999991</c:v>
                </c:pt>
                <c:pt idx="62">
                  <c:v>-2.7890521999999991</c:v>
                </c:pt>
                <c:pt idx="63">
                  <c:v>-2.560860299999999</c:v>
                </c:pt>
                <c:pt idx="64">
                  <c:v>-2.3138183999999988</c:v>
                </c:pt>
                <c:pt idx="65">
                  <c:v>-2.0667765000000009</c:v>
                </c:pt>
                <c:pt idx="66">
                  <c:v>-1.819734599999999</c:v>
                </c:pt>
                <c:pt idx="67">
                  <c:v>-1.5667194</c:v>
                </c:pt>
                <c:pt idx="68">
                  <c:v>-1.3017576000000011</c:v>
                </c:pt>
                <c:pt idx="69">
                  <c:v>-1.0367957999999979</c:v>
                </c:pt>
                <c:pt idx="70">
                  <c:v>-0.77183399999999835</c:v>
                </c:pt>
                <c:pt idx="71">
                  <c:v>-0.49705537999999572</c:v>
                </c:pt>
                <c:pt idx="72">
                  <c:v>-0.21650215999999761</c:v>
                </c:pt>
                <c:pt idx="73">
                  <c:v>6.4051060000000604E-2</c:v>
                </c:pt>
                <c:pt idx="74">
                  <c:v>0.34460428000000293</c:v>
                </c:pt>
                <c:pt idx="75">
                  <c:v>0.63686450000000105</c:v>
                </c:pt>
                <c:pt idx="76">
                  <c:v>0.93006127999999921</c:v>
                </c:pt>
                <c:pt idx="77">
                  <c:v>1.2232580600000009</c:v>
                </c:pt>
                <c:pt idx="78">
                  <c:v>1.5184987999999999</c:v>
                </c:pt>
                <c:pt idx="79">
                  <c:v>1.820893399999999</c:v>
                </c:pt>
                <c:pt idx="80">
                  <c:v>2.1232880000000018</c:v>
                </c:pt>
                <c:pt idx="81">
                  <c:v>2.4256826000000018</c:v>
                </c:pt>
                <c:pt idx="82">
                  <c:v>2.7308897999999999</c:v>
                </c:pt>
                <c:pt idx="83">
                  <c:v>3.038708700000003</c:v>
                </c:pt>
                <c:pt idx="84">
                  <c:v>3.3465276000000008</c:v>
                </c:pt>
                <c:pt idx="85">
                  <c:v>3.6543465000000031</c:v>
                </c:pt>
                <c:pt idx="86">
                  <c:v>3.9633358000000012</c:v>
                </c:pt>
                <c:pt idx="87">
                  <c:v>4.2725910999999996</c:v>
                </c:pt>
                <c:pt idx="88">
                  <c:v>4.5818464000000017</c:v>
                </c:pt>
                <c:pt idx="89">
                  <c:v>4.8908176000000001</c:v>
                </c:pt>
                <c:pt idx="90">
                  <c:v>5.1975159999999994</c:v>
                </c:pt>
                <c:pt idx="91">
                  <c:v>5.5042144000000031</c:v>
                </c:pt>
                <c:pt idx="92">
                  <c:v>5.8109128000000023</c:v>
                </c:pt>
                <c:pt idx="93">
                  <c:v>6.1149921000000003</c:v>
                </c:pt>
                <c:pt idx="94">
                  <c:v>6.4152618000000032</c:v>
                </c:pt>
                <c:pt idx="95">
                  <c:v>6.7155315000000009</c:v>
                </c:pt>
                <c:pt idx="96">
                  <c:v>7.0158011999999994</c:v>
                </c:pt>
                <c:pt idx="97">
                  <c:v>7.3089953000000012</c:v>
                </c:pt>
                <c:pt idx="98">
                  <c:v>7.599210199999999</c:v>
                </c:pt>
                <c:pt idx="99">
                  <c:v>7.8894251000000013</c:v>
                </c:pt>
                <c:pt idx="100">
                  <c:v>8.1796399999999991</c:v>
                </c:pt>
              </c:numCache>
            </c:numRef>
          </c:yVal>
          <c:smooth val="1"/>
          <c:extLst>
            <c:ext xmlns:c16="http://schemas.microsoft.com/office/drawing/2014/chart" uri="{C3380CC4-5D6E-409C-BE32-E72D297353CC}">
              <c16:uniqueId val="{00000003-AA03-4A6F-95B4-7CA90C27C11B}"/>
            </c:ext>
          </c:extLst>
        </c:ser>
        <c:ser>
          <c:idx val="4"/>
          <c:order val="3"/>
          <c:tx>
            <c:v>Right 1</c:v>
          </c:tx>
          <c:spPr>
            <a:ln w="19050">
              <a:solidFill>
                <a:srgbClr val="00B050"/>
              </a:solidFill>
            </a:ln>
          </c:spPr>
          <c:marker>
            <c:symbol val="none"/>
          </c:marker>
          <c:xVal>
            <c:numRef>
              <c:f>'Right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1 Kin'!$I$2:$I$102</c:f>
              <c:numCache>
                <c:formatCode>General</c:formatCode>
                <c:ptCount val="101"/>
                <c:pt idx="0">
                  <c:v>-11.7881</c:v>
                </c:pt>
                <c:pt idx="1">
                  <c:v>-11.548299</c:v>
                </c:pt>
                <c:pt idx="2">
                  <c:v>-11.308498</c:v>
                </c:pt>
                <c:pt idx="3">
                  <c:v>-11.068697</c:v>
                </c:pt>
                <c:pt idx="4">
                  <c:v>-10.836512000000001</c:v>
                </c:pt>
                <c:pt idx="5">
                  <c:v>-10.610514999999999</c:v>
                </c:pt>
                <c:pt idx="6">
                  <c:v>-10.384518</c:v>
                </c:pt>
                <c:pt idx="7">
                  <c:v>-10.160482999999999</c:v>
                </c:pt>
                <c:pt idx="8">
                  <c:v>-9.9534520000000004</c:v>
                </c:pt>
                <c:pt idx="9">
                  <c:v>-9.7464209999999998</c:v>
                </c:pt>
                <c:pt idx="10">
                  <c:v>-9.5393899999999991</c:v>
                </c:pt>
                <c:pt idx="11">
                  <c:v>-9.3474468999999996</c:v>
                </c:pt>
                <c:pt idx="12">
                  <c:v>-9.1634448000000006</c:v>
                </c:pt>
                <c:pt idx="13">
                  <c:v>-8.9794426999999999</c:v>
                </c:pt>
                <c:pt idx="14">
                  <c:v>-8.8007476000000011</c:v>
                </c:pt>
                <c:pt idx="15">
                  <c:v>-8.6423960000000015</c:v>
                </c:pt>
                <c:pt idx="16">
                  <c:v>-8.4840444000000002</c:v>
                </c:pt>
                <c:pt idx="17">
                  <c:v>-8.3256928000000006</c:v>
                </c:pt>
                <c:pt idx="18">
                  <c:v>-8.1874910000000014</c:v>
                </c:pt>
                <c:pt idx="19">
                  <c:v>-8.0557005000000004</c:v>
                </c:pt>
                <c:pt idx="20">
                  <c:v>-7.9239100000000002</c:v>
                </c:pt>
                <c:pt idx="21">
                  <c:v>-7.8000746000000003</c:v>
                </c:pt>
                <c:pt idx="22">
                  <c:v>-7.6939171999999996</c:v>
                </c:pt>
                <c:pt idx="23">
                  <c:v>-7.5877598000000006</c:v>
                </c:pt>
                <c:pt idx="24">
                  <c:v>-7.4816023999999999</c:v>
                </c:pt>
                <c:pt idx="25">
                  <c:v>-7.3951675000000003</c:v>
                </c:pt>
                <c:pt idx="26">
                  <c:v>-7.3118882000000003</c:v>
                </c:pt>
                <c:pt idx="27">
                  <c:v>-7.2286088999999993</c:v>
                </c:pt>
                <c:pt idx="28">
                  <c:v>-7.1529423999999997</c:v>
                </c:pt>
                <c:pt idx="29">
                  <c:v>-7.0880606999999998</c:v>
                </c:pt>
                <c:pt idx="30">
                  <c:v>-7.0231789999999998</c:v>
                </c:pt>
                <c:pt idx="31">
                  <c:v>-6.9582972999999999</c:v>
                </c:pt>
                <c:pt idx="32">
                  <c:v>-6.9054555999999998</c:v>
                </c:pt>
                <c:pt idx="33">
                  <c:v>-6.8530439000000003</c:v>
                </c:pt>
                <c:pt idx="34">
                  <c:v>-6.8006322000000008</c:v>
                </c:pt>
                <c:pt idx="35">
                  <c:v>-6.7510165000000004</c:v>
                </c:pt>
                <c:pt idx="36">
                  <c:v>-6.7040103999999996</c:v>
                </c:pt>
                <c:pt idx="37">
                  <c:v>-6.6570042999999997</c:v>
                </c:pt>
                <c:pt idx="38">
                  <c:v>-6.6098363999999998</c:v>
                </c:pt>
                <c:pt idx="39">
                  <c:v>-6.5604842000000003</c:v>
                </c:pt>
                <c:pt idx="40">
                  <c:v>-6.5111319999999999</c:v>
                </c:pt>
                <c:pt idx="41">
                  <c:v>-6.4617798000000004</c:v>
                </c:pt>
                <c:pt idx="42">
                  <c:v>-6.4059980000000003</c:v>
                </c:pt>
                <c:pt idx="43">
                  <c:v>-6.3462870000000002</c:v>
                </c:pt>
                <c:pt idx="44">
                  <c:v>-6.2865760000000002</c:v>
                </c:pt>
                <c:pt idx="45">
                  <c:v>-6.2237335000000007</c:v>
                </c:pt>
                <c:pt idx="46">
                  <c:v>-6.1458598000000002</c:v>
                </c:pt>
                <c:pt idx="47">
                  <c:v>-6.0679860999999997</c:v>
                </c:pt>
                <c:pt idx="48">
                  <c:v>-5.9901124000000001</c:v>
                </c:pt>
                <c:pt idx="49">
                  <c:v>-5.8939140999999999</c:v>
                </c:pt>
                <c:pt idx="50">
                  <c:v>-5.7907349999999997</c:v>
                </c:pt>
                <c:pt idx="51">
                  <c:v>-5.6875559000000004</c:v>
                </c:pt>
                <c:pt idx="52">
                  <c:v>-5.5757192</c:v>
                </c:pt>
                <c:pt idx="53">
                  <c:v>-5.4411563000000003</c:v>
                </c:pt>
                <c:pt idx="54">
                  <c:v>-5.3065933999999997</c:v>
                </c:pt>
                <c:pt idx="55">
                  <c:v>-5.1720305</c:v>
                </c:pt>
                <c:pt idx="56">
                  <c:v>-5.0076644000000003</c:v>
                </c:pt>
                <c:pt idx="57">
                  <c:v>-4.8370893000000006</c:v>
                </c:pt>
                <c:pt idx="58">
                  <c:v>-4.6665141999999999</c:v>
                </c:pt>
                <c:pt idx="59">
                  <c:v>-4.4811760000000014</c:v>
                </c:pt>
                <c:pt idx="60">
                  <c:v>-4.2716800000000008</c:v>
                </c:pt>
                <c:pt idx="61">
                  <c:v>-4.0621840000000002</c:v>
                </c:pt>
                <c:pt idx="62">
                  <c:v>-3.8526880000000001</c:v>
                </c:pt>
                <c:pt idx="63">
                  <c:v>-3.606096700000001</c:v>
                </c:pt>
                <c:pt idx="64">
                  <c:v>-3.3567575999999999</c:v>
                </c:pt>
                <c:pt idx="65">
                  <c:v>-3.107418500000001</c:v>
                </c:pt>
                <c:pt idx="66">
                  <c:v>-2.839428599999998</c:v>
                </c:pt>
                <c:pt idx="67">
                  <c:v>-2.5514557000000009</c:v>
                </c:pt>
                <c:pt idx="68">
                  <c:v>-2.2634828000000029</c:v>
                </c:pt>
                <c:pt idx="69">
                  <c:v>-1.9742936700000011</c:v>
                </c:pt>
                <c:pt idx="70">
                  <c:v>-1.651050100000002</c:v>
                </c:pt>
                <c:pt idx="71">
                  <c:v>-1.327806529999999</c:v>
                </c:pt>
                <c:pt idx="72">
                  <c:v>-1.0045629599999999</c:v>
                </c:pt>
                <c:pt idx="73">
                  <c:v>-0.66382520000000123</c:v>
                </c:pt>
                <c:pt idx="74">
                  <c:v>-0.31073859999999742</c:v>
                </c:pt>
                <c:pt idx="75">
                  <c:v>4.2348000000001378E-2</c:v>
                </c:pt>
                <c:pt idx="76">
                  <c:v>0.39855727999999979</c:v>
                </c:pt>
                <c:pt idx="77">
                  <c:v>0.77428331000000228</c:v>
                </c:pt>
                <c:pt idx="78">
                  <c:v>1.1500093399999991</c:v>
                </c:pt>
                <c:pt idx="79">
                  <c:v>1.525735369999996</c:v>
                </c:pt>
                <c:pt idx="80">
                  <c:v>1.9111720000000001</c:v>
                </c:pt>
                <c:pt idx="81">
                  <c:v>2.3009783999999991</c:v>
                </c:pt>
                <c:pt idx="82">
                  <c:v>2.6907847999999972</c:v>
                </c:pt>
                <c:pt idx="83">
                  <c:v>3.0817322000000011</c:v>
                </c:pt>
                <c:pt idx="84">
                  <c:v>3.4762656000000001</c:v>
                </c:pt>
                <c:pt idx="85">
                  <c:v>3.8707990000000039</c:v>
                </c:pt>
                <c:pt idx="86">
                  <c:v>4.2653324000000028</c:v>
                </c:pt>
                <c:pt idx="87">
                  <c:v>4.6560684999999999</c:v>
                </c:pt>
                <c:pt idx="88">
                  <c:v>5.0458140000000027</c:v>
                </c:pt>
                <c:pt idx="89">
                  <c:v>5.4355594999999992</c:v>
                </c:pt>
                <c:pt idx="90">
                  <c:v>5.8205389999999966</c:v>
                </c:pt>
                <c:pt idx="91">
                  <c:v>6.1964631000000008</c:v>
                </c:pt>
                <c:pt idx="92">
                  <c:v>6.5723871999999997</c:v>
                </c:pt>
                <c:pt idx="93">
                  <c:v>6.9483112999999994</c:v>
                </c:pt>
                <c:pt idx="94">
                  <c:v>7.3046444000000026</c:v>
                </c:pt>
                <c:pt idx="95">
                  <c:v>7.6587170000000011</c:v>
                </c:pt>
                <c:pt idx="96">
                  <c:v>8.0127895999999996</c:v>
                </c:pt>
                <c:pt idx="97">
                  <c:v>8.3540949000000033</c:v>
                </c:pt>
                <c:pt idx="98">
                  <c:v>8.6796866000000001</c:v>
                </c:pt>
                <c:pt idx="99">
                  <c:v>9.0052783000000041</c:v>
                </c:pt>
                <c:pt idx="100">
                  <c:v>9.3308700000000009</c:v>
                </c:pt>
              </c:numCache>
            </c:numRef>
          </c:yVal>
          <c:smooth val="1"/>
          <c:extLst>
            <c:ext xmlns:c16="http://schemas.microsoft.com/office/drawing/2014/chart" uri="{C3380CC4-5D6E-409C-BE32-E72D297353CC}">
              <c16:uniqueId val="{00000002-AA03-4A6F-95B4-7CA90C27C11B}"/>
            </c:ext>
          </c:extLst>
        </c:ser>
        <c:ser>
          <c:idx val="3"/>
          <c:order val="4"/>
          <c:tx>
            <c:v>Left 3</c:v>
          </c:tx>
          <c:spPr>
            <a:ln w="19050">
              <a:solidFill>
                <a:srgbClr val="FF0000"/>
              </a:solidFill>
            </a:ln>
          </c:spPr>
          <c:marker>
            <c:symbol val="none"/>
          </c:marker>
          <c:xVal>
            <c:numRef>
              <c:f>'Left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3 Kin'!$I$2:$I$102</c:f>
              <c:numCache>
                <c:formatCode>General</c:formatCode>
                <c:ptCount val="101"/>
                <c:pt idx="0">
                  <c:v>-9.3423099999999994</c:v>
                </c:pt>
                <c:pt idx="1">
                  <c:v>-9.2398049999999987</c:v>
                </c:pt>
                <c:pt idx="2">
                  <c:v>-9.1372999999999998</c:v>
                </c:pt>
                <c:pt idx="3">
                  <c:v>-9.034794999999999</c:v>
                </c:pt>
                <c:pt idx="4">
                  <c:v>-8.9346724000000002</c:v>
                </c:pt>
                <c:pt idx="5">
                  <c:v>-8.8476529999999993</c:v>
                </c:pt>
                <c:pt idx="6">
                  <c:v>-8.7606336000000002</c:v>
                </c:pt>
                <c:pt idx="7">
                  <c:v>-8.6736141999999994</c:v>
                </c:pt>
                <c:pt idx="8">
                  <c:v>-8.5918963999999995</c:v>
                </c:pt>
                <c:pt idx="9">
                  <c:v>-8.5221072000000007</c:v>
                </c:pt>
                <c:pt idx="10">
                  <c:v>-8.452318</c:v>
                </c:pt>
                <c:pt idx="11">
                  <c:v>-8.3825288000000011</c:v>
                </c:pt>
                <c:pt idx="12">
                  <c:v>-8.3209440000000008</c:v>
                </c:pt>
                <c:pt idx="13">
                  <c:v>-8.2689310000000003</c:v>
                </c:pt>
                <c:pt idx="14">
                  <c:v>-8.2169179999999997</c:v>
                </c:pt>
                <c:pt idx="15">
                  <c:v>-8.1649049999999992</c:v>
                </c:pt>
                <c:pt idx="16">
                  <c:v>-8.1232919999999993</c:v>
                </c:pt>
                <c:pt idx="17">
                  <c:v>-8.0881790000000002</c:v>
                </c:pt>
                <c:pt idx="18">
                  <c:v>-8.0530659999999994</c:v>
                </c:pt>
                <c:pt idx="19">
                  <c:v>-8.0179530000000003</c:v>
                </c:pt>
                <c:pt idx="20">
                  <c:v>-7.9939660000000003</c:v>
                </c:pt>
                <c:pt idx="21">
                  <c:v>-7.9733168000000001</c:v>
                </c:pt>
                <c:pt idx="22">
                  <c:v>-7.9526675999999998</c:v>
                </c:pt>
                <c:pt idx="23">
                  <c:v>-7.9320183999999996</c:v>
                </c:pt>
                <c:pt idx="24">
                  <c:v>-7.9209956000000004</c:v>
                </c:pt>
                <c:pt idx="25">
                  <c:v>-7.9107750000000001</c:v>
                </c:pt>
                <c:pt idx="26">
                  <c:v>-7.9005543999999999</c:v>
                </c:pt>
                <c:pt idx="27">
                  <c:v>-7.8907119999999997</c:v>
                </c:pt>
                <c:pt idx="28">
                  <c:v>-7.885408</c:v>
                </c:pt>
                <c:pt idx="29">
                  <c:v>-7.8801040000000002</c:v>
                </c:pt>
                <c:pt idx="30">
                  <c:v>-7.8747999999999996</c:v>
                </c:pt>
                <c:pt idx="31">
                  <c:v>-7.8690784000000003</c:v>
                </c:pt>
                <c:pt idx="32">
                  <c:v>-7.8619648</c:v>
                </c:pt>
                <c:pt idx="33">
                  <c:v>-7.8548511999999997</c:v>
                </c:pt>
                <c:pt idx="34">
                  <c:v>-7.8477375999999994</c:v>
                </c:pt>
                <c:pt idx="35">
                  <c:v>-7.8370359999999986</c:v>
                </c:pt>
                <c:pt idx="36">
                  <c:v>-7.8205935999999996</c:v>
                </c:pt>
                <c:pt idx="37">
                  <c:v>-7.8041511999999997</c:v>
                </c:pt>
                <c:pt idx="38">
                  <c:v>-7.7877087999999999</c:v>
                </c:pt>
                <c:pt idx="39">
                  <c:v>-7.7620361999999998</c:v>
                </c:pt>
                <c:pt idx="40">
                  <c:v>-7.7284519999999999</c:v>
                </c:pt>
                <c:pt idx="41">
                  <c:v>-7.6948677999999999</c:v>
                </c:pt>
                <c:pt idx="42">
                  <c:v>-7.6612836</c:v>
                </c:pt>
                <c:pt idx="43">
                  <c:v>-7.6105723999999997</c:v>
                </c:pt>
                <c:pt idx="44">
                  <c:v>-7.5522491999999994</c:v>
                </c:pt>
                <c:pt idx="45">
                  <c:v>-7.4939260000000001</c:v>
                </c:pt>
                <c:pt idx="46">
                  <c:v>-7.4356028000000007</c:v>
                </c:pt>
                <c:pt idx="47">
                  <c:v>-7.3506134000000003</c:v>
                </c:pt>
                <c:pt idx="48">
                  <c:v>-7.2607756000000014</c:v>
                </c:pt>
                <c:pt idx="49">
                  <c:v>-7.1709378000000008</c:v>
                </c:pt>
                <c:pt idx="50">
                  <c:v>-7.0811000000000002</c:v>
                </c:pt>
                <c:pt idx="51">
                  <c:v>-6.9542278</c:v>
                </c:pt>
                <c:pt idx="52">
                  <c:v>-6.8273556000000006</c:v>
                </c:pt>
                <c:pt idx="53">
                  <c:v>-6.7004834000000004</c:v>
                </c:pt>
                <c:pt idx="54">
                  <c:v>-6.5673279999999998</c:v>
                </c:pt>
                <c:pt idx="55">
                  <c:v>-6.3996149999999998</c:v>
                </c:pt>
                <c:pt idx="56">
                  <c:v>-6.2319019999999998</c:v>
                </c:pt>
                <c:pt idx="57">
                  <c:v>-6.0641889999999998</c:v>
                </c:pt>
                <c:pt idx="58">
                  <c:v>-5.8833487999999994</c:v>
                </c:pt>
                <c:pt idx="59">
                  <c:v>-5.6729723999999999</c:v>
                </c:pt>
                <c:pt idx="60">
                  <c:v>-5.4625959999999996</c:v>
                </c:pt>
                <c:pt idx="61">
                  <c:v>-5.2522195999999992</c:v>
                </c:pt>
                <c:pt idx="62">
                  <c:v>-5.0223203999999981</c:v>
                </c:pt>
                <c:pt idx="63">
                  <c:v>-4.7696445999999986</c:v>
                </c:pt>
                <c:pt idx="64">
                  <c:v>-4.516968799999999</c:v>
                </c:pt>
                <c:pt idx="65">
                  <c:v>-4.2642930000000003</c:v>
                </c:pt>
                <c:pt idx="66">
                  <c:v>-3.9871707999999981</c:v>
                </c:pt>
                <c:pt idx="67">
                  <c:v>-3.694769599999999</c:v>
                </c:pt>
                <c:pt idx="68">
                  <c:v>-3.4023683999999998</c:v>
                </c:pt>
                <c:pt idx="69">
                  <c:v>-3.109967199999998</c:v>
                </c:pt>
                <c:pt idx="70">
                  <c:v>-2.7905659999999992</c:v>
                </c:pt>
                <c:pt idx="71">
                  <c:v>-2.4630647999999962</c:v>
                </c:pt>
                <c:pt idx="72">
                  <c:v>-2.135563599999998</c:v>
                </c:pt>
                <c:pt idx="73">
                  <c:v>-1.808062399999999</c:v>
                </c:pt>
                <c:pt idx="74">
                  <c:v>-1.4540731199999961</c:v>
                </c:pt>
                <c:pt idx="75">
                  <c:v>-1.097876499999997</c:v>
                </c:pt>
                <c:pt idx="76">
                  <c:v>-0.74167987999999907</c:v>
                </c:pt>
                <c:pt idx="77">
                  <c:v>-0.38386933999999562</c:v>
                </c:pt>
                <c:pt idx="78">
                  <c:v>-6.691759999997382E-3</c:v>
                </c:pt>
                <c:pt idx="79">
                  <c:v>0.37048582000000091</c:v>
                </c:pt>
                <c:pt idx="80">
                  <c:v>0.74766340000000453</c:v>
                </c:pt>
                <c:pt idx="81">
                  <c:v>1.1277256000000031</c:v>
                </c:pt>
                <c:pt idx="82">
                  <c:v>1.5174032000000011</c:v>
                </c:pt>
                <c:pt idx="83">
                  <c:v>1.907080800000005</c:v>
                </c:pt>
                <c:pt idx="84">
                  <c:v>2.296758400000003</c:v>
                </c:pt>
                <c:pt idx="85">
                  <c:v>2.6879160000000062</c:v>
                </c:pt>
                <c:pt idx="86">
                  <c:v>3.0814416000000042</c:v>
                </c:pt>
                <c:pt idx="87">
                  <c:v>3.4749672000000018</c:v>
                </c:pt>
                <c:pt idx="88">
                  <c:v>3.8684928000000061</c:v>
                </c:pt>
                <c:pt idx="89">
                  <c:v>4.2596174000000033</c:v>
                </c:pt>
                <c:pt idx="90">
                  <c:v>4.6486839999999994</c:v>
                </c:pt>
                <c:pt idx="91">
                  <c:v>5.0377506000000016</c:v>
                </c:pt>
                <c:pt idx="92">
                  <c:v>5.4268171999999986</c:v>
                </c:pt>
                <c:pt idx="93">
                  <c:v>5.8075983999999963</c:v>
                </c:pt>
                <c:pt idx="94">
                  <c:v>6.1846971999999996</c:v>
                </c:pt>
                <c:pt idx="95">
                  <c:v>6.5617959999999984</c:v>
                </c:pt>
                <c:pt idx="96">
                  <c:v>6.9388947999999964</c:v>
                </c:pt>
                <c:pt idx="97">
                  <c:v>7.3004572000000003</c:v>
                </c:pt>
                <c:pt idx="98">
                  <c:v>7.6591947999999981</c:v>
                </c:pt>
                <c:pt idx="99">
                  <c:v>8.017932400000003</c:v>
                </c:pt>
                <c:pt idx="100">
                  <c:v>8.3766700000000007</c:v>
                </c:pt>
              </c:numCache>
            </c:numRef>
          </c:yVal>
          <c:smooth val="1"/>
          <c:extLst>
            <c:ext xmlns:c16="http://schemas.microsoft.com/office/drawing/2014/chart" uri="{C3380CC4-5D6E-409C-BE32-E72D297353CC}">
              <c16:uniqueId val="{00000001-AA03-4A6F-95B4-7CA90C27C11B}"/>
            </c:ext>
          </c:extLst>
        </c:ser>
        <c:ser>
          <c:idx val="2"/>
          <c:order val="5"/>
          <c:tx>
            <c:v>Left 2</c:v>
          </c:tx>
          <c:spPr>
            <a:ln w="19050">
              <a:solidFill>
                <a:srgbClr val="FF0000"/>
              </a:solidFill>
            </a:ln>
          </c:spPr>
          <c:marker>
            <c:symbol val="none"/>
          </c:marker>
          <c:xVal>
            <c:numRef>
              <c:f>'Left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2 Kin'!$I$2:$I$102</c:f>
              <c:numCache>
                <c:formatCode>General</c:formatCode>
                <c:ptCount val="101"/>
                <c:pt idx="0">
                  <c:v>-8.2811599999999999</c:v>
                </c:pt>
                <c:pt idx="1">
                  <c:v>-8.2483015999999996</c:v>
                </c:pt>
                <c:pt idx="2">
                  <c:v>-8.2154431999999993</c:v>
                </c:pt>
                <c:pt idx="3">
                  <c:v>-8.182584799999999</c:v>
                </c:pt>
                <c:pt idx="4">
                  <c:v>-8.1497263999999987</c:v>
                </c:pt>
                <c:pt idx="5">
                  <c:v>-8.1192799999999998</c:v>
                </c:pt>
                <c:pt idx="6">
                  <c:v>-8.0893160000000002</c:v>
                </c:pt>
                <c:pt idx="7">
                  <c:v>-8.0593519999999987</c:v>
                </c:pt>
                <c:pt idx="8">
                  <c:v>-8.0293879999999991</c:v>
                </c:pt>
                <c:pt idx="9">
                  <c:v>-8.0000719999999994</c:v>
                </c:pt>
                <c:pt idx="10">
                  <c:v>-7.9710799999999997</c:v>
                </c:pt>
                <c:pt idx="11">
                  <c:v>-7.942088</c:v>
                </c:pt>
                <c:pt idx="12">
                  <c:v>-7.9130960000000004</c:v>
                </c:pt>
                <c:pt idx="13">
                  <c:v>-7.8835280000000001</c:v>
                </c:pt>
                <c:pt idx="14">
                  <c:v>-7.8533840000000001</c:v>
                </c:pt>
                <c:pt idx="15">
                  <c:v>-7.8232400000000002</c:v>
                </c:pt>
                <c:pt idx="16">
                  <c:v>-7.7930959999999994</c:v>
                </c:pt>
                <c:pt idx="17">
                  <c:v>-7.7618079999999994</c:v>
                </c:pt>
                <c:pt idx="18">
                  <c:v>-7.7282319999999993</c:v>
                </c:pt>
                <c:pt idx="19">
                  <c:v>-7.6946560000000002</c:v>
                </c:pt>
                <c:pt idx="20">
                  <c:v>-7.6610800000000001</c:v>
                </c:pt>
                <c:pt idx="21">
                  <c:v>-7.6265403999999997</c:v>
                </c:pt>
                <c:pt idx="22">
                  <c:v>-7.5871827999999999</c:v>
                </c:pt>
                <c:pt idx="23">
                  <c:v>-7.5478252000000001</c:v>
                </c:pt>
                <c:pt idx="24">
                  <c:v>-7.5084675999999986</c:v>
                </c:pt>
                <c:pt idx="25">
                  <c:v>-7.4691099999999997</c:v>
                </c:pt>
                <c:pt idx="26">
                  <c:v>-7.4216091999999998</c:v>
                </c:pt>
                <c:pt idx="27">
                  <c:v>-7.3741083999999999</c:v>
                </c:pt>
                <c:pt idx="28">
                  <c:v>-7.3266076</c:v>
                </c:pt>
                <c:pt idx="29">
                  <c:v>-7.2791068000000001</c:v>
                </c:pt>
                <c:pt idx="30">
                  <c:v>-7.2229000000000001</c:v>
                </c:pt>
                <c:pt idx="31">
                  <c:v>-7.1649520000000004</c:v>
                </c:pt>
                <c:pt idx="32">
                  <c:v>-7.1070039999999999</c:v>
                </c:pt>
                <c:pt idx="33">
                  <c:v>-7.0490560000000002</c:v>
                </c:pt>
                <c:pt idx="34">
                  <c:v>-6.9827080000000006</c:v>
                </c:pt>
                <c:pt idx="35">
                  <c:v>-6.9121600000000001</c:v>
                </c:pt>
                <c:pt idx="36">
                  <c:v>-6.8416119999999996</c:v>
                </c:pt>
                <c:pt idx="37">
                  <c:v>-6.771064</c:v>
                </c:pt>
                <c:pt idx="38">
                  <c:v>-6.6932428000000002</c:v>
                </c:pt>
                <c:pt idx="39">
                  <c:v>-6.6081484000000001</c:v>
                </c:pt>
                <c:pt idx="40">
                  <c:v>-6.5230540000000001</c:v>
                </c:pt>
                <c:pt idx="41">
                  <c:v>-6.437959600000001</c:v>
                </c:pt>
                <c:pt idx="42">
                  <c:v>-6.3474628000000006</c:v>
                </c:pt>
                <c:pt idx="43">
                  <c:v>-6.2461612000000004</c:v>
                </c:pt>
                <c:pt idx="44">
                  <c:v>-6.1448595999999993</c:v>
                </c:pt>
                <c:pt idx="45">
                  <c:v>-6.043558</c:v>
                </c:pt>
                <c:pt idx="46">
                  <c:v>-5.9393348000000001</c:v>
                </c:pt>
                <c:pt idx="47">
                  <c:v>-5.8205035999999986</c:v>
                </c:pt>
                <c:pt idx="48">
                  <c:v>-5.7016724000000014</c:v>
                </c:pt>
                <c:pt idx="49">
                  <c:v>-5.5828411999999998</c:v>
                </c:pt>
                <c:pt idx="50">
                  <c:v>-5.46401</c:v>
                </c:pt>
                <c:pt idx="51">
                  <c:v>-5.3267275999999999</c:v>
                </c:pt>
                <c:pt idx="52">
                  <c:v>-5.1894452000000006</c:v>
                </c:pt>
                <c:pt idx="53">
                  <c:v>-5.0521628000000014</c:v>
                </c:pt>
                <c:pt idx="54">
                  <c:v>-4.9148804000000004</c:v>
                </c:pt>
                <c:pt idx="55">
                  <c:v>-4.7618200000000002</c:v>
                </c:pt>
                <c:pt idx="56">
                  <c:v>-4.6056039999999996</c:v>
                </c:pt>
                <c:pt idx="57">
                  <c:v>-4.4493880000000008</c:v>
                </c:pt>
                <c:pt idx="58">
                  <c:v>-4.2931720000000002</c:v>
                </c:pt>
                <c:pt idx="59">
                  <c:v>-4.1243288000000007</c:v>
                </c:pt>
                <c:pt idx="60">
                  <c:v>-3.9491719999999999</c:v>
                </c:pt>
                <c:pt idx="61">
                  <c:v>-3.7740152</c:v>
                </c:pt>
                <c:pt idx="62">
                  <c:v>-3.5988584000000001</c:v>
                </c:pt>
                <c:pt idx="63">
                  <c:v>-3.4144676</c:v>
                </c:pt>
                <c:pt idx="64">
                  <c:v>-3.2208427999999998</c:v>
                </c:pt>
                <c:pt idx="65">
                  <c:v>-3.0272180000000009</c:v>
                </c:pt>
                <c:pt idx="66">
                  <c:v>-2.8335931999999988</c:v>
                </c:pt>
                <c:pt idx="67">
                  <c:v>-2.634134</c:v>
                </c:pt>
                <c:pt idx="68">
                  <c:v>-2.4230060000000009</c:v>
                </c:pt>
                <c:pt idx="69">
                  <c:v>-2.211878</c:v>
                </c:pt>
                <c:pt idx="70">
                  <c:v>-2.0007500000000009</c:v>
                </c:pt>
                <c:pt idx="71">
                  <c:v>-1.786943919999999</c:v>
                </c:pt>
                <c:pt idx="72">
                  <c:v>-1.55974744</c:v>
                </c:pt>
                <c:pt idx="73">
                  <c:v>-1.332550960000001</c:v>
                </c:pt>
                <c:pt idx="74">
                  <c:v>-1.105354479999999</c:v>
                </c:pt>
                <c:pt idx="75">
                  <c:v>-0.87815799999999999</c:v>
                </c:pt>
                <c:pt idx="76">
                  <c:v>-0.6367532800000012</c:v>
                </c:pt>
                <c:pt idx="77">
                  <c:v>-0.39534855999999902</c:v>
                </c:pt>
                <c:pt idx="78">
                  <c:v>-0.15394384000000019</c:v>
                </c:pt>
                <c:pt idx="79">
                  <c:v>8.7460879999998631E-2</c:v>
                </c:pt>
                <c:pt idx="80">
                  <c:v>0.33883200000000069</c:v>
                </c:pt>
                <c:pt idx="81">
                  <c:v>0.5921963999999994</c:v>
                </c:pt>
                <c:pt idx="82">
                  <c:v>0.84556079999999811</c:v>
                </c:pt>
                <c:pt idx="83">
                  <c:v>1.0989252</c:v>
                </c:pt>
                <c:pt idx="84">
                  <c:v>1.358555999999999</c:v>
                </c:pt>
                <c:pt idx="85">
                  <c:v>1.6213200000000021</c:v>
                </c:pt>
                <c:pt idx="86">
                  <c:v>1.8840840000000001</c:v>
                </c:pt>
                <c:pt idx="87">
                  <c:v>2.146847999999999</c:v>
                </c:pt>
                <c:pt idx="88">
                  <c:v>2.412908400000001</c:v>
                </c:pt>
                <c:pt idx="89">
                  <c:v>2.6822651999999998</c:v>
                </c:pt>
                <c:pt idx="90">
                  <c:v>2.9516219999999991</c:v>
                </c:pt>
                <c:pt idx="91">
                  <c:v>3.220978800000001</c:v>
                </c:pt>
                <c:pt idx="92">
                  <c:v>3.4915436</c:v>
                </c:pt>
                <c:pt idx="93">
                  <c:v>3.7645243999999982</c:v>
                </c:pt>
                <c:pt idx="94">
                  <c:v>4.0375052</c:v>
                </c:pt>
                <c:pt idx="95">
                  <c:v>4.3104859999999992</c:v>
                </c:pt>
                <c:pt idx="96">
                  <c:v>4.5835607999999972</c:v>
                </c:pt>
                <c:pt idx="97">
                  <c:v>4.8571055999999997</c:v>
                </c:pt>
                <c:pt idx="98">
                  <c:v>5.1306503999999986</c:v>
                </c:pt>
                <c:pt idx="99">
                  <c:v>5.4041952000000011</c:v>
                </c:pt>
                <c:pt idx="100">
                  <c:v>5.67774</c:v>
                </c:pt>
              </c:numCache>
            </c:numRef>
          </c:yVal>
          <c:smooth val="1"/>
          <c:extLst>
            <c:ext xmlns:c16="http://schemas.microsoft.com/office/drawing/2014/chart" uri="{C3380CC4-5D6E-409C-BE32-E72D297353CC}">
              <c16:uniqueId val="{00000000-AA03-4A6F-95B4-7CA90C27C11B}"/>
            </c:ext>
          </c:extLst>
        </c:ser>
        <c:ser>
          <c:idx val="0"/>
          <c:order val="6"/>
          <c:tx>
            <c:v>Left 1</c:v>
          </c:tx>
          <c:spPr>
            <a:ln w="19050">
              <a:solidFill>
                <a:srgbClr val="FF0000"/>
              </a:solidFill>
            </a:ln>
          </c:spPr>
          <c:marker>
            <c:symbol val="none"/>
          </c:marker>
          <c:xVal>
            <c:numRef>
              <c:f>'Left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1 Kin'!$I$2:$I$102</c:f>
              <c:numCache>
                <c:formatCode>General</c:formatCode>
                <c:ptCount val="101"/>
                <c:pt idx="0">
                  <c:v>-13.2264</c:v>
                </c:pt>
                <c:pt idx="1">
                  <c:v>-13.1836</c:v>
                </c:pt>
                <c:pt idx="2">
                  <c:v>-13.1408</c:v>
                </c:pt>
                <c:pt idx="3">
                  <c:v>-13.098000000000001</c:v>
                </c:pt>
                <c:pt idx="4">
                  <c:v>-13.055199999999999</c:v>
                </c:pt>
                <c:pt idx="5">
                  <c:v>-13.022600000000001</c:v>
                </c:pt>
                <c:pt idx="6">
                  <c:v>-12.99</c:v>
                </c:pt>
                <c:pt idx="7">
                  <c:v>-12.9574</c:v>
                </c:pt>
                <c:pt idx="8">
                  <c:v>-12.924799999999999</c:v>
                </c:pt>
                <c:pt idx="9">
                  <c:v>-12.901249999999999</c:v>
                </c:pt>
                <c:pt idx="10">
                  <c:v>-12.877700000000001</c:v>
                </c:pt>
                <c:pt idx="11">
                  <c:v>-12.854150000000001</c:v>
                </c:pt>
                <c:pt idx="12">
                  <c:v>-12.8306</c:v>
                </c:pt>
                <c:pt idx="13">
                  <c:v>-12.813924999999999</c:v>
                </c:pt>
                <c:pt idx="14">
                  <c:v>-12.79725</c:v>
                </c:pt>
                <c:pt idx="15">
                  <c:v>-12.780575000000001</c:v>
                </c:pt>
                <c:pt idx="16">
                  <c:v>-12.7639</c:v>
                </c:pt>
                <c:pt idx="17">
                  <c:v>-12.751025</c:v>
                </c:pt>
                <c:pt idx="18">
                  <c:v>-12.738149999999999</c:v>
                </c:pt>
                <c:pt idx="19">
                  <c:v>-12.725275</c:v>
                </c:pt>
                <c:pt idx="20">
                  <c:v>-12.712400000000001</c:v>
                </c:pt>
                <c:pt idx="21">
                  <c:v>-12.699249999999999</c:v>
                </c:pt>
                <c:pt idx="22">
                  <c:v>-12.6861</c:v>
                </c:pt>
                <c:pt idx="23">
                  <c:v>-12.67295</c:v>
                </c:pt>
                <c:pt idx="24">
                  <c:v>-12.659800000000001</c:v>
                </c:pt>
                <c:pt idx="25">
                  <c:v>-12.641575</c:v>
                </c:pt>
                <c:pt idx="26">
                  <c:v>-12.62335</c:v>
                </c:pt>
                <c:pt idx="27">
                  <c:v>-12.605124999999999</c:v>
                </c:pt>
                <c:pt idx="28">
                  <c:v>-12.5869</c:v>
                </c:pt>
                <c:pt idx="29">
                  <c:v>-12.558225</c:v>
                </c:pt>
                <c:pt idx="30">
                  <c:v>-12.52955</c:v>
                </c:pt>
                <c:pt idx="31">
                  <c:v>-12.500875000000001</c:v>
                </c:pt>
                <c:pt idx="32">
                  <c:v>-12.472200000000001</c:v>
                </c:pt>
                <c:pt idx="33">
                  <c:v>-12.42745</c:v>
                </c:pt>
                <c:pt idx="34">
                  <c:v>-12.3827</c:v>
                </c:pt>
                <c:pt idx="35">
                  <c:v>-12.337949999999999</c:v>
                </c:pt>
                <c:pt idx="36">
                  <c:v>-12.293200000000001</c:v>
                </c:pt>
                <c:pt idx="37">
                  <c:v>-12.226825</c:v>
                </c:pt>
                <c:pt idx="38">
                  <c:v>-12.160450000000001</c:v>
                </c:pt>
                <c:pt idx="39">
                  <c:v>-12.094075</c:v>
                </c:pt>
                <c:pt idx="40">
                  <c:v>-12.027699999999999</c:v>
                </c:pt>
                <c:pt idx="41">
                  <c:v>-11.934575000000001</c:v>
                </c:pt>
                <c:pt idx="42">
                  <c:v>-11.84145</c:v>
                </c:pt>
                <c:pt idx="43">
                  <c:v>-11.748324999999999</c:v>
                </c:pt>
                <c:pt idx="44">
                  <c:v>-11.655200000000001</c:v>
                </c:pt>
                <c:pt idx="45">
                  <c:v>-11.530849999999999</c:v>
                </c:pt>
                <c:pt idx="46">
                  <c:v>-11.406499999999999</c:v>
                </c:pt>
                <c:pt idx="47">
                  <c:v>-11.28215</c:v>
                </c:pt>
                <c:pt idx="48">
                  <c:v>-11.1578</c:v>
                </c:pt>
                <c:pt idx="49">
                  <c:v>-10.998749999999999</c:v>
                </c:pt>
                <c:pt idx="50">
                  <c:v>-10.839700000000001</c:v>
                </c:pt>
                <c:pt idx="51">
                  <c:v>-10.68065</c:v>
                </c:pt>
                <c:pt idx="52">
                  <c:v>-10.521599999999999</c:v>
                </c:pt>
                <c:pt idx="53">
                  <c:v>-10.325525000000001</c:v>
                </c:pt>
                <c:pt idx="54">
                  <c:v>-10.12945</c:v>
                </c:pt>
                <c:pt idx="55">
                  <c:v>-9.9333749999999981</c:v>
                </c:pt>
                <c:pt idx="56">
                  <c:v>-9.7372999999999994</c:v>
                </c:pt>
                <c:pt idx="57">
                  <c:v>-9.5032774999999994</c:v>
                </c:pt>
                <c:pt idx="58">
                  <c:v>-9.2692549999999994</c:v>
                </c:pt>
                <c:pt idx="59">
                  <c:v>-9.0352324999999993</c:v>
                </c:pt>
                <c:pt idx="60">
                  <c:v>-8.8012099999999993</c:v>
                </c:pt>
                <c:pt idx="61">
                  <c:v>-8.5298324999999995</c:v>
                </c:pt>
                <c:pt idx="62">
                  <c:v>-8.2584549999999979</c:v>
                </c:pt>
                <c:pt idx="63">
                  <c:v>-7.9870775000000007</c:v>
                </c:pt>
                <c:pt idx="64">
                  <c:v>-7.7157</c:v>
                </c:pt>
                <c:pt idx="65">
                  <c:v>-7.4091625000000008</c:v>
                </c:pt>
                <c:pt idx="66">
                  <c:v>-7.102624999999998</c:v>
                </c:pt>
                <c:pt idx="67">
                  <c:v>-6.7960874999999987</c:v>
                </c:pt>
                <c:pt idx="68">
                  <c:v>-6.4895500000000004</c:v>
                </c:pt>
                <c:pt idx="69">
                  <c:v>-6.151657499999998</c:v>
                </c:pt>
                <c:pt idx="70">
                  <c:v>-5.8137650000000001</c:v>
                </c:pt>
                <c:pt idx="71">
                  <c:v>-5.4758724999999977</c:v>
                </c:pt>
                <c:pt idx="72">
                  <c:v>-5.1379799999999998</c:v>
                </c:pt>
                <c:pt idx="73">
                  <c:v>-4.774020000000001</c:v>
                </c:pt>
                <c:pt idx="74">
                  <c:v>-4.410059999999997</c:v>
                </c:pt>
                <c:pt idx="75">
                  <c:v>-4.0460999999999991</c:v>
                </c:pt>
                <c:pt idx="76">
                  <c:v>-3.68214</c:v>
                </c:pt>
                <c:pt idx="77">
                  <c:v>-3.298654999999997</c:v>
                </c:pt>
                <c:pt idx="78">
                  <c:v>-2.9151699999999998</c:v>
                </c:pt>
                <c:pt idx="79">
                  <c:v>-2.5316850000000031</c:v>
                </c:pt>
                <c:pt idx="80">
                  <c:v>-2.1482000000000001</c:v>
                </c:pt>
                <c:pt idx="81">
                  <c:v>-1.752642000000002</c:v>
                </c:pt>
                <c:pt idx="82">
                  <c:v>-1.3570840000000031</c:v>
                </c:pt>
                <c:pt idx="83">
                  <c:v>-0.96152599999999877</c:v>
                </c:pt>
                <c:pt idx="84">
                  <c:v>-0.56596800000000003</c:v>
                </c:pt>
                <c:pt idx="85">
                  <c:v>-0.16624849999999711</c:v>
                </c:pt>
                <c:pt idx="86">
                  <c:v>0.23347100000000001</c:v>
                </c:pt>
                <c:pt idx="87">
                  <c:v>0.6331904999999971</c:v>
                </c:pt>
                <c:pt idx="88">
                  <c:v>1.03291</c:v>
                </c:pt>
                <c:pt idx="89">
                  <c:v>1.428879999999999</c:v>
                </c:pt>
                <c:pt idx="90">
                  <c:v>1.824849999999997</c:v>
                </c:pt>
                <c:pt idx="91">
                  <c:v>2.220820000000002</c:v>
                </c:pt>
                <c:pt idx="92">
                  <c:v>2.6167899999999999</c:v>
                </c:pt>
                <c:pt idx="93">
                  <c:v>3.0015699999999992</c:v>
                </c:pt>
                <c:pt idx="94">
                  <c:v>3.3863500000000029</c:v>
                </c:pt>
                <c:pt idx="95">
                  <c:v>3.7711300000000021</c:v>
                </c:pt>
                <c:pt idx="96">
                  <c:v>4.1559100000000004</c:v>
                </c:pt>
                <c:pt idx="97">
                  <c:v>4.5229100000000031</c:v>
                </c:pt>
                <c:pt idx="98">
                  <c:v>4.8899100000000004</c:v>
                </c:pt>
                <c:pt idx="99">
                  <c:v>5.2569100000000031</c:v>
                </c:pt>
                <c:pt idx="100">
                  <c:v>5.6239100000000004</c:v>
                </c:pt>
              </c:numCache>
            </c:numRef>
          </c:yVal>
          <c:smooth val="1"/>
          <c:extLst>
            <c:ext xmlns:c16="http://schemas.microsoft.com/office/drawing/2014/chart" uri="{C3380CC4-5D6E-409C-BE32-E72D297353CC}">
              <c16:uniqueId val="{00000000-6CA7-4097-9C11-45D4F4F55787}"/>
            </c:ext>
          </c:extLst>
        </c:ser>
        <c:dLbls>
          <c:showLegendKey val="0"/>
          <c:showVal val="0"/>
          <c:showCatName val="0"/>
          <c:showSerName val="0"/>
          <c:showPercent val="0"/>
          <c:showBubbleSize val="0"/>
        </c:dLbls>
        <c:axId val="86415616"/>
        <c:axId val="86433792"/>
      </c:scatterChart>
      <c:valAx>
        <c:axId val="86415616"/>
        <c:scaling>
          <c:orientation val="minMax"/>
          <c:max val="100"/>
        </c:scaling>
        <c:delete val="0"/>
        <c:axPos val="b"/>
        <c:numFmt formatCode="General" sourceLinked="1"/>
        <c:majorTickMark val="out"/>
        <c:minorTickMark val="none"/>
        <c:tickLblPos val="nextTo"/>
        <c:txPr>
          <a:bodyPr/>
          <a:lstStyle/>
          <a:p>
            <a:pPr>
              <a:defRPr lang="en-US" sz="800"/>
            </a:pPr>
            <a:endParaRPr lang="en-US"/>
          </a:p>
        </c:txPr>
        <c:crossAx val="86433792"/>
        <c:crosses val="autoZero"/>
        <c:crossBetween val="midCat"/>
        <c:majorUnit val="20"/>
      </c:valAx>
      <c:valAx>
        <c:axId val="86433792"/>
        <c:scaling>
          <c:orientation val="minMax"/>
        </c:scaling>
        <c:delete val="0"/>
        <c:axPos val="l"/>
        <c:title>
          <c:tx>
            <c:rich>
              <a:bodyPr rot="-5400000" vert="horz"/>
              <a:lstStyle/>
              <a:p>
                <a:pPr>
                  <a:defRPr lang="en-AU" sz="900"/>
                </a:pPr>
                <a:r>
                  <a:rPr lang="en-US" sz="900"/>
                  <a:t>Angle (degrees)</a:t>
                </a:r>
              </a:p>
            </c:rich>
          </c:tx>
          <c:layout>
            <c:manualLayout>
              <c:xMode val="edge"/>
              <c:yMode val="edge"/>
              <c:x val="7.8807368782308996E-4"/>
              <c:y val="0.33402271733993133"/>
            </c:manualLayout>
          </c:layout>
          <c:overlay val="0"/>
        </c:title>
        <c:numFmt formatCode="0" sourceLinked="0"/>
        <c:majorTickMark val="out"/>
        <c:minorTickMark val="none"/>
        <c:tickLblPos val="nextTo"/>
        <c:txPr>
          <a:bodyPr/>
          <a:lstStyle/>
          <a:p>
            <a:pPr>
              <a:defRPr lang="en-US" sz="800"/>
            </a:pPr>
            <a:endParaRPr lang="en-US"/>
          </a:p>
        </c:txPr>
        <c:crossAx val="86415616"/>
        <c:crosses val="autoZero"/>
        <c:crossBetween val="midCat"/>
      </c:valAx>
    </c:plotArea>
    <c:plotVisOnly val="1"/>
    <c:dispBlanksAs val="gap"/>
    <c:showDLblsOverMax val="0"/>
  </c:chart>
  <c:printSettings>
    <c:headerFooter/>
    <c:pageMargins b="0.75000000000001421" l="0.70000000000000095" r="0.70000000000000095" t="0.75000000000001421" header="0.3000000000000001" footer="0.3000000000000001"/>
    <c:pageSetup/>
  </c:printSettings>
  <c:userShapes r:id="rId1"/>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US" sz="1200"/>
            </a:pPr>
            <a:r>
              <a:rPr lang="en-US" sz="1200"/>
              <a:t>Ankle Velocity</a:t>
            </a:r>
          </a:p>
        </c:rich>
      </c:tx>
      <c:overlay val="0"/>
    </c:title>
    <c:autoTitleDeleted val="0"/>
    <c:plotArea>
      <c:layout>
        <c:manualLayout>
          <c:layoutTarget val="inner"/>
          <c:xMode val="edge"/>
          <c:yMode val="edge"/>
          <c:x val="0.10537605534654527"/>
          <c:y val="3.5666392372116433E-2"/>
          <c:w val="0.86600933320279905"/>
          <c:h val="0.93419458257732213"/>
        </c:manualLayout>
      </c:layout>
      <c:scatterChart>
        <c:scatterStyle val="smoothMarker"/>
        <c:varyColors val="0"/>
        <c:ser>
          <c:idx val="1"/>
          <c:order val="0"/>
          <c:tx>
            <c:v>Normative</c:v>
          </c:tx>
          <c:spPr>
            <a:ln>
              <a:solidFill>
                <a:schemeClr val="tx1"/>
              </a:solidFill>
            </a:ln>
          </c:spPr>
          <c:marker>
            <c:symbol val="none"/>
          </c:marker>
          <c:xVal>
            <c:numRef>
              <c:f>Normative!$A$2:$A$102</c:f>
              <c:numCache>
                <c:formatCode>General</c:formatCode>
                <c:ptCount val="101"/>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numCache>
            </c:numRef>
          </c:xVal>
          <c:yVal>
            <c:numRef>
              <c:f>Normative!$AG$2:$AG$102</c:f>
              <c:numCache>
                <c:formatCode>General</c:formatCode>
                <c:ptCount val="101"/>
                <c:pt idx="0">
                  <c:v>554.95440374999953</c:v>
                </c:pt>
                <c:pt idx="1">
                  <c:v>554.95440374999953</c:v>
                </c:pt>
                <c:pt idx="2">
                  <c:v>773.44982541666604</c:v>
                </c:pt>
                <c:pt idx="3">
                  <c:v>798.56621291666602</c:v>
                </c:pt>
                <c:pt idx="4">
                  <c:v>955.16232916666581</c:v>
                </c:pt>
                <c:pt idx="5">
                  <c:v>974.25347416666591</c:v>
                </c:pt>
                <c:pt idx="6">
                  <c:v>1047.6728008333328</c:v>
                </c:pt>
                <c:pt idx="7">
                  <c:v>1041.8179383333329</c:v>
                </c:pt>
                <c:pt idx="8">
                  <c:v>1023.9326549999994</c:v>
                </c:pt>
                <c:pt idx="9">
                  <c:v>973.09685374999901</c:v>
                </c:pt>
                <c:pt idx="10">
                  <c:v>916.74679375000017</c:v>
                </c:pt>
                <c:pt idx="11">
                  <c:v>847.92503541666701</c:v>
                </c:pt>
                <c:pt idx="12">
                  <c:v>770.00184958333352</c:v>
                </c:pt>
                <c:pt idx="13">
                  <c:v>696.36006958333269</c:v>
                </c:pt>
                <c:pt idx="14">
                  <c:v>595.14423249999948</c:v>
                </c:pt>
                <c:pt idx="15">
                  <c:v>547.17772249999939</c:v>
                </c:pt>
                <c:pt idx="16">
                  <c:v>459.02058750000015</c:v>
                </c:pt>
                <c:pt idx="17">
                  <c:v>414.36919250000011</c:v>
                </c:pt>
                <c:pt idx="18">
                  <c:v>317.44910166666688</c:v>
                </c:pt>
                <c:pt idx="19">
                  <c:v>284.05340958333312</c:v>
                </c:pt>
                <c:pt idx="20">
                  <c:v>209.87147124999984</c:v>
                </c:pt>
                <c:pt idx="21">
                  <c:v>170.37138083333326</c:v>
                </c:pt>
                <c:pt idx="22">
                  <c:v>83.708985833333259</c:v>
                </c:pt>
                <c:pt idx="23">
                  <c:v>47.714120416666603</c:v>
                </c:pt>
                <c:pt idx="24">
                  <c:v>-39.851224166666697</c:v>
                </c:pt>
                <c:pt idx="25">
                  <c:v>-145.50042249999993</c:v>
                </c:pt>
                <c:pt idx="26">
                  <c:v>-236.82490499999972</c:v>
                </c:pt>
                <c:pt idx="27">
                  <c:v>-334.9384054166664</c:v>
                </c:pt>
                <c:pt idx="28">
                  <c:v>-399.61270249999956</c:v>
                </c:pt>
                <c:pt idx="29">
                  <c:v>-525.45623791666696</c:v>
                </c:pt>
                <c:pt idx="30">
                  <c:v>-614.79518291666704</c:v>
                </c:pt>
                <c:pt idx="31">
                  <c:v>-732.74764708333373</c:v>
                </c:pt>
                <c:pt idx="32">
                  <c:v>-816.01005083333371</c:v>
                </c:pt>
                <c:pt idx="33">
                  <c:v>-977.56869583333241</c:v>
                </c:pt>
                <c:pt idx="34">
                  <c:v>-1061.2998466666663</c:v>
                </c:pt>
                <c:pt idx="35">
                  <c:v>-1181.259565416666</c:v>
                </c:pt>
                <c:pt idx="36">
                  <c:v>-1249.2538920833326</c:v>
                </c:pt>
                <c:pt idx="37">
                  <c:v>-1356.4429483333327</c:v>
                </c:pt>
                <c:pt idx="38">
                  <c:v>-1437.5488608333321</c:v>
                </c:pt>
                <c:pt idx="39">
                  <c:v>-1484.5229229166655</c:v>
                </c:pt>
                <c:pt idx="40">
                  <c:v>-1530.9771749999989</c:v>
                </c:pt>
                <c:pt idx="41">
                  <c:v>-1539.2302987499988</c:v>
                </c:pt>
                <c:pt idx="42">
                  <c:v>-1557.0374608333318</c:v>
                </c:pt>
                <c:pt idx="43">
                  <c:v>-1520.3238645833321</c:v>
                </c:pt>
                <c:pt idx="44">
                  <c:v>-1493.2794937499989</c:v>
                </c:pt>
                <c:pt idx="45">
                  <c:v>-1384.8911187499989</c:v>
                </c:pt>
                <c:pt idx="46">
                  <c:v>-1344.5948537499989</c:v>
                </c:pt>
                <c:pt idx="47">
                  <c:v>-1181.3001358333324</c:v>
                </c:pt>
                <c:pt idx="48">
                  <c:v>-1138.4859295833326</c:v>
                </c:pt>
                <c:pt idx="49">
                  <c:v>-933.36733124999921</c:v>
                </c:pt>
                <c:pt idx="50">
                  <c:v>-673.13020624999933</c:v>
                </c:pt>
              </c:numCache>
            </c:numRef>
          </c:yVal>
          <c:smooth val="1"/>
          <c:extLst>
            <c:ext xmlns:c16="http://schemas.microsoft.com/office/drawing/2014/chart" uri="{C3380CC4-5D6E-409C-BE32-E72D297353CC}">
              <c16:uniqueId val="{00000002-71C2-4B8F-861A-3C6F1CF55468}"/>
            </c:ext>
          </c:extLst>
        </c:ser>
        <c:ser>
          <c:idx val="6"/>
          <c:order val="1"/>
          <c:tx>
            <c:v>Right 3</c:v>
          </c:tx>
          <c:spPr>
            <a:ln w="19050">
              <a:solidFill>
                <a:srgbClr val="00B050"/>
              </a:solidFill>
            </a:ln>
          </c:spPr>
          <c:marker>
            <c:symbol val="none"/>
          </c:marker>
          <c:xVal>
            <c:numRef>
              <c:f>'Right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3 Kin'!$AG$2:$AG$102</c:f>
              <c:numCache>
                <c:formatCode>General</c:formatCode>
                <c:ptCount val="101"/>
                <c:pt idx="0">
                  <c:v>657.06574999999998</c:v>
                </c:pt>
                <c:pt idx="1">
                  <c:v>688.30943000000002</c:v>
                </c:pt>
                <c:pt idx="2">
                  <c:v>719.55310999999995</c:v>
                </c:pt>
                <c:pt idx="3">
                  <c:v>750.79678999999999</c:v>
                </c:pt>
                <c:pt idx="4">
                  <c:v>779.82494999999994</c:v>
                </c:pt>
                <c:pt idx="5">
                  <c:v>796.66774999999996</c:v>
                </c:pt>
                <c:pt idx="6">
                  <c:v>813.51054999999997</c:v>
                </c:pt>
                <c:pt idx="7">
                  <c:v>830.35334999999998</c:v>
                </c:pt>
                <c:pt idx="8">
                  <c:v>842.4161499999999</c:v>
                </c:pt>
                <c:pt idx="9">
                  <c:v>843.72394999999995</c:v>
                </c:pt>
                <c:pt idx="10">
                  <c:v>845.03174999999987</c:v>
                </c:pt>
                <c:pt idx="11">
                  <c:v>846.3395499999998</c:v>
                </c:pt>
                <c:pt idx="12">
                  <c:v>841.22599999999977</c:v>
                </c:pt>
                <c:pt idx="13">
                  <c:v>828.62087499999984</c:v>
                </c:pt>
                <c:pt idx="14">
                  <c:v>816.0157499999998</c:v>
                </c:pt>
                <c:pt idx="15">
                  <c:v>803.41062499999975</c:v>
                </c:pt>
                <c:pt idx="16">
                  <c:v>784.70849999999984</c:v>
                </c:pt>
                <c:pt idx="17">
                  <c:v>762.19574999999986</c:v>
                </c:pt>
                <c:pt idx="18">
                  <c:v>739.68299999999988</c:v>
                </c:pt>
                <c:pt idx="19">
                  <c:v>717.17025000000001</c:v>
                </c:pt>
                <c:pt idx="20">
                  <c:v>690.47749999999996</c:v>
                </c:pt>
                <c:pt idx="21">
                  <c:v>662.53075000000013</c:v>
                </c:pt>
                <c:pt idx="22">
                  <c:v>634.58400000000017</c:v>
                </c:pt>
                <c:pt idx="23">
                  <c:v>606.63725000000034</c:v>
                </c:pt>
                <c:pt idx="24">
                  <c:v>576.69550000000038</c:v>
                </c:pt>
                <c:pt idx="25">
                  <c:v>546.5875000000002</c:v>
                </c:pt>
                <c:pt idx="26">
                  <c:v>516.47950000000026</c:v>
                </c:pt>
                <c:pt idx="27">
                  <c:v>486.36400000000009</c:v>
                </c:pt>
                <c:pt idx="28">
                  <c:v>456.15850000000012</c:v>
                </c:pt>
                <c:pt idx="29">
                  <c:v>425.95299999999997</c:v>
                </c:pt>
                <c:pt idx="30">
                  <c:v>395.7475</c:v>
                </c:pt>
                <c:pt idx="31">
                  <c:v>365.80299999999988</c:v>
                </c:pt>
                <c:pt idx="32">
                  <c:v>336.72849999999988</c:v>
                </c:pt>
                <c:pt idx="33">
                  <c:v>307.65399999999983</c:v>
                </c:pt>
                <c:pt idx="34">
                  <c:v>278.5795</c:v>
                </c:pt>
                <c:pt idx="35">
                  <c:v>249.93999999999991</c:v>
                </c:pt>
                <c:pt idx="36">
                  <c:v>221.99649999999991</c:v>
                </c:pt>
                <c:pt idx="37">
                  <c:v>194.0529999999998</c:v>
                </c:pt>
                <c:pt idx="38">
                  <c:v>166.10949999999991</c:v>
                </c:pt>
                <c:pt idx="39">
                  <c:v>137.93499999999989</c:v>
                </c:pt>
                <c:pt idx="40">
                  <c:v>109.5624999999998</c:v>
                </c:pt>
                <c:pt idx="41">
                  <c:v>81.189999999999856</c:v>
                </c:pt>
                <c:pt idx="42">
                  <c:v>52.817499999999747</c:v>
                </c:pt>
                <c:pt idx="43">
                  <c:v>22.379499999999702</c:v>
                </c:pt>
                <c:pt idx="44">
                  <c:v>-8.9765000000003283</c:v>
                </c:pt>
                <c:pt idx="45">
                  <c:v>-40.332500000000117</c:v>
                </c:pt>
                <c:pt idx="46">
                  <c:v>-71.688500000000147</c:v>
                </c:pt>
                <c:pt idx="47">
                  <c:v>-107.7552500000002</c:v>
                </c:pt>
                <c:pt idx="48">
                  <c:v>-144.67850000000001</c:v>
                </c:pt>
                <c:pt idx="49">
                  <c:v>-181.60175000000001</c:v>
                </c:pt>
                <c:pt idx="50">
                  <c:v>-218.52500000000009</c:v>
                </c:pt>
                <c:pt idx="51">
                  <c:v>-263.1572500000002</c:v>
                </c:pt>
                <c:pt idx="52">
                  <c:v>-307.78949999999998</c:v>
                </c:pt>
                <c:pt idx="53">
                  <c:v>-352.42175000000009</c:v>
                </c:pt>
                <c:pt idx="54">
                  <c:v>-398.52900000000022</c:v>
                </c:pt>
                <c:pt idx="55">
                  <c:v>-452.74875000000031</c:v>
                </c:pt>
                <c:pt idx="56">
                  <c:v>-506.96849999999989</c:v>
                </c:pt>
                <c:pt idx="57">
                  <c:v>-561.18825000000004</c:v>
                </c:pt>
                <c:pt idx="58">
                  <c:v>-618.78600000000017</c:v>
                </c:pt>
                <c:pt idx="59">
                  <c:v>-683.98424999999975</c:v>
                </c:pt>
                <c:pt idx="60">
                  <c:v>-749.18249999999989</c:v>
                </c:pt>
                <c:pt idx="61">
                  <c:v>-814.38075000000003</c:v>
                </c:pt>
                <c:pt idx="62">
                  <c:v>-884.30250000000024</c:v>
                </c:pt>
                <c:pt idx="63">
                  <c:v>-959.7349999999999</c:v>
                </c:pt>
                <c:pt idx="64">
                  <c:v>-1035.1675</c:v>
                </c:pt>
                <c:pt idx="65">
                  <c:v>-1110.5999999999999</c:v>
                </c:pt>
                <c:pt idx="66">
                  <c:v>-1188.757700000001</c:v>
                </c:pt>
                <c:pt idx="67">
                  <c:v>-1268.6186499999999</c:v>
                </c:pt>
                <c:pt idx="68">
                  <c:v>-1348.4795999999999</c:v>
                </c:pt>
                <c:pt idx="69">
                  <c:v>-1428.340550000001</c:v>
                </c:pt>
                <c:pt idx="70">
                  <c:v>-1501.5327500000001</c:v>
                </c:pt>
                <c:pt idx="71">
                  <c:v>-1572.724325000001</c:v>
                </c:pt>
                <c:pt idx="72">
                  <c:v>-1643.9159</c:v>
                </c:pt>
                <c:pt idx="73">
                  <c:v>-1715.107475</c:v>
                </c:pt>
                <c:pt idx="74">
                  <c:v>-1761.5088499999999</c:v>
                </c:pt>
                <c:pt idx="75">
                  <c:v>-1805.8443749999999</c:v>
                </c:pt>
                <c:pt idx="76">
                  <c:v>-1850.1799000000001</c:v>
                </c:pt>
                <c:pt idx="77">
                  <c:v>-1891.318225</c:v>
                </c:pt>
                <c:pt idx="78">
                  <c:v>-1894.09015</c:v>
                </c:pt>
                <c:pt idx="79">
                  <c:v>-1896.862075</c:v>
                </c:pt>
                <c:pt idx="80">
                  <c:v>-1899.634</c:v>
                </c:pt>
                <c:pt idx="81">
                  <c:v>-1892.3932749999999</c:v>
                </c:pt>
                <c:pt idx="82">
                  <c:v>-1851.7770499999999</c:v>
                </c:pt>
                <c:pt idx="83">
                  <c:v>-1811.160824999999</c:v>
                </c:pt>
                <c:pt idx="84">
                  <c:v>-1770.544599999999</c:v>
                </c:pt>
                <c:pt idx="85">
                  <c:v>-1717.8574999999989</c:v>
                </c:pt>
                <c:pt idx="86">
                  <c:v>-1645.8569999999991</c:v>
                </c:pt>
                <c:pt idx="87">
                  <c:v>-1573.856499999999</c:v>
                </c:pt>
                <c:pt idx="88">
                  <c:v>-1501.8559999999991</c:v>
                </c:pt>
                <c:pt idx="89">
                  <c:v>-1422.5089999999991</c:v>
                </c:pt>
                <c:pt idx="90">
                  <c:v>-1336.865</c:v>
                </c:pt>
                <c:pt idx="91">
                  <c:v>-1251.221</c:v>
                </c:pt>
                <c:pt idx="92">
                  <c:v>-1165.5770000000009</c:v>
                </c:pt>
                <c:pt idx="93">
                  <c:v>-1080.9005000000011</c:v>
                </c:pt>
                <c:pt idx="94">
                  <c:v>-996.65400000000022</c:v>
                </c:pt>
                <c:pt idx="95">
                  <c:v>-912.40750000000048</c:v>
                </c:pt>
                <c:pt idx="96">
                  <c:v>-828.16100000000074</c:v>
                </c:pt>
                <c:pt idx="97">
                  <c:v>-752.94274999999993</c:v>
                </c:pt>
                <c:pt idx="98">
                  <c:v>-679.36600000000033</c:v>
                </c:pt>
                <c:pt idx="99">
                  <c:v>-605.78924999999958</c:v>
                </c:pt>
                <c:pt idx="100">
                  <c:v>-532.21249999999998</c:v>
                </c:pt>
              </c:numCache>
            </c:numRef>
          </c:yVal>
          <c:smooth val="1"/>
          <c:extLst>
            <c:ext xmlns:c16="http://schemas.microsoft.com/office/drawing/2014/chart" uri="{C3380CC4-5D6E-409C-BE32-E72D297353CC}">
              <c16:uniqueId val="{00000004-D350-40B5-9441-8AAD3EC28801}"/>
            </c:ext>
          </c:extLst>
        </c:ser>
        <c:ser>
          <c:idx val="5"/>
          <c:order val="2"/>
          <c:tx>
            <c:v>Right 2</c:v>
          </c:tx>
          <c:spPr>
            <a:ln w="19050">
              <a:solidFill>
                <a:srgbClr val="00B050"/>
              </a:solidFill>
            </a:ln>
          </c:spPr>
          <c:marker>
            <c:symbol val="none"/>
          </c:marker>
          <c:xVal>
            <c:numRef>
              <c:f>'Right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2 Kin'!$AG$2:$AG$102</c:f>
              <c:numCache>
                <c:formatCode>General</c:formatCode>
                <c:ptCount val="101"/>
                <c:pt idx="0">
                  <c:v>619.60512499999993</c:v>
                </c:pt>
                <c:pt idx="1">
                  <c:v>646.50924124999995</c:v>
                </c:pt>
                <c:pt idx="2">
                  <c:v>673.41335749999996</c:v>
                </c:pt>
                <c:pt idx="3">
                  <c:v>700.31747374999986</c:v>
                </c:pt>
                <c:pt idx="4">
                  <c:v>725.50528999999995</c:v>
                </c:pt>
                <c:pt idx="5">
                  <c:v>746.61689374999992</c:v>
                </c:pt>
                <c:pt idx="6">
                  <c:v>767.72849749999989</c:v>
                </c:pt>
                <c:pt idx="7">
                  <c:v>788.84010124999998</c:v>
                </c:pt>
                <c:pt idx="8">
                  <c:v>805.81974500000001</c:v>
                </c:pt>
                <c:pt idx="9">
                  <c:v>819.95866624999996</c:v>
                </c:pt>
                <c:pt idx="10">
                  <c:v>834.09758750000003</c:v>
                </c:pt>
                <c:pt idx="11">
                  <c:v>848.23650874999998</c:v>
                </c:pt>
                <c:pt idx="12">
                  <c:v>855.37099999999998</c:v>
                </c:pt>
                <c:pt idx="13">
                  <c:v>861.62993749999998</c:v>
                </c:pt>
                <c:pt idx="14">
                  <c:v>867.88887499999998</c:v>
                </c:pt>
                <c:pt idx="15">
                  <c:v>872.57818750000001</c:v>
                </c:pt>
                <c:pt idx="16">
                  <c:v>870.36114999999995</c:v>
                </c:pt>
                <c:pt idx="17">
                  <c:v>868.14411249999989</c:v>
                </c:pt>
                <c:pt idx="18">
                  <c:v>865.92707499999995</c:v>
                </c:pt>
                <c:pt idx="19">
                  <c:v>859.52029999999991</c:v>
                </c:pt>
                <c:pt idx="20">
                  <c:v>848.60149999999999</c:v>
                </c:pt>
                <c:pt idx="21">
                  <c:v>837.68270000000007</c:v>
                </c:pt>
                <c:pt idx="22">
                  <c:v>826.76390000000015</c:v>
                </c:pt>
                <c:pt idx="23">
                  <c:v>809.26475000000016</c:v>
                </c:pt>
                <c:pt idx="24">
                  <c:v>789.88549999999998</c:v>
                </c:pt>
                <c:pt idx="25">
                  <c:v>770.5062499999998</c:v>
                </c:pt>
                <c:pt idx="26">
                  <c:v>750.55149999999981</c:v>
                </c:pt>
                <c:pt idx="27">
                  <c:v>723.40299999999968</c:v>
                </c:pt>
                <c:pt idx="28">
                  <c:v>696.25449999999967</c:v>
                </c:pt>
                <c:pt idx="29">
                  <c:v>669.10599999999965</c:v>
                </c:pt>
                <c:pt idx="30">
                  <c:v>639.45374999999979</c:v>
                </c:pt>
                <c:pt idx="31">
                  <c:v>605.54512499999987</c:v>
                </c:pt>
                <c:pt idx="32">
                  <c:v>571.63650000000007</c:v>
                </c:pt>
                <c:pt idx="33">
                  <c:v>537.72787500000004</c:v>
                </c:pt>
                <c:pt idx="34">
                  <c:v>500.07975000000027</c:v>
                </c:pt>
                <c:pt idx="35">
                  <c:v>460.56187500000021</c:v>
                </c:pt>
                <c:pt idx="36">
                  <c:v>421.0440000000001</c:v>
                </c:pt>
                <c:pt idx="37">
                  <c:v>381.52612499999998</c:v>
                </c:pt>
                <c:pt idx="38">
                  <c:v>337.63700000000011</c:v>
                </c:pt>
                <c:pt idx="39">
                  <c:v>293.57974999999988</c:v>
                </c:pt>
                <c:pt idx="40">
                  <c:v>249.5224999999997</c:v>
                </c:pt>
                <c:pt idx="41">
                  <c:v>204.5018749999999</c:v>
                </c:pt>
                <c:pt idx="42">
                  <c:v>156.72874999999991</c:v>
                </c:pt>
                <c:pt idx="43">
                  <c:v>108.955625</c:v>
                </c:pt>
                <c:pt idx="44">
                  <c:v>61.182499999999997</c:v>
                </c:pt>
                <c:pt idx="45">
                  <c:v>11.63750000000025</c:v>
                </c:pt>
                <c:pt idx="46">
                  <c:v>-39.324999999999939</c:v>
                </c:pt>
                <c:pt idx="47">
                  <c:v>-90.287500000000108</c:v>
                </c:pt>
                <c:pt idx="48">
                  <c:v>-141.24999999999989</c:v>
                </c:pt>
                <c:pt idx="49">
                  <c:v>-194.69075000000009</c:v>
                </c:pt>
                <c:pt idx="50">
                  <c:v>-248.5625000000002</c:v>
                </c:pt>
                <c:pt idx="51">
                  <c:v>-302.43425000000042</c:v>
                </c:pt>
                <c:pt idx="52">
                  <c:v>-356.71050000000008</c:v>
                </c:pt>
                <c:pt idx="53">
                  <c:v>-413.31262500000008</c:v>
                </c:pt>
                <c:pt idx="54">
                  <c:v>-469.91475000000008</c:v>
                </c:pt>
                <c:pt idx="55">
                  <c:v>-526.51687500000003</c:v>
                </c:pt>
                <c:pt idx="56">
                  <c:v>-584.1479999999998</c:v>
                </c:pt>
                <c:pt idx="57">
                  <c:v>-643.06537500000013</c:v>
                </c:pt>
                <c:pt idx="58">
                  <c:v>-701.98275000000035</c:v>
                </c:pt>
                <c:pt idx="59">
                  <c:v>-760.90012500000023</c:v>
                </c:pt>
                <c:pt idx="60">
                  <c:v>-820.69000000000028</c:v>
                </c:pt>
                <c:pt idx="61">
                  <c:v>-880.78525000000036</c:v>
                </c:pt>
                <c:pt idx="62">
                  <c:v>-940.88050000000044</c:v>
                </c:pt>
                <c:pt idx="63">
                  <c:v>-1000.9293</c:v>
                </c:pt>
                <c:pt idx="64">
                  <c:v>-1059.7704000000001</c:v>
                </c:pt>
                <c:pt idx="65">
                  <c:v>-1118.6115</c:v>
                </c:pt>
                <c:pt idx="66">
                  <c:v>-1177.4526000000001</c:v>
                </c:pt>
                <c:pt idx="67">
                  <c:v>-1234.480875</c:v>
                </c:pt>
                <c:pt idx="68">
                  <c:v>-1287.8834999999999</c:v>
                </c:pt>
                <c:pt idx="69">
                  <c:v>-1341.2861250000001</c:v>
                </c:pt>
                <c:pt idx="70">
                  <c:v>-1394.68875</c:v>
                </c:pt>
                <c:pt idx="71">
                  <c:v>-1441.0206499999999</c:v>
                </c:pt>
                <c:pt idx="72">
                  <c:v>-1483.1932999999999</c:v>
                </c:pt>
                <c:pt idx="73">
                  <c:v>-1525.3659500000001</c:v>
                </c:pt>
                <c:pt idx="74">
                  <c:v>-1567.538600000001</c:v>
                </c:pt>
                <c:pt idx="75">
                  <c:v>-1593.5690625</c:v>
                </c:pt>
                <c:pt idx="76">
                  <c:v>-1618.3081500000001</c:v>
                </c:pt>
                <c:pt idx="77">
                  <c:v>-1643.0472374999999</c:v>
                </c:pt>
                <c:pt idx="78">
                  <c:v>-1662.9101250000001</c:v>
                </c:pt>
                <c:pt idx="79">
                  <c:v>-1665.7063125</c:v>
                </c:pt>
                <c:pt idx="80">
                  <c:v>-1668.5025000000001</c:v>
                </c:pt>
                <c:pt idx="81">
                  <c:v>-1671.2986874999999</c:v>
                </c:pt>
                <c:pt idx="82">
                  <c:v>-1662.2445749999999</c:v>
                </c:pt>
                <c:pt idx="83">
                  <c:v>-1642.1866124999999</c:v>
                </c:pt>
                <c:pt idx="84">
                  <c:v>-1622.1286500000001</c:v>
                </c:pt>
                <c:pt idx="85">
                  <c:v>-1602.0706875000001</c:v>
                </c:pt>
                <c:pt idx="86">
                  <c:v>-1565.9571249999999</c:v>
                </c:pt>
                <c:pt idx="87">
                  <c:v>-1526.1945625000001</c:v>
                </c:pt>
                <c:pt idx="88">
                  <c:v>-1486.432</c:v>
                </c:pt>
                <c:pt idx="89">
                  <c:v>-1445.13175</c:v>
                </c:pt>
                <c:pt idx="90">
                  <c:v>-1391.53</c:v>
                </c:pt>
                <c:pt idx="91">
                  <c:v>-1337.928249999999</c:v>
                </c:pt>
                <c:pt idx="92">
                  <c:v>-1284.326499999999</c:v>
                </c:pt>
                <c:pt idx="93">
                  <c:v>-1227.7506249999999</c:v>
                </c:pt>
                <c:pt idx="94">
                  <c:v>-1166.848749999999</c:v>
                </c:pt>
                <c:pt idx="95">
                  <c:v>-1105.9468750000001</c:v>
                </c:pt>
                <c:pt idx="96">
                  <c:v>-1045.0450000000001</c:v>
                </c:pt>
                <c:pt idx="97">
                  <c:v>-983.0007499999997</c:v>
                </c:pt>
                <c:pt idx="98">
                  <c:v>-920.47550000000035</c:v>
                </c:pt>
                <c:pt idx="99">
                  <c:v>-857.9502500000001</c:v>
                </c:pt>
                <c:pt idx="100">
                  <c:v>-795.42500000000075</c:v>
                </c:pt>
              </c:numCache>
            </c:numRef>
          </c:yVal>
          <c:smooth val="1"/>
          <c:extLst>
            <c:ext xmlns:c16="http://schemas.microsoft.com/office/drawing/2014/chart" uri="{C3380CC4-5D6E-409C-BE32-E72D297353CC}">
              <c16:uniqueId val="{00000003-D350-40B5-9441-8AAD3EC28801}"/>
            </c:ext>
          </c:extLst>
        </c:ser>
        <c:ser>
          <c:idx val="4"/>
          <c:order val="3"/>
          <c:tx>
            <c:v>Right 1</c:v>
          </c:tx>
          <c:spPr>
            <a:ln w="19050">
              <a:solidFill>
                <a:srgbClr val="00B050"/>
              </a:solidFill>
            </a:ln>
          </c:spPr>
          <c:marker>
            <c:symbol val="none"/>
          </c:marker>
          <c:xVal>
            <c:numRef>
              <c:f>'Right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1 Kin'!$AG$2:$AG$102</c:f>
              <c:numCache>
                <c:formatCode>General</c:formatCode>
                <c:ptCount val="101"/>
                <c:pt idx="0">
                  <c:v>642.4425</c:v>
                </c:pt>
                <c:pt idx="1">
                  <c:v>670.98393750000002</c:v>
                </c:pt>
                <c:pt idx="2">
                  <c:v>699.52537500000005</c:v>
                </c:pt>
                <c:pt idx="3">
                  <c:v>728.06681249999997</c:v>
                </c:pt>
                <c:pt idx="4">
                  <c:v>751.28505000000007</c:v>
                </c:pt>
                <c:pt idx="5">
                  <c:v>770.17818750000004</c:v>
                </c:pt>
                <c:pt idx="6">
                  <c:v>789.071325</c:v>
                </c:pt>
                <c:pt idx="7">
                  <c:v>806.86080000000004</c:v>
                </c:pt>
                <c:pt idx="8">
                  <c:v>815.08519999999999</c:v>
                </c:pt>
                <c:pt idx="9">
                  <c:v>823.30960000000005</c:v>
                </c:pt>
                <c:pt idx="10">
                  <c:v>831.53399999999999</c:v>
                </c:pt>
                <c:pt idx="11">
                  <c:v>832.76544999999999</c:v>
                </c:pt>
                <c:pt idx="12">
                  <c:v>830.31639999999993</c:v>
                </c:pt>
                <c:pt idx="13">
                  <c:v>827.86734999999999</c:v>
                </c:pt>
                <c:pt idx="14">
                  <c:v>823.38549999999998</c:v>
                </c:pt>
                <c:pt idx="15">
                  <c:v>811.11124999999993</c:v>
                </c:pt>
                <c:pt idx="16">
                  <c:v>798.83699999999988</c:v>
                </c:pt>
                <c:pt idx="17">
                  <c:v>786.56274999999982</c:v>
                </c:pt>
                <c:pt idx="18">
                  <c:v>768.00199999999984</c:v>
                </c:pt>
                <c:pt idx="19">
                  <c:v>747.44099999999992</c:v>
                </c:pt>
                <c:pt idx="20">
                  <c:v>726.88</c:v>
                </c:pt>
                <c:pt idx="21">
                  <c:v>704.37275000000011</c:v>
                </c:pt>
                <c:pt idx="22">
                  <c:v>677.54050000000007</c:v>
                </c:pt>
                <c:pt idx="23">
                  <c:v>650.70825000000013</c:v>
                </c:pt>
                <c:pt idx="24">
                  <c:v>623.8760000000002</c:v>
                </c:pt>
                <c:pt idx="25">
                  <c:v>593.51875000000007</c:v>
                </c:pt>
                <c:pt idx="26">
                  <c:v>562.59750000000008</c:v>
                </c:pt>
                <c:pt idx="27">
                  <c:v>531.67624999999998</c:v>
                </c:pt>
                <c:pt idx="28">
                  <c:v>499.88499999999999</c:v>
                </c:pt>
                <c:pt idx="29">
                  <c:v>466.86124999999993</c:v>
                </c:pt>
                <c:pt idx="30">
                  <c:v>433.83749999999992</c:v>
                </c:pt>
                <c:pt idx="31">
                  <c:v>400.8137499999998</c:v>
                </c:pt>
                <c:pt idx="32">
                  <c:v>367.19149999999979</c:v>
                </c:pt>
                <c:pt idx="33">
                  <c:v>333.54787499999969</c:v>
                </c:pt>
                <c:pt idx="34">
                  <c:v>299.90424999999988</c:v>
                </c:pt>
                <c:pt idx="35">
                  <c:v>266.33187499999991</c:v>
                </c:pt>
                <c:pt idx="36">
                  <c:v>232.82599999999999</c:v>
                </c:pt>
                <c:pt idx="37">
                  <c:v>199.32012499999999</c:v>
                </c:pt>
                <c:pt idx="38">
                  <c:v>165.82325000000029</c:v>
                </c:pt>
                <c:pt idx="39">
                  <c:v>132.44787500000029</c:v>
                </c:pt>
                <c:pt idx="40">
                  <c:v>99.072500000000204</c:v>
                </c:pt>
                <c:pt idx="41">
                  <c:v>65.697125000000383</c:v>
                </c:pt>
                <c:pt idx="42">
                  <c:v>31.96400000000029</c:v>
                </c:pt>
                <c:pt idx="43">
                  <c:v>-1.9877499999998349</c:v>
                </c:pt>
                <c:pt idx="44">
                  <c:v>-35.939499999999967</c:v>
                </c:pt>
                <c:pt idx="45">
                  <c:v>-70.197499999999849</c:v>
                </c:pt>
                <c:pt idx="46">
                  <c:v>-105.9255</c:v>
                </c:pt>
                <c:pt idx="47">
                  <c:v>-141.65350000000021</c:v>
                </c:pt>
                <c:pt idx="48">
                  <c:v>-177.3815000000001</c:v>
                </c:pt>
                <c:pt idx="49">
                  <c:v>-215.42212500000019</c:v>
                </c:pt>
                <c:pt idx="50">
                  <c:v>-254.3437500000002</c:v>
                </c:pt>
                <c:pt idx="51">
                  <c:v>-293.26537500000018</c:v>
                </c:pt>
                <c:pt idx="52">
                  <c:v>-333.44299999999998</c:v>
                </c:pt>
                <c:pt idx="53">
                  <c:v>-376.9176250000001</c:v>
                </c:pt>
                <c:pt idx="54">
                  <c:v>-420.39225000000022</c:v>
                </c:pt>
                <c:pt idx="55">
                  <c:v>-463.86687500000028</c:v>
                </c:pt>
                <c:pt idx="56">
                  <c:v>-511.96449999999999</c:v>
                </c:pt>
                <c:pt idx="57">
                  <c:v>-561.02525000000014</c:v>
                </c:pt>
                <c:pt idx="58">
                  <c:v>-610.08600000000024</c:v>
                </c:pt>
                <c:pt idx="59">
                  <c:v>-661.40174999999988</c:v>
                </c:pt>
                <c:pt idx="60">
                  <c:v>-716.4074999999998</c:v>
                </c:pt>
                <c:pt idx="61">
                  <c:v>-771.41324999999983</c:v>
                </c:pt>
                <c:pt idx="62">
                  <c:v>-826.41899999999976</c:v>
                </c:pt>
                <c:pt idx="63">
                  <c:v>-886.17337499999962</c:v>
                </c:pt>
                <c:pt idx="64">
                  <c:v>-946.27949999999987</c:v>
                </c:pt>
                <c:pt idx="65">
                  <c:v>-1006.385625</c:v>
                </c:pt>
                <c:pt idx="66">
                  <c:v>-1067.607025</c:v>
                </c:pt>
                <c:pt idx="67">
                  <c:v>-1130.0233625000001</c:v>
                </c:pt>
                <c:pt idx="68">
                  <c:v>-1192.439699999999</c:v>
                </c:pt>
                <c:pt idx="69">
                  <c:v>-1254.74452875</c:v>
                </c:pt>
                <c:pt idx="70">
                  <c:v>-1313.9271125</c:v>
                </c:pt>
                <c:pt idx="71">
                  <c:v>-1373.1096962500001</c:v>
                </c:pt>
                <c:pt idx="72">
                  <c:v>-1432.2922799999999</c:v>
                </c:pt>
                <c:pt idx="73">
                  <c:v>-1484.67239875</c:v>
                </c:pt>
                <c:pt idx="74">
                  <c:v>-1532.2507774999999</c:v>
                </c:pt>
                <c:pt idx="75">
                  <c:v>-1579.8291562500001</c:v>
                </c:pt>
                <c:pt idx="76">
                  <c:v>-1624.4859349999999</c:v>
                </c:pt>
                <c:pt idx="77">
                  <c:v>-1650.88271375</c:v>
                </c:pt>
                <c:pt idx="78">
                  <c:v>-1677.2794925000001</c:v>
                </c:pt>
                <c:pt idx="79">
                  <c:v>-1703.676271249999</c:v>
                </c:pt>
                <c:pt idx="80">
                  <c:v>-1710.35995</c:v>
                </c:pt>
                <c:pt idx="81">
                  <c:v>-1708.1727337499999</c:v>
                </c:pt>
                <c:pt idx="82">
                  <c:v>-1705.9855175</c:v>
                </c:pt>
                <c:pt idx="83">
                  <c:v>-1696.4686624999999</c:v>
                </c:pt>
                <c:pt idx="84">
                  <c:v>-1663.9158</c:v>
                </c:pt>
                <c:pt idx="85">
                  <c:v>-1631.3629375</c:v>
                </c:pt>
                <c:pt idx="86">
                  <c:v>-1598.8100750000001</c:v>
                </c:pt>
                <c:pt idx="87">
                  <c:v>-1545.9456250000001</c:v>
                </c:pt>
                <c:pt idx="88">
                  <c:v>-1487.7825</c:v>
                </c:pt>
                <c:pt idx="89">
                  <c:v>-1429.619375</c:v>
                </c:pt>
                <c:pt idx="90">
                  <c:v>-1365.75</c:v>
                </c:pt>
                <c:pt idx="91">
                  <c:v>-1291.0387499999999</c:v>
                </c:pt>
                <c:pt idx="92">
                  <c:v>-1216.3275000000001</c:v>
                </c:pt>
                <c:pt idx="93">
                  <c:v>-1141.61625</c:v>
                </c:pt>
                <c:pt idx="94">
                  <c:v>-1060.999749999999</c:v>
                </c:pt>
                <c:pt idx="95">
                  <c:v>-979.70187499999963</c:v>
                </c:pt>
                <c:pt idx="96">
                  <c:v>-898.40400000000011</c:v>
                </c:pt>
                <c:pt idx="97">
                  <c:v>-817.98362499999951</c:v>
                </c:pt>
                <c:pt idx="98">
                  <c:v>-738.64325000000019</c:v>
                </c:pt>
                <c:pt idx="99">
                  <c:v>-659.30287499999986</c:v>
                </c:pt>
                <c:pt idx="100">
                  <c:v>-579.96250000000055</c:v>
                </c:pt>
              </c:numCache>
            </c:numRef>
          </c:yVal>
          <c:smooth val="1"/>
          <c:extLst>
            <c:ext xmlns:c16="http://schemas.microsoft.com/office/drawing/2014/chart" uri="{C3380CC4-5D6E-409C-BE32-E72D297353CC}">
              <c16:uniqueId val="{00000002-D350-40B5-9441-8AAD3EC28801}"/>
            </c:ext>
          </c:extLst>
        </c:ser>
        <c:ser>
          <c:idx val="3"/>
          <c:order val="4"/>
          <c:tx>
            <c:v>Left 3</c:v>
          </c:tx>
          <c:spPr>
            <a:ln w="19050">
              <a:solidFill>
                <a:srgbClr val="FF0000"/>
              </a:solidFill>
            </a:ln>
          </c:spPr>
          <c:marker>
            <c:symbol val="none"/>
          </c:marker>
          <c:xVal>
            <c:numRef>
              <c:f>'Left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3 Kin'!$AG$2:$AG$102</c:f>
              <c:numCache>
                <c:formatCode>General</c:formatCode>
                <c:ptCount val="101"/>
                <c:pt idx="0">
                  <c:v>792.76499999999987</c:v>
                </c:pt>
                <c:pt idx="1">
                  <c:v>849.15802499999984</c:v>
                </c:pt>
                <c:pt idx="2">
                  <c:v>905.55104999999992</c:v>
                </c:pt>
                <c:pt idx="3">
                  <c:v>961.94407499999988</c:v>
                </c:pt>
                <c:pt idx="4">
                  <c:v>1014.69705</c:v>
                </c:pt>
                <c:pt idx="5">
                  <c:v>1047.42975</c:v>
                </c:pt>
                <c:pt idx="6">
                  <c:v>1080.16245</c:v>
                </c:pt>
                <c:pt idx="7">
                  <c:v>1112.8951500000001</c:v>
                </c:pt>
                <c:pt idx="8">
                  <c:v>1137.6922500000001</c:v>
                </c:pt>
                <c:pt idx="9">
                  <c:v>1144.6342500000001</c:v>
                </c:pt>
                <c:pt idx="10">
                  <c:v>1151.5762500000001</c:v>
                </c:pt>
                <c:pt idx="11">
                  <c:v>1158.5182500000001</c:v>
                </c:pt>
                <c:pt idx="12">
                  <c:v>1155.0499500000001</c:v>
                </c:pt>
                <c:pt idx="13">
                  <c:v>1139.4363000000001</c:v>
                </c:pt>
                <c:pt idx="14">
                  <c:v>1123.8226500000001</c:v>
                </c:pt>
                <c:pt idx="15">
                  <c:v>1108.2090000000001</c:v>
                </c:pt>
                <c:pt idx="16">
                  <c:v>1082.4191499999999</c:v>
                </c:pt>
                <c:pt idx="17">
                  <c:v>1050.2691749999999</c:v>
                </c:pt>
                <c:pt idx="18">
                  <c:v>1018.1192</c:v>
                </c:pt>
                <c:pt idx="19">
                  <c:v>985.96922499999994</c:v>
                </c:pt>
                <c:pt idx="20">
                  <c:v>946.43499999999983</c:v>
                </c:pt>
                <c:pt idx="21">
                  <c:v>904.68549999999993</c:v>
                </c:pt>
                <c:pt idx="22">
                  <c:v>862.93599999999992</c:v>
                </c:pt>
                <c:pt idx="23">
                  <c:v>821.18649999999991</c:v>
                </c:pt>
                <c:pt idx="24">
                  <c:v>776.56299999999999</c:v>
                </c:pt>
                <c:pt idx="25">
                  <c:v>731.69999999999993</c:v>
                </c:pt>
                <c:pt idx="26">
                  <c:v>686.83699999999999</c:v>
                </c:pt>
                <c:pt idx="27">
                  <c:v>642.12099999999987</c:v>
                </c:pt>
                <c:pt idx="28">
                  <c:v>599.1690000000001</c:v>
                </c:pt>
                <c:pt idx="29">
                  <c:v>556.2170000000001</c:v>
                </c:pt>
                <c:pt idx="30">
                  <c:v>513.26500000000021</c:v>
                </c:pt>
                <c:pt idx="31">
                  <c:v>471.48300000000017</c:v>
                </c:pt>
                <c:pt idx="32">
                  <c:v>433.60100000000023</c:v>
                </c:pt>
                <c:pt idx="33">
                  <c:v>395.71900000000011</c:v>
                </c:pt>
                <c:pt idx="34">
                  <c:v>357.83700000000027</c:v>
                </c:pt>
                <c:pt idx="35">
                  <c:v>322.3850000000001</c:v>
                </c:pt>
                <c:pt idx="36">
                  <c:v>290.82099999999991</c:v>
                </c:pt>
                <c:pt idx="37">
                  <c:v>259.25699999999972</c:v>
                </c:pt>
                <c:pt idx="38">
                  <c:v>227.69299999999981</c:v>
                </c:pt>
                <c:pt idx="39">
                  <c:v>199.18624999999969</c:v>
                </c:pt>
                <c:pt idx="40">
                  <c:v>173.2999999999997</c:v>
                </c:pt>
                <c:pt idx="41">
                  <c:v>147.41374999999991</c:v>
                </c:pt>
                <c:pt idx="42">
                  <c:v>121.5274999999999</c:v>
                </c:pt>
                <c:pt idx="43">
                  <c:v>97.758499999999898</c:v>
                </c:pt>
                <c:pt idx="44">
                  <c:v>74.930499999999867</c:v>
                </c:pt>
                <c:pt idx="45">
                  <c:v>52.102499999999999</c:v>
                </c:pt>
                <c:pt idx="46">
                  <c:v>29.274499999999961</c:v>
                </c:pt>
                <c:pt idx="47">
                  <c:v>5.016499999999894</c:v>
                </c:pt>
                <c:pt idx="48">
                  <c:v>-19.5015</c:v>
                </c:pt>
                <c:pt idx="49">
                  <c:v>-44.019500000000072</c:v>
                </c:pt>
                <c:pt idx="50">
                  <c:v>-68.537500000000136</c:v>
                </c:pt>
                <c:pt idx="51">
                  <c:v>-101.6550000000002</c:v>
                </c:pt>
                <c:pt idx="52">
                  <c:v>-134.77250000000001</c:v>
                </c:pt>
                <c:pt idx="53">
                  <c:v>-167.89</c:v>
                </c:pt>
                <c:pt idx="54">
                  <c:v>-203.65350000000001</c:v>
                </c:pt>
                <c:pt idx="55">
                  <c:v>-253.9700000000002</c:v>
                </c:pt>
                <c:pt idx="56">
                  <c:v>-304.28649999999999</c:v>
                </c:pt>
                <c:pt idx="57">
                  <c:v>-354.60300000000018</c:v>
                </c:pt>
                <c:pt idx="58">
                  <c:v>-412.90550000000042</c:v>
                </c:pt>
                <c:pt idx="59">
                  <c:v>-489.17649999999998</c:v>
                </c:pt>
                <c:pt idx="60">
                  <c:v>-565.4475000000001</c:v>
                </c:pt>
                <c:pt idx="61">
                  <c:v>-641.71850000000018</c:v>
                </c:pt>
                <c:pt idx="62">
                  <c:v>-732.4450000000005</c:v>
                </c:pt>
                <c:pt idx="63">
                  <c:v>-840.03624999999988</c:v>
                </c:pt>
                <c:pt idx="64">
                  <c:v>-947.62750000000005</c:v>
                </c:pt>
                <c:pt idx="65">
                  <c:v>-1055.21875</c:v>
                </c:pt>
                <c:pt idx="66">
                  <c:v>-1178.9120000000009</c:v>
                </c:pt>
                <c:pt idx="67">
                  <c:v>-1312.6690000000001</c:v>
                </c:pt>
                <c:pt idx="68">
                  <c:v>-1446.4259999999999</c:v>
                </c:pt>
                <c:pt idx="69">
                  <c:v>-1580.1830000000009</c:v>
                </c:pt>
                <c:pt idx="70">
                  <c:v>-1714.5482500000001</c:v>
                </c:pt>
                <c:pt idx="71">
                  <c:v>-1849.095975000002</c:v>
                </c:pt>
                <c:pt idx="72">
                  <c:v>-1983.643700000001</c:v>
                </c:pt>
                <c:pt idx="73">
                  <c:v>-2118.191425</c:v>
                </c:pt>
                <c:pt idx="74">
                  <c:v>-2211.2863500000012</c:v>
                </c:pt>
                <c:pt idx="75">
                  <c:v>-2300.926875000001</c:v>
                </c:pt>
                <c:pt idx="76">
                  <c:v>-2390.5673999999999</c:v>
                </c:pt>
                <c:pt idx="77">
                  <c:v>-2473.6929249999998</c:v>
                </c:pt>
                <c:pt idx="78">
                  <c:v>-2478.6384499999999</c:v>
                </c:pt>
                <c:pt idx="79">
                  <c:v>-2483.583975</c:v>
                </c:pt>
                <c:pt idx="80">
                  <c:v>-2488.5295000000001</c:v>
                </c:pt>
                <c:pt idx="81">
                  <c:v>-2473.9754750000002</c:v>
                </c:pt>
                <c:pt idx="82">
                  <c:v>-2394.4229500000001</c:v>
                </c:pt>
                <c:pt idx="83">
                  <c:v>-2314.8704249999992</c:v>
                </c:pt>
                <c:pt idx="84">
                  <c:v>-2235.3178999999991</c:v>
                </c:pt>
                <c:pt idx="85">
                  <c:v>-2137.6812499999978</c:v>
                </c:pt>
                <c:pt idx="86">
                  <c:v>-2011.109999999999</c:v>
                </c:pt>
                <c:pt idx="87">
                  <c:v>-1884.538749999999</c:v>
                </c:pt>
                <c:pt idx="88">
                  <c:v>-1757.9674999999979</c:v>
                </c:pt>
                <c:pt idx="89">
                  <c:v>-1628.1552499999989</c:v>
                </c:pt>
                <c:pt idx="90">
                  <c:v>-1495.5650000000001</c:v>
                </c:pt>
                <c:pt idx="91">
                  <c:v>-1362.9747499999989</c:v>
                </c:pt>
                <c:pt idx="92">
                  <c:v>-1230.384500000001</c:v>
                </c:pt>
                <c:pt idx="93">
                  <c:v>-1109.993750000001</c:v>
                </c:pt>
                <c:pt idx="94">
                  <c:v>-995.02499999999986</c:v>
                </c:pt>
                <c:pt idx="95">
                  <c:v>-880.05625000000043</c:v>
                </c:pt>
                <c:pt idx="96">
                  <c:v>-765.08750000000089</c:v>
                </c:pt>
                <c:pt idx="97">
                  <c:v>-672.15724999999975</c:v>
                </c:pt>
                <c:pt idx="98">
                  <c:v>-583.23400000000015</c:v>
                </c:pt>
                <c:pt idx="99">
                  <c:v>-494.3107499999993</c:v>
                </c:pt>
                <c:pt idx="100">
                  <c:v>-405.38749999999982</c:v>
                </c:pt>
              </c:numCache>
            </c:numRef>
          </c:yVal>
          <c:smooth val="1"/>
          <c:extLst>
            <c:ext xmlns:c16="http://schemas.microsoft.com/office/drawing/2014/chart" uri="{C3380CC4-5D6E-409C-BE32-E72D297353CC}">
              <c16:uniqueId val="{00000001-D350-40B5-9441-8AAD3EC28801}"/>
            </c:ext>
          </c:extLst>
        </c:ser>
        <c:ser>
          <c:idx val="2"/>
          <c:order val="5"/>
          <c:tx>
            <c:v>Left 2</c:v>
          </c:tx>
          <c:spPr>
            <a:ln w="19050">
              <a:solidFill>
                <a:srgbClr val="FF0000"/>
              </a:solidFill>
            </a:ln>
          </c:spPr>
          <c:marker>
            <c:symbol val="none"/>
          </c:marker>
          <c:xVal>
            <c:numRef>
              <c:f>'Left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2 Kin'!$AG$2:$AG$102</c:f>
              <c:numCache>
                <c:formatCode>General</c:formatCode>
                <c:ptCount val="101"/>
                <c:pt idx="0">
                  <c:v>761.33749999999998</c:v>
                </c:pt>
                <c:pt idx="1">
                  <c:v>778.12468999999999</c:v>
                </c:pt>
                <c:pt idx="2">
                  <c:v>794.91187999999988</c:v>
                </c:pt>
                <c:pt idx="3">
                  <c:v>811.69906999999989</c:v>
                </c:pt>
                <c:pt idx="4">
                  <c:v>828.4862599999999</c:v>
                </c:pt>
                <c:pt idx="5">
                  <c:v>839.02104999999995</c:v>
                </c:pt>
                <c:pt idx="6">
                  <c:v>848.30535999999984</c:v>
                </c:pt>
                <c:pt idx="7">
                  <c:v>857.58966999999984</c:v>
                </c:pt>
                <c:pt idx="8">
                  <c:v>866.87397999999985</c:v>
                </c:pt>
                <c:pt idx="9">
                  <c:v>870.78114999999991</c:v>
                </c:pt>
                <c:pt idx="10">
                  <c:v>871.99974999999995</c:v>
                </c:pt>
                <c:pt idx="11">
                  <c:v>873.21834999999999</c:v>
                </c:pt>
                <c:pt idx="12">
                  <c:v>874.43695000000002</c:v>
                </c:pt>
                <c:pt idx="13">
                  <c:v>871.57569999999998</c:v>
                </c:pt>
                <c:pt idx="14">
                  <c:v>864.63460000000009</c:v>
                </c:pt>
                <c:pt idx="15">
                  <c:v>857.69350000000009</c:v>
                </c:pt>
                <c:pt idx="16">
                  <c:v>850.75240000000019</c:v>
                </c:pt>
                <c:pt idx="17">
                  <c:v>841.19100000000026</c:v>
                </c:pt>
                <c:pt idx="18">
                  <c:v>826.38900000000012</c:v>
                </c:pt>
                <c:pt idx="19">
                  <c:v>811.58699999999999</c:v>
                </c:pt>
                <c:pt idx="20">
                  <c:v>796.78499999999985</c:v>
                </c:pt>
                <c:pt idx="21">
                  <c:v>780.77899999999988</c:v>
                </c:pt>
                <c:pt idx="22">
                  <c:v>758.75299999999982</c:v>
                </c:pt>
                <c:pt idx="23">
                  <c:v>736.72699999999986</c:v>
                </c:pt>
                <c:pt idx="24">
                  <c:v>714.70100000000002</c:v>
                </c:pt>
                <c:pt idx="25">
                  <c:v>692.67499999999995</c:v>
                </c:pt>
                <c:pt idx="26">
                  <c:v>664.27700000000004</c:v>
                </c:pt>
                <c:pt idx="27">
                  <c:v>635.87899999999991</c:v>
                </c:pt>
                <c:pt idx="28">
                  <c:v>607.48099999999999</c:v>
                </c:pt>
                <c:pt idx="29">
                  <c:v>579.08299999999986</c:v>
                </c:pt>
                <c:pt idx="30">
                  <c:v>546.11249999999995</c:v>
                </c:pt>
                <c:pt idx="31">
                  <c:v>512.22749999999985</c:v>
                </c:pt>
                <c:pt idx="32">
                  <c:v>478.34249999999992</c:v>
                </c:pt>
                <c:pt idx="33">
                  <c:v>444.45749999999992</c:v>
                </c:pt>
                <c:pt idx="34">
                  <c:v>407.33450000000011</c:v>
                </c:pt>
                <c:pt idx="35">
                  <c:v>368.5925000000002</c:v>
                </c:pt>
                <c:pt idx="36">
                  <c:v>329.85050000000018</c:v>
                </c:pt>
                <c:pt idx="37">
                  <c:v>291.10850000000028</c:v>
                </c:pt>
                <c:pt idx="38">
                  <c:v>249.94850000000051</c:v>
                </c:pt>
                <c:pt idx="39">
                  <c:v>206.37050000000031</c:v>
                </c:pt>
                <c:pt idx="40">
                  <c:v>162.79249999999999</c:v>
                </c:pt>
                <c:pt idx="41">
                  <c:v>119.2145000000002</c:v>
                </c:pt>
                <c:pt idx="42">
                  <c:v>73.755499999999984</c:v>
                </c:pt>
                <c:pt idx="43">
                  <c:v>24.534499999999809</c:v>
                </c:pt>
                <c:pt idx="44">
                  <c:v>-24.686500000000361</c:v>
                </c:pt>
                <c:pt idx="45">
                  <c:v>-73.907500000000184</c:v>
                </c:pt>
                <c:pt idx="46">
                  <c:v>-124.3165000000003</c:v>
                </c:pt>
                <c:pt idx="47">
                  <c:v>-180.66550000000029</c:v>
                </c:pt>
                <c:pt idx="48">
                  <c:v>-237.01449999999991</c:v>
                </c:pt>
                <c:pt idx="49">
                  <c:v>-293.36349999999987</c:v>
                </c:pt>
                <c:pt idx="50">
                  <c:v>-349.71249999999992</c:v>
                </c:pt>
                <c:pt idx="51">
                  <c:v>-414.51249999999999</c:v>
                </c:pt>
                <c:pt idx="52">
                  <c:v>-479.31249999999972</c:v>
                </c:pt>
                <c:pt idx="53">
                  <c:v>-544.11249999999973</c:v>
                </c:pt>
                <c:pt idx="54">
                  <c:v>-608.91249999999991</c:v>
                </c:pt>
                <c:pt idx="55">
                  <c:v>-680.39750000000015</c:v>
                </c:pt>
                <c:pt idx="56">
                  <c:v>-753.21949999999981</c:v>
                </c:pt>
                <c:pt idx="57">
                  <c:v>-826.04150000000004</c:v>
                </c:pt>
                <c:pt idx="58">
                  <c:v>-898.86350000000027</c:v>
                </c:pt>
                <c:pt idx="59">
                  <c:v>-974.22149999999988</c:v>
                </c:pt>
                <c:pt idx="60">
                  <c:v>-1050.8475000000001</c:v>
                </c:pt>
                <c:pt idx="61">
                  <c:v>-1127.4735000000001</c:v>
                </c:pt>
                <c:pt idx="62">
                  <c:v>-1204.0995</c:v>
                </c:pt>
                <c:pt idx="63">
                  <c:v>-1277.9617499999999</c:v>
                </c:pt>
                <c:pt idx="64">
                  <c:v>-1349.06025</c:v>
                </c:pt>
                <c:pt idx="65">
                  <c:v>-1420.1587499999989</c:v>
                </c:pt>
                <c:pt idx="66">
                  <c:v>-1491.2572500000001</c:v>
                </c:pt>
                <c:pt idx="67">
                  <c:v>-1556.2317499999999</c:v>
                </c:pt>
                <c:pt idx="68">
                  <c:v>-1608.958249999999</c:v>
                </c:pt>
                <c:pt idx="69">
                  <c:v>-1661.6847499999999</c:v>
                </c:pt>
                <c:pt idx="70">
                  <c:v>-1714.4112500000001</c:v>
                </c:pt>
                <c:pt idx="71">
                  <c:v>-1762.2507499999999</c:v>
                </c:pt>
                <c:pt idx="72">
                  <c:v>-1785.65525</c:v>
                </c:pt>
                <c:pt idx="73">
                  <c:v>-1809.0597499999999</c:v>
                </c:pt>
                <c:pt idx="74">
                  <c:v>-1832.46425</c:v>
                </c:pt>
                <c:pt idx="75">
                  <c:v>-1855.8687500000001</c:v>
                </c:pt>
                <c:pt idx="76">
                  <c:v>-1846.96325</c:v>
                </c:pt>
                <c:pt idx="77">
                  <c:v>-1838.0577499999999</c:v>
                </c:pt>
                <c:pt idx="78">
                  <c:v>-1829.1522500000001</c:v>
                </c:pt>
                <c:pt idx="79">
                  <c:v>-1820.24675</c:v>
                </c:pt>
                <c:pt idx="80">
                  <c:v>-1789.6775</c:v>
                </c:pt>
                <c:pt idx="81">
                  <c:v>-1754.7755</c:v>
                </c:pt>
                <c:pt idx="82">
                  <c:v>-1719.8734999999999</c:v>
                </c:pt>
                <c:pt idx="83">
                  <c:v>-1684.9715000000001</c:v>
                </c:pt>
                <c:pt idx="84">
                  <c:v>-1640.1575</c:v>
                </c:pt>
                <c:pt idx="85">
                  <c:v>-1590.3875</c:v>
                </c:pt>
                <c:pt idx="86">
                  <c:v>-1540.6175000000001</c:v>
                </c:pt>
                <c:pt idx="87">
                  <c:v>-1490.8475000000001</c:v>
                </c:pt>
                <c:pt idx="88">
                  <c:v>-1438.7629999999999</c:v>
                </c:pt>
                <c:pt idx="89">
                  <c:v>-1384.364</c:v>
                </c:pt>
                <c:pt idx="90">
                  <c:v>-1329.9649999999999</c:v>
                </c:pt>
                <c:pt idx="91">
                  <c:v>-1275.566</c:v>
                </c:pt>
                <c:pt idx="92">
                  <c:v>-1221.7919999999999</c:v>
                </c:pt>
                <c:pt idx="93">
                  <c:v>-1169.268</c:v>
                </c:pt>
                <c:pt idx="94">
                  <c:v>-1116.7439999999999</c:v>
                </c:pt>
                <c:pt idx="95">
                  <c:v>-1064.22</c:v>
                </c:pt>
                <c:pt idx="96">
                  <c:v>-1012.506</c:v>
                </c:pt>
                <c:pt idx="97">
                  <c:v>-964.84199999999964</c:v>
                </c:pt>
                <c:pt idx="98">
                  <c:v>-917.17799999999988</c:v>
                </c:pt>
                <c:pt idx="99">
                  <c:v>-869.51399999999933</c:v>
                </c:pt>
                <c:pt idx="100">
                  <c:v>-821.84999999999945</c:v>
                </c:pt>
              </c:numCache>
            </c:numRef>
          </c:yVal>
          <c:smooth val="1"/>
          <c:extLst>
            <c:ext xmlns:c16="http://schemas.microsoft.com/office/drawing/2014/chart" uri="{C3380CC4-5D6E-409C-BE32-E72D297353CC}">
              <c16:uniqueId val="{00000000-D350-40B5-9441-8AAD3EC28801}"/>
            </c:ext>
          </c:extLst>
        </c:ser>
        <c:ser>
          <c:idx val="0"/>
          <c:order val="6"/>
          <c:tx>
            <c:v>Left 1</c:v>
          </c:tx>
          <c:spPr>
            <a:ln w="19050">
              <a:solidFill>
                <a:srgbClr val="FF0000"/>
              </a:solidFill>
            </a:ln>
          </c:spPr>
          <c:marker>
            <c:symbol val="none"/>
          </c:marker>
          <c:xVal>
            <c:numRef>
              <c:f>'Left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1 Kin'!$AG$2:$AG$102</c:f>
              <c:numCache>
                <c:formatCode>General</c:formatCode>
                <c:ptCount val="101"/>
                <c:pt idx="0">
                  <c:v>822.58875</c:v>
                </c:pt>
                <c:pt idx="1">
                  <c:v>865.99062500000002</c:v>
                </c:pt>
                <c:pt idx="2">
                  <c:v>909.39249999999993</c:v>
                </c:pt>
                <c:pt idx="3">
                  <c:v>952.79437499999995</c:v>
                </c:pt>
                <c:pt idx="4">
                  <c:v>996.19624999999996</c:v>
                </c:pt>
                <c:pt idx="5">
                  <c:v>1021.275625</c:v>
                </c:pt>
                <c:pt idx="6">
                  <c:v>1046.355</c:v>
                </c:pt>
                <c:pt idx="7">
                  <c:v>1071.434375</c:v>
                </c:pt>
                <c:pt idx="8">
                  <c:v>1096.5137500000001</c:v>
                </c:pt>
                <c:pt idx="9">
                  <c:v>1101.191875</c:v>
                </c:pt>
                <c:pt idx="10">
                  <c:v>1105.8699999999999</c:v>
                </c:pt>
                <c:pt idx="11">
                  <c:v>1110.548125</c:v>
                </c:pt>
                <c:pt idx="12">
                  <c:v>1115.2262499999999</c:v>
                </c:pt>
                <c:pt idx="13">
                  <c:v>1100.8984375</c:v>
                </c:pt>
                <c:pt idx="14">
                  <c:v>1086.5706250000001</c:v>
                </c:pt>
                <c:pt idx="15">
                  <c:v>1072.2428124999999</c:v>
                </c:pt>
                <c:pt idx="16">
                  <c:v>1057.915</c:v>
                </c:pt>
                <c:pt idx="17">
                  <c:v>1028.620625</c:v>
                </c:pt>
                <c:pt idx="18">
                  <c:v>999.32624999999985</c:v>
                </c:pt>
                <c:pt idx="19">
                  <c:v>970.0318749999999</c:v>
                </c:pt>
                <c:pt idx="20">
                  <c:v>940.73749999999973</c:v>
                </c:pt>
                <c:pt idx="21">
                  <c:v>901.94062499999984</c:v>
                </c:pt>
                <c:pt idx="22">
                  <c:v>863.14374999999984</c:v>
                </c:pt>
                <c:pt idx="23">
                  <c:v>824.34687500000007</c:v>
                </c:pt>
                <c:pt idx="24">
                  <c:v>785.55000000000018</c:v>
                </c:pt>
                <c:pt idx="25">
                  <c:v>742.85312500000009</c:v>
                </c:pt>
                <c:pt idx="26">
                  <c:v>700.15625000000023</c:v>
                </c:pt>
                <c:pt idx="27">
                  <c:v>657.45937500000014</c:v>
                </c:pt>
                <c:pt idx="28">
                  <c:v>614.76250000000027</c:v>
                </c:pt>
                <c:pt idx="29">
                  <c:v>572.86250000000018</c:v>
                </c:pt>
                <c:pt idx="30">
                  <c:v>530.9625000000002</c:v>
                </c:pt>
                <c:pt idx="31">
                  <c:v>489.06250000000011</c:v>
                </c:pt>
                <c:pt idx="32">
                  <c:v>447.16250000000008</c:v>
                </c:pt>
                <c:pt idx="33">
                  <c:v>409.22187500000001</c:v>
                </c:pt>
                <c:pt idx="34">
                  <c:v>371.28125000000011</c:v>
                </c:pt>
                <c:pt idx="35">
                  <c:v>333.34062499999999</c:v>
                </c:pt>
                <c:pt idx="36">
                  <c:v>295.39999999999992</c:v>
                </c:pt>
                <c:pt idx="37">
                  <c:v>262.87187499999982</c:v>
                </c:pt>
                <c:pt idx="38">
                  <c:v>230.34374999999989</c:v>
                </c:pt>
                <c:pt idx="39">
                  <c:v>197.8156249999999</c:v>
                </c:pt>
                <c:pt idx="40">
                  <c:v>165.2874999999998</c:v>
                </c:pt>
                <c:pt idx="41">
                  <c:v>137.98750000000001</c:v>
                </c:pt>
                <c:pt idx="42">
                  <c:v>110.6874999999999</c:v>
                </c:pt>
                <c:pt idx="43">
                  <c:v>83.387499999999875</c:v>
                </c:pt>
                <c:pt idx="44">
                  <c:v>56.087499999999842</c:v>
                </c:pt>
                <c:pt idx="45">
                  <c:v>32.09375</c:v>
                </c:pt>
                <c:pt idx="46">
                  <c:v>8.0999999999999943</c:v>
                </c:pt>
                <c:pt idx="47">
                  <c:v>-15.89375000000002</c:v>
                </c:pt>
                <c:pt idx="48">
                  <c:v>-39.887499999999847</c:v>
                </c:pt>
                <c:pt idx="49">
                  <c:v>-64.615624999999895</c:v>
                </c:pt>
                <c:pt idx="50">
                  <c:v>-89.343749999999929</c:v>
                </c:pt>
                <c:pt idx="51">
                  <c:v>-114.07187500000001</c:v>
                </c:pt>
                <c:pt idx="52">
                  <c:v>-138.79999999999981</c:v>
                </c:pt>
                <c:pt idx="53">
                  <c:v>-170.87499999999989</c:v>
                </c:pt>
                <c:pt idx="54">
                  <c:v>-202.9500000000001</c:v>
                </c:pt>
                <c:pt idx="55">
                  <c:v>-235.0250000000002</c:v>
                </c:pt>
                <c:pt idx="56">
                  <c:v>-267.10000000000008</c:v>
                </c:pt>
                <c:pt idx="57">
                  <c:v>-315.2125000000002</c:v>
                </c:pt>
                <c:pt idx="58">
                  <c:v>-363.32500000000027</c:v>
                </c:pt>
                <c:pt idx="59">
                  <c:v>-411.43750000000011</c:v>
                </c:pt>
                <c:pt idx="60">
                  <c:v>-459.55000000000013</c:v>
                </c:pt>
                <c:pt idx="61">
                  <c:v>-531.86562500000025</c:v>
                </c:pt>
                <c:pt idx="62">
                  <c:v>-604.18125000000032</c:v>
                </c:pt>
                <c:pt idx="63">
                  <c:v>-676.49687500000005</c:v>
                </c:pt>
                <c:pt idx="64">
                  <c:v>-748.81250000000011</c:v>
                </c:pt>
                <c:pt idx="65">
                  <c:v>-848.05624999999975</c:v>
                </c:pt>
                <c:pt idx="66">
                  <c:v>-947.30000000000075</c:v>
                </c:pt>
                <c:pt idx="67">
                  <c:v>-1046.54375</c:v>
                </c:pt>
                <c:pt idx="68">
                  <c:v>-1145.7874999999999</c:v>
                </c:pt>
                <c:pt idx="69">
                  <c:v>-1262.6996875000009</c:v>
                </c:pt>
                <c:pt idx="70">
                  <c:v>-1379.6118750000001</c:v>
                </c:pt>
                <c:pt idx="71">
                  <c:v>-1496.524062500001</c:v>
                </c:pt>
                <c:pt idx="72">
                  <c:v>-1613.43625</c:v>
                </c:pt>
                <c:pt idx="73">
                  <c:v>-1722.4331875</c:v>
                </c:pt>
                <c:pt idx="74">
                  <c:v>-1831.430125000001</c:v>
                </c:pt>
                <c:pt idx="75">
                  <c:v>-1940.4270624999999</c:v>
                </c:pt>
                <c:pt idx="76">
                  <c:v>-2049.424</c:v>
                </c:pt>
                <c:pt idx="77">
                  <c:v>-2115.358937500001</c:v>
                </c:pt>
                <c:pt idx="78">
                  <c:v>-2181.2938749999998</c:v>
                </c:pt>
                <c:pt idx="79">
                  <c:v>-2247.2288125</c:v>
                </c:pt>
                <c:pt idx="80">
                  <c:v>-2313.1637500000002</c:v>
                </c:pt>
                <c:pt idx="81">
                  <c:v>-2312.6230624999998</c:v>
                </c:pt>
                <c:pt idx="82">
                  <c:v>-2312.082375</c:v>
                </c:pt>
                <c:pt idx="83">
                  <c:v>-2311.5416875000001</c:v>
                </c:pt>
                <c:pt idx="84">
                  <c:v>-2311.0010000000002</c:v>
                </c:pt>
                <c:pt idx="85">
                  <c:v>-2249.372625</c:v>
                </c:pt>
                <c:pt idx="86">
                  <c:v>-2187.7442500000002</c:v>
                </c:pt>
                <c:pt idx="87">
                  <c:v>-2126.115875</c:v>
                </c:pt>
                <c:pt idx="88">
                  <c:v>-2064.4875000000002</c:v>
                </c:pt>
                <c:pt idx="89">
                  <c:v>-1968.2874999999999</c:v>
                </c:pt>
                <c:pt idx="90">
                  <c:v>-1872.087500000001</c:v>
                </c:pt>
                <c:pt idx="91">
                  <c:v>-1775.8875</c:v>
                </c:pt>
                <c:pt idx="92">
                  <c:v>-1679.6875</c:v>
                </c:pt>
                <c:pt idx="93">
                  <c:v>-1575.6468749999999</c:v>
                </c:pt>
                <c:pt idx="94">
                  <c:v>-1471.6062499999989</c:v>
                </c:pt>
                <c:pt idx="95">
                  <c:v>-1367.565625</c:v>
                </c:pt>
                <c:pt idx="96">
                  <c:v>-1263.5250000000001</c:v>
                </c:pt>
                <c:pt idx="97">
                  <c:v>-1167.640625</c:v>
                </c:pt>
                <c:pt idx="98">
                  <c:v>-1071.7562499999999</c:v>
                </c:pt>
                <c:pt idx="99">
                  <c:v>-975.87187499999959</c:v>
                </c:pt>
                <c:pt idx="100">
                  <c:v>-879.9875000000003</c:v>
                </c:pt>
              </c:numCache>
            </c:numRef>
          </c:yVal>
          <c:smooth val="1"/>
          <c:extLst>
            <c:ext xmlns:c16="http://schemas.microsoft.com/office/drawing/2014/chart" uri="{C3380CC4-5D6E-409C-BE32-E72D297353CC}">
              <c16:uniqueId val="{00000000-5A6D-4BE0-B99A-958CEB8AFEC8}"/>
            </c:ext>
          </c:extLst>
        </c:ser>
        <c:dLbls>
          <c:showLegendKey val="0"/>
          <c:showVal val="0"/>
          <c:showCatName val="0"/>
          <c:showSerName val="0"/>
          <c:showPercent val="0"/>
          <c:showBubbleSize val="0"/>
        </c:dLbls>
        <c:axId val="90982272"/>
        <c:axId val="90983808"/>
      </c:scatterChart>
      <c:valAx>
        <c:axId val="90982272"/>
        <c:scaling>
          <c:orientation val="minMax"/>
          <c:max val="100"/>
        </c:scaling>
        <c:delete val="0"/>
        <c:axPos val="b"/>
        <c:numFmt formatCode="General" sourceLinked="1"/>
        <c:majorTickMark val="out"/>
        <c:minorTickMark val="none"/>
        <c:tickLblPos val="nextTo"/>
        <c:txPr>
          <a:bodyPr/>
          <a:lstStyle/>
          <a:p>
            <a:pPr>
              <a:defRPr lang="en-US" sz="800"/>
            </a:pPr>
            <a:endParaRPr lang="en-US"/>
          </a:p>
        </c:txPr>
        <c:crossAx val="90983808"/>
        <c:crosses val="autoZero"/>
        <c:crossBetween val="midCat"/>
        <c:majorUnit val="20"/>
      </c:valAx>
      <c:valAx>
        <c:axId val="90983808"/>
        <c:scaling>
          <c:orientation val="minMax"/>
        </c:scaling>
        <c:delete val="0"/>
        <c:axPos val="l"/>
        <c:title>
          <c:tx>
            <c:rich>
              <a:bodyPr rot="-5400000" vert="horz"/>
              <a:lstStyle/>
              <a:p>
                <a:pPr>
                  <a:defRPr lang="en-AU" sz="900"/>
                </a:pPr>
                <a:r>
                  <a:rPr lang="en-US" sz="900"/>
                  <a:t>Velocity (deg/s)</a:t>
                </a:r>
              </a:p>
            </c:rich>
          </c:tx>
          <c:layout>
            <c:manualLayout>
              <c:xMode val="edge"/>
              <c:yMode val="edge"/>
              <c:x val="6.1702551325188921E-3"/>
              <c:y val="0.32694305948250502"/>
            </c:manualLayout>
          </c:layout>
          <c:overlay val="0"/>
        </c:title>
        <c:numFmt formatCode="0" sourceLinked="0"/>
        <c:majorTickMark val="out"/>
        <c:minorTickMark val="none"/>
        <c:tickLblPos val="nextTo"/>
        <c:txPr>
          <a:bodyPr/>
          <a:lstStyle/>
          <a:p>
            <a:pPr>
              <a:defRPr lang="en-US" sz="800"/>
            </a:pPr>
            <a:endParaRPr lang="en-US"/>
          </a:p>
        </c:txPr>
        <c:crossAx val="90982272"/>
        <c:crosses val="autoZero"/>
        <c:crossBetween val="midCat"/>
      </c:valAx>
    </c:plotArea>
    <c:plotVisOnly val="1"/>
    <c:dispBlanksAs val="gap"/>
    <c:showDLblsOverMax val="0"/>
  </c:chart>
  <c:printSettings>
    <c:headerFooter/>
    <c:pageMargins b="0.75000000000001421" l="0.70000000000000095" r="0.70000000000000095" t="0.75000000000001421" header="0.3000000000000001" footer="0.3000000000000001"/>
    <c:pageSetup/>
  </c:printSettings>
  <c:userShapes r:id="rId1"/>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US" sz="1200"/>
            </a:pPr>
            <a:r>
              <a:rPr lang="en-US" sz="1200"/>
              <a:t>Knee Velocity</a:t>
            </a:r>
          </a:p>
        </c:rich>
      </c:tx>
      <c:overlay val="0"/>
    </c:title>
    <c:autoTitleDeleted val="0"/>
    <c:plotArea>
      <c:layout>
        <c:manualLayout>
          <c:layoutTarget val="inner"/>
          <c:xMode val="edge"/>
          <c:yMode val="edge"/>
          <c:x val="0.10750787167646825"/>
          <c:y val="3.4862479399377401E-2"/>
          <c:w val="0.86270018386739089"/>
          <c:h val="0.93485832875541719"/>
        </c:manualLayout>
      </c:layout>
      <c:scatterChart>
        <c:scatterStyle val="smoothMarker"/>
        <c:varyColors val="0"/>
        <c:ser>
          <c:idx val="1"/>
          <c:order val="0"/>
          <c:tx>
            <c:v>Normative</c:v>
          </c:tx>
          <c:spPr>
            <a:ln>
              <a:solidFill>
                <a:schemeClr val="tx1"/>
              </a:solidFill>
            </a:ln>
          </c:spPr>
          <c:marker>
            <c:symbol val="none"/>
          </c:marker>
          <c:xVal>
            <c:numRef>
              <c:f>Normative!$A$2:$A$102</c:f>
              <c:numCache>
                <c:formatCode>General</c:formatCode>
                <c:ptCount val="101"/>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numCache>
            </c:numRef>
          </c:xVal>
          <c:yVal>
            <c:numRef>
              <c:f>Normative!$AD$2:$AD$102</c:f>
              <c:numCache>
                <c:formatCode>General</c:formatCode>
                <c:ptCount val="101"/>
                <c:pt idx="0">
                  <c:v>165.06268749999973</c:v>
                </c:pt>
                <c:pt idx="1">
                  <c:v>165.06268749999973</c:v>
                </c:pt>
                <c:pt idx="2">
                  <c:v>241.59716624999979</c:v>
                </c:pt>
                <c:pt idx="3">
                  <c:v>246.14852874999988</c:v>
                </c:pt>
                <c:pt idx="4">
                  <c:v>317.64536291666644</c:v>
                </c:pt>
                <c:pt idx="5">
                  <c:v>323.54493541666642</c:v>
                </c:pt>
                <c:pt idx="6">
                  <c:v>375.75270124999997</c:v>
                </c:pt>
                <c:pt idx="7">
                  <c:v>390.11775749999993</c:v>
                </c:pt>
                <c:pt idx="8">
                  <c:v>395.37475333333316</c:v>
                </c:pt>
                <c:pt idx="9">
                  <c:v>397.24628708333296</c:v>
                </c:pt>
                <c:pt idx="10">
                  <c:v>381.35439541666653</c:v>
                </c:pt>
                <c:pt idx="11">
                  <c:v>372.55406416666665</c:v>
                </c:pt>
                <c:pt idx="12">
                  <c:v>344.94111916666668</c:v>
                </c:pt>
                <c:pt idx="13">
                  <c:v>327.09262416666644</c:v>
                </c:pt>
                <c:pt idx="14">
                  <c:v>288.02518083333314</c:v>
                </c:pt>
                <c:pt idx="15">
                  <c:v>269.88967041666649</c:v>
                </c:pt>
                <c:pt idx="16">
                  <c:v>227.29727958333365</c:v>
                </c:pt>
                <c:pt idx="17">
                  <c:v>206.31275791666698</c:v>
                </c:pt>
                <c:pt idx="18">
                  <c:v>150.38625583333356</c:v>
                </c:pt>
                <c:pt idx="19">
                  <c:v>113.1742725</c:v>
                </c:pt>
                <c:pt idx="20">
                  <c:v>79.573421249999853</c:v>
                </c:pt>
                <c:pt idx="21">
                  <c:v>37.986704999999816</c:v>
                </c:pt>
                <c:pt idx="22">
                  <c:v>-1.0313795833334325</c:v>
                </c:pt>
                <c:pt idx="23">
                  <c:v>-36.428200416666698</c:v>
                </c:pt>
                <c:pt idx="24">
                  <c:v>-74.827182083333241</c:v>
                </c:pt>
                <c:pt idx="25">
                  <c:v>-133.6610312499997</c:v>
                </c:pt>
                <c:pt idx="26">
                  <c:v>-174.1307466666664</c:v>
                </c:pt>
                <c:pt idx="27">
                  <c:v>-215.38341666666634</c:v>
                </c:pt>
                <c:pt idx="28">
                  <c:v>-237.88004249999966</c:v>
                </c:pt>
                <c:pt idx="29">
                  <c:v>-291.44845000000004</c:v>
                </c:pt>
                <c:pt idx="30">
                  <c:v>-321.12567750000005</c:v>
                </c:pt>
                <c:pt idx="31">
                  <c:v>-369.86878375000026</c:v>
                </c:pt>
                <c:pt idx="32">
                  <c:v>-396.54045625000032</c:v>
                </c:pt>
                <c:pt idx="33">
                  <c:v>-456.64396208333289</c:v>
                </c:pt>
                <c:pt idx="34">
                  <c:v>-489.74194874999955</c:v>
                </c:pt>
                <c:pt idx="35">
                  <c:v>-532.76786999999945</c:v>
                </c:pt>
                <c:pt idx="36">
                  <c:v>-559.25395166666613</c:v>
                </c:pt>
                <c:pt idx="37">
                  <c:v>-595.55850999999961</c:v>
                </c:pt>
                <c:pt idx="38">
                  <c:v>-621.98133666666615</c:v>
                </c:pt>
                <c:pt idx="39">
                  <c:v>-636.23472749999951</c:v>
                </c:pt>
                <c:pt idx="40">
                  <c:v>-644.96761916666617</c:v>
                </c:pt>
                <c:pt idx="41">
                  <c:v>-638.27482083333268</c:v>
                </c:pt>
                <c:pt idx="42">
                  <c:v>-625.17877291666605</c:v>
                </c:pt>
                <c:pt idx="43">
                  <c:v>-592.12037499999951</c:v>
                </c:pt>
                <c:pt idx="44">
                  <c:v>-565.54383124999947</c:v>
                </c:pt>
                <c:pt idx="45">
                  <c:v>-485.46106666666617</c:v>
                </c:pt>
                <c:pt idx="46">
                  <c:v>-453.91676041666625</c:v>
                </c:pt>
                <c:pt idx="47">
                  <c:v>-346.68274749999966</c:v>
                </c:pt>
                <c:pt idx="48">
                  <c:v>-315.44069749999971</c:v>
                </c:pt>
                <c:pt idx="49">
                  <c:v>-176.79607458333319</c:v>
                </c:pt>
                <c:pt idx="50">
                  <c:v>11.370352083333325</c:v>
                </c:pt>
              </c:numCache>
            </c:numRef>
          </c:yVal>
          <c:smooth val="1"/>
          <c:extLst>
            <c:ext xmlns:c16="http://schemas.microsoft.com/office/drawing/2014/chart" uri="{C3380CC4-5D6E-409C-BE32-E72D297353CC}">
              <c16:uniqueId val="{00000000-592E-4AF3-BA51-68534C260124}"/>
            </c:ext>
          </c:extLst>
        </c:ser>
        <c:ser>
          <c:idx val="6"/>
          <c:order val="1"/>
          <c:tx>
            <c:v>Right 3</c:v>
          </c:tx>
          <c:spPr>
            <a:ln w="19050">
              <a:solidFill>
                <a:srgbClr val="00B050"/>
              </a:solidFill>
            </a:ln>
          </c:spPr>
          <c:marker>
            <c:symbol val="none"/>
          </c:marker>
          <c:xVal>
            <c:numRef>
              <c:f>'Right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3 Kin'!$AD$2:$AD$102</c:f>
              <c:numCache>
                <c:formatCode>General</c:formatCode>
                <c:ptCount val="101"/>
                <c:pt idx="0">
                  <c:v>290.30000000000018</c:v>
                </c:pt>
                <c:pt idx="1">
                  <c:v>295.32775000000021</c:v>
                </c:pt>
                <c:pt idx="2">
                  <c:v>300.35550000000012</c:v>
                </c:pt>
                <c:pt idx="3">
                  <c:v>305.38324999999998</c:v>
                </c:pt>
                <c:pt idx="4">
                  <c:v>310.04050000000001</c:v>
                </c:pt>
                <c:pt idx="5">
                  <c:v>312.65999999999991</c:v>
                </c:pt>
                <c:pt idx="6">
                  <c:v>315.27949999999981</c:v>
                </c:pt>
                <c:pt idx="7">
                  <c:v>317.89899999999972</c:v>
                </c:pt>
                <c:pt idx="8">
                  <c:v>319.12449999999973</c:v>
                </c:pt>
                <c:pt idx="9">
                  <c:v>317.21349999999973</c:v>
                </c:pt>
                <c:pt idx="10">
                  <c:v>315.30249999999978</c:v>
                </c:pt>
                <c:pt idx="11">
                  <c:v>313.39149999999978</c:v>
                </c:pt>
                <c:pt idx="12">
                  <c:v>308.83149999999989</c:v>
                </c:pt>
                <c:pt idx="13">
                  <c:v>301.18099999999998</c:v>
                </c:pt>
                <c:pt idx="14">
                  <c:v>293.53050000000002</c:v>
                </c:pt>
                <c:pt idx="15">
                  <c:v>285.88000000000011</c:v>
                </c:pt>
                <c:pt idx="16">
                  <c:v>274.94549999999998</c:v>
                </c:pt>
                <c:pt idx="17">
                  <c:v>261.95850000000007</c:v>
                </c:pt>
                <c:pt idx="18">
                  <c:v>248.97150000000011</c:v>
                </c:pt>
                <c:pt idx="19">
                  <c:v>235.98450000000011</c:v>
                </c:pt>
                <c:pt idx="20">
                  <c:v>220.2675000000001</c:v>
                </c:pt>
                <c:pt idx="21">
                  <c:v>203.7315000000001</c:v>
                </c:pt>
                <c:pt idx="22">
                  <c:v>187.19550000000001</c:v>
                </c:pt>
                <c:pt idx="23">
                  <c:v>170.65950000000001</c:v>
                </c:pt>
                <c:pt idx="24">
                  <c:v>152.88150000000019</c:v>
                </c:pt>
                <c:pt idx="25">
                  <c:v>135.0000000000002</c:v>
                </c:pt>
                <c:pt idx="26">
                  <c:v>117.1185000000004</c:v>
                </c:pt>
                <c:pt idx="27">
                  <c:v>99.263000000000417</c:v>
                </c:pt>
                <c:pt idx="28">
                  <c:v>81.719500000000451</c:v>
                </c:pt>
                <c:pt idx="29">
                  <c:v>64.176000000000428</c:v>
                </c:pt>
                <c:pt idx="30">
                  <c:v>46.632500000000462</c:v>
                </c:pt>
                <c:pt idx="31">
                  <c:v>29.309500000000401</c:v>
                </c:pt>
                <c:pt idx="32">
                  <c:v>12.72150000000029</c:v>
                </c:pt>
                <c:pt idx="33">
                  <c:v>-3.8664999999998879</c:v>
                </c:pt>
                <c:pt idx="34">
                  <c:v>-20.454499999999939</c:v>
                </c:pt>
                <c:pt idx="35">
                  <c:v>-36.888750000000073</c:v>
                </c:pt>
                <c:pt idx="36">
                  <c:v>-53.077000000000133</c:v>
                </c:pt>
                <c:pt idx="37">
                  <c:v>-69.265250000000194</c:v>
                </c:pt>
                <c:pt idx="38">
                  <c:v>-85.453500000000133</c:v>
                </c:pt>
                <c:pt idx="39">
                  <c:v>-102.1230000000001</c:v>
                </c:pt>
                <c:pt idx="40">
                  <c:v>-119.2050000000001</c:v>
                </c:pt>
                <c:pt idx="41">
                  <c:v>-136.28699999999989</c:v>
                </c:pt>
                <c:pt idx="42">
                  <c:v>-153.36899999999989</c:v>
                </c:pt>
                <c:pt idx="43">
                  <c:v>-171.9224999999999</c:v>
                </c:pt>
                <c:pt idx="44">
                  <c:v>-191.12999999999991</c:v>
                </c:pt>
                <c:pt idx="45">
                  <c:v>-210.33749999999981</c:v>
                </c:pt>
                <c:pt idx="46">
                  <c:v>-229.5449999999999</c:v>
                </c:pt>
                <c:pt idx="47">
                  <c:v>-250.88374999999999</c:v>
                </c:pt>
                <c:pt idx="48">
                  <c:v>-272.6099999999999</c:v>
                </c:pt>
                <c:pt idx="49">
                  <c:v>-294.33625000000001</c:v>
                </c:pt>
                <c:pt idx="50">
                  <c:v>-316.06250000000011</c:v>
                </c:pt>
                <c:pt idx="51">
                  <c:v>-339.64450000000022</c:v>
                </c:pt>
                <c:pt idx="52">
                  <c:v>-363.22649999999999</c:v>
                </c:pt>
                <c:pt idx="53">
                  <c:v>-386.80850000000009</c:v>
                </c:pt>
                <c:pt idx="54">
                  <c:v>-410.47050000000007</c:v>
                </c:pt>
                <c:pt idx="55">
                  <c:v>-434.57250000000022</c:v>
                </c:pt>
                <c:pt idx="56">
                  <c:v>-458.67450000000002</c:v>
                </c:pt>
                <c:pt idx="57">
                  <c:v>-482.7765</c:v>
                </c:pt>
                <c:pt idx="58">
                  <c:v>-506.57749999999999</c:v>
                </c:pt>
                <c:pt idx="59">
                  <c:v>-529.70124999999996</c:v>
                </c:pt>
                <c:pt idx="60">
                  <c:v>-552.82500000000005</c:v>
                </c:pt>
                <c:pt idx="61">
                  <c:v>-575.94875000000002</c:v>
                </c:pt>
                <c:pt idx="62">
                  <c:v>-597.94000000000017</c:v>
                </c:pt>
                <c:pt idx="63">
                  <c:v>-618.61000000000013</c:v>
                </c:pt>
                <c:pt idx="64">
                  <c:v>-639.28000000000031</c:v>
                </c:pt>
                <c:pt idx="65">
                  <c:v>-659.95000000000027</c:v>
                </c:pt>
                <c:pt idx="66">
                  <c:v>-678.0600000000004</c:v>
                </c:pt>
                <c:pt idx="67">
                  <c:v>-694.57000000000016</c:v>
                </c:pt>
                <c:pt idx="68">
                  <c:v>-711.07999999999993</c:v>
                </c:pt>
                <c:pt idx="69">
                  <c:v>-727.59</c:v>
                </c:pt>
                <c:pt idx="70">
                  <c:v>-739.12249999999995</c:v>
                </c:pt>
                <c:pt idx="71">
                  <c:v>-749.16174999999998</c:v>
                </c:pt>
                <c:pt idx="72">
                  <c:v>-759.20100000000002</c:v>
                </c:pt>
                <c:pt idx="73">
                  <c:v>-769.24024999999995</c:v>
                </c:pt>
                <c:pt idx="74">
                  <c:v>-770.56149999999991</c:v>
                </c:pt>
                <c:pt idx="75">
                  <c:v>-771.15625</c:v>
                </c:pt>
                <c:pt idx="76">
                  <c:v>-771.75099999999998</c:v>
                </c:pt>
                <c:pt idx="77">
                  <c:v>-771.38199999999983</c:v>
                </c:pt>
                <c:pt idx="78">
                  <c:v>-759.44799999999987</c:v>
                </c:pt>
                <c:pt idx="79">
                  <c:v>-747.5139999999999</c:v>
                </c:pt>
                <c:pt idx="80">
                  <c:v>-735.5799999999997</c:v>
                </c:pt>
                <c:pt idx="81">
                  <c:v>-720.28149999999971</c:v>
                </c:pt>
                <c:pt idx="82">
                  <c:v>-693.7679999999998</c:v>
                </c:pt>
                <c:pt idx="83">
                  <c:v>-667.25449999999967</c:v>
                </c:pt>
                <c:pt idx="84">
                  <c:v>-640.74099999999976</c:v>
                </c:pt>
                <c:pt idx="85">
                  <c:v>-608.66374999999937</c:v>
                </c:pt>
                <c:pt idx="86">
                  <c:v>-567.6844999999995</c:v>
                </c:pt>
                <c:pt idx="87">
                  <c:v>-526.70524999999975</c:v>
                </c:pt>
                <c:pt idx="88">
                  <c:v>-485.72599999999937</c:v>
                </c:pt>
                <c:pt idx="89">
                  <c:v>-438.43974999999972</c:v>
                </c:pt>
                <c:pt idx="90">
                  <c:v>-385.74750000000017</c:v>
                </c:pt>
                <c:pt idx="91">
                  <c:v>-333.05524999999989</c:v>
                </c:pt>
                <c:pt idx="92">
                  <c:v>-280.36300000000051</c:v>
                </c:pt>
                <c:pt idx="93">
                  <c:v>-222.99525000000079</c:v>
                </c:pt>
                <c:pt idx="94">
                  <c:v>-163.54950000000011</c:v>
                </c:pt>
                <c:pt idx="95">
                  <c:v>-104.1037500000002</c:v>
                </c:pt>
                <c:pt idx="96">
                  <c:v>-44.658000000000378</c:v>
                </c:pt>
                <c:pt idx="97">
                  <c:v>15.524750000000139</c:v>
                </c:pt>
                <c:pt idx="98">
                  <c:v>75.841499999999797</c:v>
                </c:pt>
                <c:pt idx="99">
                  <c:v>136.15825000000029</c:v>
                </c:pt>
                <c:pt idx="100">
                  <c:v>196.47499999999991</c:v>
                </c:pt>
              </c:numCache>
            </c:numRef>
          </c:yVal>
          <c:smooth val="1"/>
          <c:extLst>
            <c:ext xmlns:c16="http://schemas.microsoft.com/office/drawing/2014/chart" uri="{C3380CC4-5D6E-409C-BE32-E72D297353CC}">
              <c16:uniqueId val="{00000004-8E15-470F-B966-B4FC35954A16}"/>
            </c:ext>
          </c:extLst>
        </c:ser>
        <c:ser>
          <c:idx val="5"/>
          <c:order val="2"/>
          <c:tx>
            <c:v>Right 2</c:v>
          </c:tx>
          <c:spPr>
            <a:ln w="19050">
              <a:solidFill>
                <a:srgbClr val="00B050"/>
              </a:solidFill>
            </a:ln>
          </c:spPr>
          <c:marker>
            <c:symbol val="none"/>
          </c:marker>
          <c:xVal>
            <c:numRef>
              <c:f>'Right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2 Kin'!$AD$2:$AD$102</c:f>
              <c:numCache>
                <c:formatCode>General</c:formatCode>
                <c:ptCount val="101"/>
                <c:pt idx="0">
                  <c:v>309.86250000000041</c:v>
                </c:pt>
                <c:pt idx="1">
                  <c:v>310.41262500000039</c:v>
                </c:pt>
                <c:pt idx="2">
                  <c:v>310.96275000000043</c:v>
                </c:pt>
                <c:pt idx="3">
                  <c:v>311.51287500000052</c:v>
                </c:pt>
                <c:pt idx="4">
                  <c:v>311.81100000000038</c:v>
                </c:pt>
                <c:pt idx="5">
                  <c:v>311.51062500000029</c:v>
                </c:pt>
                <c:pt idx="6">
                  <c:v>311.21025000000009</c:v>
                </c:pt>
                <c:pt idx="7">
                  <c:v>310.909875</c:v>
                </c:pt>
                <c:pt idx="8">
                  <c:v>309.98750000000001</c:v>
                </c:pt>
                <c:pt idx="9">
                  <c:v>308.63749999999999</c:v>
                </c:pt>
                <c:pt idx="10">
                  <c:v>307.28750000000002</c:v>
                </c:pt>
                <c:pt idx="11">
                  <c:v>305.93750000000011</c:v>
                </c:pt>
                <c:pt idx="12">
                  <c:v>303.40550000000007</c:v>
                </c:pt>
                <c:pt idx="13">
                  <c:v>300.72575000000012</c:v>
                </c:pt>
                <c:pt idx="14">
                  <c:v>298.04600000000011</c:v>
                </c:pt>
                <c:pt idx="15">
                  <c:v>295.05625000000009</c:v>
                </c:pt>
                <c:pt idx="16">
                  <c:v>290.70249999999987</c:v>
                </c:pt>
                <c:pt idx="17">
                  <c:v>286.34874999999982</c:v>
                </c:pt>
                <c:pt idx="18">
                  <c:v>281.99499999999961</c:v>
                </c:pt>
                <c:pt idx="19">
                  <c:v>276.65974999999952</c:v>
                </c:pt>
                <c:pt idx="20">
                  <c:v>270.26749999999947</c:v>
                </c:pt>
                <c:pt idx="21">
                  <c:v>263.8752499999996</c:v>
                </c:pt>
                <c:pt idx="22">
                  <c:v>257.48299999999972</c:v>
                </c:pt>
                <c:pt idx="23">
                  <c:v>249.2374999999997</c:v>
                </c:pt>
                <c:pt idx="24">
                  <c:v>240.46249999999981</c:v>
                </c:pt>
                <c:pt idx="25">
                  <c:v>231.6874999999998</c:v>
                </c:pt>
                <c:pt idx="26">
                  <c:v>222.7157499999999</c:v>
                </c:pt>
                <c:pt idx="27">
                  <c:v>211.28462500000001</c:v>
                </c:pt>
                <c:pt idx="28">
                  <c:v>199.8535000000002</c:v>
                </c:pt>
                <c:pt idx="29">
                  <c:v>188.4223750000003</c:v>
                </c:pt>
                <c:pt idx="30">
                  <c:v>175.9625000000004</c:v>
                </c:pt>
                <c:pt idx="31">
                  <c:v>161.75375000000039</c:v>
                </c:pt>
                <c:pt idx="32">
                  <c:v>147.5450000000005</c:v>
                </c:pt>
                <c:pt idx="33">
                  <c:v>133.33625000000049</c:v>
                </c:pt>
                <c:pt idx="34">
                  <c:v>117.3185000000004</c:v>
                </c:pt>
                <c:pt idx="35">
                  <c:v>100.39625000000029</c:v>
                </c:pt>
                <c:pt idx="36">
                  <c:v>83.474000000000103</c:v>
                </c:pt>
                <c:pt idx="37">
                  <c:v>66.551749999999927</c:v>
                </c:pt>
                <c:pt idx="38">
                  <c:v>47.28624999999991</c:v>
                </c:pt>
                <c:pt idx="39">
                  <c:v>27.930624999999772</c:v>
                </c:pt>
                <c:pt idx="40">
                  <c:v>8.5749999999996263</c:v>
                </c:pt>
                <c:pt idx="41">
                  <c:v>-11.27762500000034</c:v>
                </c:pt>
                <c:pt idx="42">
                  <c:v>-32.550250000000297</c:v>
                </c:pt>
                <c:pt idx="43">
                  <c:v>-53.822875000000252</c:v>
                </c:pt>
                <c:pt idx="44">
                  <c:v>-75.095500000000214</c:v>
                </c:pt>
                <c:pt idx="45">
                  <c:v>-97.03000000000003</c:v>
                </c:pt>
                <c:pt idx="46">
                  <c:v>-119.494</c:v>
                </c:pt>
                <c:pt idx="47">
                  <c:v>-141.958</c:v>
                </c:pt>
                <c:pt idx="48">
                  <c:v>-164.4219999999998</c:v>
                </c:pt>
                <c:pt idx="49">
                  <c:v>-187.1533749999999</c:v>
                </c:pt>
                <c:pt idx="50">
                  <c:v>-209.93125000000001</c:v>
                </c:pt>
                <c:pt idx="51">
                  <c:v>-232.70912500000011</c:v>
                </c:pt>
                <c:pt idx="52">
                  <c:v>-255.39</c:v>
                </c:pt>
                <c:pt idx="53">
                  <c:v>-277.51312500000017</c:v>
                </c:pt>
                <c:pt idx="54">
                  <c:v>-299.6362500000003</c:v>
                </c:pt>
                <c:pt idx="55">
                  <c:v>-321.75937500000038</c:v>
                </c:pt>
                <c:pt idx="56">
                  <c:v>-343.15200000000038</c:v>
                </c:pt>
                <c:pt idx="57">
                  <c:v>-363.63150000000041</c:v>
                </c:pt>
                <c:pt idx="58">
                  <c:v>-384.11100000000039</c:v>
                </c:pt>
                <c:pt idx="59">
                  <c:v>-404.59050000000042</c:v>
                </c:pt>
                <c:pt idx="60">
                  <c:v>-423.13500000000028</c:v>
                </c:pt>
                <c:pt idx="61">
                  <c:v>-441.00225000000017</c:v>
                </c:pt>
                <c:pt idx="62">
                  <c:v>-458.86950000000007</c:v>
                </c:pt>
                <c:pt idx="63">
                  <c:v>-476.60612499999979</c:v>
                </c:pt>
                <c:pt idx="64">
                  <c:v>-490.9464999999999</c:v>
                </c:pt>
                <c:pt idx="65">
                  <c:v>-505.28687499999978</c:v>
                </c:pt>
                <c:pt idx="66">
                  <c:v>-519.62724999999989</c:v>
                </c:pt>
                <c:pt idx="67">
                  <c:v>-532.50624999999991</c:v>
                </c:pt>
                <c:pt idx="68">
                  <c:v>-542.46249999999998</c:v>
                </c:pt>
                <c:pt idx="69">
                  <c:v>-552.41875000000016</c:v>
                </c:pt>
                <c:pt idx="70">
                  <c:v>-562.37500000000011</c:v>
                </c:pt>
                <c:pt idx="71">
                  <c:v>-569.05662500000005</c:v>
                </c:pt>
                <c:pt idx="72">
                  <c:v>-573.8119999999999</c:v>
                </c:pt>
                <c:pt idx="73">
                  <c:v>-578.56737499999974</c:v>
                </c:pt>
                <c:pt idx="74">
                  <c:v>-583.32274999999959</c:v>
                </c:pt>
                <c:pt idx="75">
                  <c:v>-582.59999999999957</c:v>
                </c:pt>
                <c:pt idx="76">
                  <c:v>-581.43899999999962</c:v>
                </c:pt>
                <c:pt idx="77">
                  <c:v>-580.27799999999968</c:v>
                </c:pt>
                <c:pt idx="78">
                  <c:v>-577.67999999999984</c:v>
                </c:pt>
                <c:pt idx="79">
                  <c:v>-570.05250000000001</c:v>
                </c:pt>
                <c:pt idx="80">
                  <c:v>-562.42500000000007</c:v>
                </c:pt>
                <c:pt idx="81">
                  <c:v>-554.79750000000024</c:v>
                </c:pt>
                <c:pt idx="82">
                  <c:v>-543.67350000000022</c:v>
                </c:pt>
                <c:pt idx="83">
                  <c:v>-529.30275000000006</c:v>
                </c:pt>
                <c:pt idx="84">
                  <c:v>-514.93200000000002</c:v>
                </c:pt>
                <c:pt idx="85">
                  <c:v>-500.56124999999992</c:v>
                </c:pt>
                <c:pt idx="86">
                  <c:v>-480.80324999999988</c:v>
                </c:pt>
                <c:pt idx="87">
                  <c:v>-459.820875</c:v>
                </c:pt>
                <c:pt idx="88">
                  <c:v>-438.83849999999978</c:v>
                </c:pt>
                <c:pt idx="89">
                  <c:v>-417.18450000000001</c:v>
                </c:pt>
                <c:pt idx="90">
                  <c:v>-390.15750000000008</c:v>
                </c:pt>
                <c:pt idx="91">
                  <c:v>-363.13049999999981</c:v>
                </c:pt>
                <c:pt idx="92">
                  <c:v>-336.10349999999988</c:v>
                </c:pt>
                <c:pt idx="93">
                  <c:v>-307.01125000000002</c:v>
                </c:pt>
                <c:pt idx="94">
                  <c:v>-274.91499999999968</c:v>
                </c:pt>
                <c:pt idx="95">
                  <c:v>-242.81874999999991</c:v>
                </c:pt>
                <c:pt idx="96">
                  <c:v>-210.72250000000011</c:v>
                </c:pt>
                <c:pt idx="97">
                  <c:v>-175.9472499999998</c:v>
                </c:pt>
                <c:pt idx="98">
                  <c:v>-140.04400000000001</c:v>
                </c:pt>
                <c:pt idx="99">
                  <c:v>-104.1407499999997</c:v>
                </c:pt>
                <c:pt idx="100">
                  <c:v>-68.237499999999955</c:v>
                </c:pt>
              </c:numCache>
            </c:numRef>
          </c:yVal>
          <c:smooth val="1"/>
          <c:extLst>
            <c:ext xmlns:c16="http://schemas.microsoft.com/office/drawing/2014/chart" uri="{C3380CC4-5D6E-409C-BE32-E72D297353CC}">
              <c16:uniqueId val="{00000003-8E15-470F-B966-B4FC35954A16}"/>
            </c:ext>
          </c:extLst>
        </c:ser>
        <c:ser>
          <c:idx val="4"/>
          <c:order val="3"/>
          <c:tx>
            <c:v>Right 1</c:v>
          </c:tx>
          <c:spPr>
            <a:ln w="19050">
              <a:solidFill>
                <a:srgbClr val="00B050"/>
              </a:solidFill>
            </a:ln>
          </c:spPr>
          <c:marker>
            <c:symbol val="none"/>
          </c:marker>
          <c:xVal>
            <c:numRef>
              <c:f>'Right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1 Kin'!$AD$2:$AD$102</c:f>
              <c:numCache>
                <c:formatCode>General</c:formatCode>
                <c:ptCount val="101"/>
                <c:pt idx="0">
                  <c:v>370.28750000000082</c:v>
                </c:pt>
                <c:pt idx="1">
                  <c:v>375.06162500000062</c:v>
                </c:pt>
                <c:pt idx="2">
                  <c:v>379.83575000000042</c:v>
                </c:pt>
                <c:pt idx="3">
                  <c:v>384.60987500000022</c:v>
                </c:pt>
                <c:pt idx="4">
                  <c:v>388.28399999999999</c:v>
                </c:pt>
                <c:pt idx="5">
                  <c:v>391.06437499999993</c:v>
                </c:pt>
                <c:pt idx="6">
                  <c:v>393.84474999999969</c:v>
                </c:pt>
                <c:pt idx="7">
                  <c:v>396.36337499999962</c:v>
                </c:pt>
                <c:pt idx="8">
                  <c:v>396.61349999999987</c:v>
                </c:pt>
                <c:pt idx="9">
                  <c:v>396.86362500000018</c:v>
                </c:pt>
                <c:pt idx="10">
                  <c:v>397.11375000000061</c:v>
                </c:pt>
                <c:pt idx="11">
                  <c:v>395.44962500000059</c:v>
                </c:pt>
                <c:pt idx="12">
                  <c:v>392.77800000000047</c:v>
                </c:pt>
                <c:pt idx="13">
                  <c:v>390.10637500000041</c:v>
                </c:pt>
                <c:pt idx="14">
                  <c:v>386.79050000000029</c:v>
                </c:pt>
                <c:pt idx="15">
                  <c:v>381.00500000000022</c:v>
                </c:pt>
                <c:pt idx="16">
                  <c:v>375.21949999999998</c:v>
                </c:pt>
                <c:pt idx="17">
                  <c:v>369.43399999999991</c:v>
                </c:pt>
                <c:pt idx="18">
                  <c:v>361.31099999999992</c:v>
                </c:pt>
                <c:pt idx="19">
                  <c:v>352.4442499999999</c:v>
                </c:pt>
                <c:pt idx="20">
                  <c:v>343.57749999999987</c:v>
                </c:pt>
                <c:pt idx="21">
                  <c:v>333.822</c:v>
                </c:pt>
                <c:pt idx="22">
                  <c:v>322.0915</c:v>
                </c:pt>
                <c:pt idx="23">
                  <c:v>310.36099999999999</c:v>
                </c:pt>
                <c:pt idx="24">
                  <c:v>298.6305000000001</c:v>
                </c:pt>
                <c:pt idx="25">
                  <c:v>284.73124999999999</c:v>
                </c:pt>
                <c:pt idx="26">
                  <c:v>270.48500000000013</c:v>
                </c:pt>
                <c:pt idx="27">
                  <c:v>256.23874999999998</c:v>
                </c:pt>
                <c:pt idx="28">
                  <c:v>241.10600000000011</c:v>
                </c:pt>
                <c:pt idx="29">
                  <c:v>224.71737499999989</c:v>
                </c:pt>
                <c:pt idx="30">
                  <c:v>208.3287499999999</c:v>
                </c:pt>
                <c:pt idx="31">
                  <c:v>191.94012499999991</c:v>
                </c:pt>
                <c:pt idx="32">
                  <c:v>173.8154999999999</c:v>
                </c:pt>
                <c:pt idx="33">
                  <c:v>155.62887499999991</c:v>
                </c:pt>
                <c:pt idx="34">
                  <c:v>137.44225</c:v>
                </c:pt>
                <c:pt idx="35">
                  <c:v>118.46250000000001</c:v>
                </c:pt>
                <c:pt idx="36">
                  <c:v>98.742500000000064</c:v>
                </c:pt>
                <c:pt idx="37">
                  <c:v>79.022500000000107</c:v>
                </c:pt>
                <c:pt idx="38">
                  <c:v>59.208000000000268</c:v>
                </c:pt>
                <c:pt idx="39">
                  <c:v>38.11774999999993</c:v>
                </c:pt>
                <c:pt idx="40">
                  <c:v>17.027499999999598</c:v>
                </c:pt>
                <c:pt idx="41">
                  <c:v>-4.0627500000005838</c:v>
                </c:pt>
                <c:pt idx="42">
                  <c:v>-25.924750000000628</c:v>
                </c:pt>
                <c:pt idx="43">
                  <c:v>-48.258375000000513</c:v>
                </c:pt>
                <c:pt idx="44">
                  <c:v>-70.592000000000397</c:v>
                </c:pt>
                <c:pt idx="45">
                  <c:v>-93.120000000000132</c:v>
                </c:pt>
                <c:pt idx="46">
                  <c:v>-116.5810000000001</c:v>
                </c:pt>
                <c:pt idx="47">
                  <c:v>-140.0420000000002</c:v>
                </c:pt>
                <c:pt idx="48">
                  <c:v>-163.50299999999999</c:v>
                </c:pt>
                <c:pt idx="49">
                  <c:v>-187.65174999999999</c:v>
                </c:pt>
                <c:pt idx="50">
                  <c:v>-212.06250000000011</c:v>
                </c:pt>
                <c:pt idx="51">
                  <c:v>-236.47325000000021</c:v>
                </c:pt>
                <c:pt idx="52">
                  <c:v>-261.05799999999999</c:v>
                </c:pt>
                <c:pt idx="53">
                  <c:v>-286.09949999999992</c:v>
                </c:pt>
                <c:pt idx="54">
                  <c:v>-311.14099999999979</c:v>
                </c:pt>
                <c:pt idx="55">
                  <c:v>-336.18249999999972</c:v>
                </c:pt>
                <c:pt idx="56">
                  <c:v>-361.32899999999972</c:v>
                </c:pt>
                <c:pt idx="57">
                  <c:v>-386.49737499999992</c:v>
                </c:pt>
                <c:pt idx="58">
                  <c:v>-411.66575000000017</c:v>
                </c:pt>
                <c:pt idx="59">
                  <c:v>-436.59625000000011</c:v>
                </c:pt>
                <c:pt idx="60">
                  <c:v>-461.13750000000022</c:v>
                </c:pt>
                <c:pt idx="61">
                  <c:v>-485.67875000000021</c:v>
                </c:pt>
                <c:pt idx="62">
                  <c:v>-510.2200000000002</c:v>
                </c:pt>
                <c:pt idx="63">
                  <c:v>-533.18512500000008</c:v>
                </c:pt>
                <c:pt idx="64">
                  <c:v>-556.03350000000012</c:v>
                </c:pt>
                <c:pt idx="65">
                  <c:v>-578.88187500000004</c:v>
                </c:pt>
                <c:pt idx="66">
                  <c:v>-600.2287500000001</c:v>
                </c:pt>
                <c:pt idx="67">
                  <c:v>-619.96687499999996</c:v>
                </c:pt>
                <c:pt idx="68">
                  <c:v>-639.7049999999997</c:v>
                </c:pt>
                <c:pt idx="69">
                  <c:v>-659.27487499999984</c:v>
                </c:pt>
                <c:pt idx="70">
                  <c:v>-674.13374999999985</c:v>
                </c:pt>
                <c:pt idx="71">
                  <c:v>-688.99262499999998</c:v>
                </c:pt>
                <c:pt idx="72">
                  <c:v>-703.85149999999999</c:v>
                </c:pt>
                <c:pt idx="73">
                  <c:v>-714.66862499999991</c:v>
                </c:pt>
                <c:pt idx="74">
                  <c:v>-722.63274999999999</c:v>
                </c:pt>
                <c:pt idx="75">
                  <c:v>-730.59687499999995</c:v>
                </c:pt>
                <c:pt idx="76">
                  <c:v>-737.33799999999985</c:v>
                </c:pt>
                <c:pt idx="77">
                  <c:v>-736.43537499999991</c:v>
                </c:pt>
                <c:pt idx="78">
                  <c:v>-735.53274999999996</c:v>
                </c:pt>
                <c:pt idx="79">
                  <c:v>-734.63012500000002</c:v>
                </c:pt>
                <c:pt idx="80">
                  <c:v>-726.54750000000001</c:v>
                </c:pt>
                <c:pt idx="81">
                  <c:v>-715.23387500000001</c:v>
                </c:pt>
                <c:pt idx="82">
                  <c:v>-703.92025000000012</c:v>
                </c:pt>
                <c:pt idx="83">
                  <c:v>-689.92824999999993</c:v>
                </c:pt>
                <c:pt idx="84">
                  <c:v>-667.5184999999999</c:v>
                </c:pt>
                <c:pt idx="85">
                  <c:v>-645.10874999999965</c:v>
                </c:pt>
                <c:pt idx="86">
                  <c:v>-622.69899999999961</c:v>
                </c:pt>
                <c:pt idx="87">
                  <c:v>-591.85687499999983</c:v>
                </c:pt>
                <c:pt idx="88">
                  <c:v>-558.81499999999971</c:v>
                </c:pt>
                <c:pt idx="89">
                  <c:v>-525.77312500000016</c:v>
                </c:pt>
                <c:pt idx="90">
                  <c:v>-489.60625000000039</c:v>
                </c:pt>
                <c:pt idx="91">
                  <c:v>-447.50187499999998</c:v>
                </c:pt>
                <c:pt idx="92">
                  <c:v>-405.39750000000021</c:v>
                </c:pt>
                <c:pt idx="93">
                  <c:v>-363.29312500000032</c:v>
                </c:pt>
                <c:pt idx="94">
                  <c:v>-315.28024999999968</c:v>
                </c:pt>
                <c:pt idx="95">
                  <c:v>-266.58562499999982</c:v>
                </c:pt>
                <c:pt idx="96">
                  <c:v>-217.89099999999979</c:v>
                </c:pt>
                <c:pt idx="97">
                  <c:v>-167.57949999999931</c:v>
                </c:pt>
                <c:pt idx="98">
                  <c:v>-115.27799999999981</c:v>
                </c:pt>
                <c:pt idx="99">
                  <c:v>-62.976499999999533</c:v>
                </c:pt>
                <c:pt idx="100">
                  <c:v>-10.67499999999999</c:v>
                </c:pt>
              </c:numCache>
            </c:numRef>
          </c:yVal>
          <c:smooth val="1"/>
          <c:extLst>
            <c:ext xmlns:c16="http://schemas.microsoft.com/office/drawing/2014/chart" uri="{C3380CC4-5D6E-409C-BE32-E72D297353CC}">
              <c16:uniqueId val="{00000002-8E15-470F-B966-B4FC35954A16}"/>
            </c:ext>
          </c:extLst>
        </c:ser>
        <c:ser>
          <c:idx val="3"/>
          <c:order val="4"/>
          <c:tx>
            <c:v>Left 3</c:v>
          </c:tx>
          <c:spPr>
            <a:ln w="19050">
              <a:solidFill>
                <a:srgbClr val="FF0000"/>
              </a:solidFill>
            </a:ln>
          </c:spPr>
          <c:marker>
            <c:symbol val="none"/>
          </c:marker>
          <c:xVal>
            <c:numRef>
              <c:f>'Left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3 Kin'!$AD$2:$AD$102</c:f>
              <c:numCache>
                <c:formatCode>General</c:formatCode>
                <c:ptCount val="101"/>
                <c:pt idx="0">
                  <c:v>177.33750000000009</c:v>
                </c:pt>
                <c:pt idx="1">
                  <c:v>182.947</c:v>
                </c:pt>
                <c:pt idx="2">
                  <c:v>188.55649999999989</c:v>
                </c:pt>
                <c:pt idx="3">
                  <c:v>194.16599999999971</c:v>
                </c:pt>
                <c:pt idx="4">
                  <c:v>199.7379999999996</c:v>
                </c:pt>
                <c:pt idx="5">
                  <c:v>205.10374999999971</c:v>
                </c:pt>
                <c:pt idx="6">
                  <c:v>210.46949999999981</c:v>
                </c:pt>
                <c:pt idx="7">
                  <c:v>215.83524999999989</c:v>
                </c:pt>
                <c:pt idx="8">
                  <c:v>220.35400000000001</c:v>
                </c:pt>
                <c:pt idx="9">
                  <c:v>222.9670000000001</c:v>
                </c:pt>
                <c:pt idx="10">
                  <c:v>225.58000000000021</c:v>
                </c:pt>
                <c:pt idx="11">
                  <c:v>228.19300000000041</c:v>
                </c:pt>
                <c:pt idx="12">
                  <c:v>228.63400000000041</c:v>
                </c:pt>
                <c:pt idx="13">
                  <c:v>226.5410000000002</c:v>
                </c:pt>
                <c:pt idx="14">
                  <c:v>224.44800000000001</c:v>
                </c:pt>
                <c:pt idx="15">
                  <c:v>222.35499999999979</c:v>
                </c:pt>
                <c:pt idx="16">
                  <c:v>216.8519999999998</c:v>
                </c:pt>
                <c:pt idx="17">
                  <c:v>209.21774999999991</c:v>
                </c:pt>
                <c:pt idx="18">
                  <c:v>201.58349999999999</c:v>
                </c:pt>
                <c:pt idx="19">
                  <c:v>193.94925000000009</c:v>
                </c:pt>
                <c:pt idx="20">
                  <c:v>182.2750000000002</c:v>
                </c:pt>
                <c:pt idx="21">
                  <c:v>169.38875000000041</c:v>
                </c:pt>
                <c:pt idx="22">
                  <c:v>156.50250000000051</c:v>
                </c:pt>
                <c:pt idx="23">
                  <c:v>143.61625000000069</c:v>
                </c:pt>
                <c:pt idx="24">
                  <c:v>126.8870000000005</c:v>
                </c:pt>
                <c:pt idx="25">
                  <c:v>109.8375000000002</c:v>
                </c:pt>
                <c:pt idx="26">
                  <c:v>92.788000000000054</c:v>
                </c:pt>
                <c:pt idx="27">
                  <c:v>75.529749999999822</c:v>
                </c:pt>
                <c:pt idx="28">
                  <c:v>55.766499999999837</c:v>
                </c:pt>
                <c:pt idx="29">
                  <c:v>36.003249999999781</c:v>
                </c:pt>
                <c:pt idx="30">
                  <c:v>16.239999999999799</c:v>
                </c:pt>
                <c:pt idx="31">
                  <c:v>-3.809750000000236</c:v>
                </c:pt>
                <c:pt idx="32">
                  <c:v>-24.814500000000098</c:v>
                </c:pt>
                <c:pt idx="33">
                  <c:v>-45.819250000000032</c:v>
                </c:pt>
                <c:pt idx="34">
                  <c:v>-66.823999999999813</c:v>
                </c:pt>
                <c:pt idx="35">
                  <c:v>-87.811249999999788</c:v>
                </c:pt>
                <c:pt idx="36">
                  <c:v>-108.7704999999998</c:v>
                </c:pt>
                <c:pt idx="37">
                  <c:v>-129.72974999999991</c:v>
                </c:pt>
                <c:pt idx="38">
                  <c:v>-150.68899999999971</c:v>
                </c:pt>
                <c:pt idx="39">
                  <c:v>-171.07074999999989</c:v>
                </c:pt>
                <c:pt idx="40">
                  <c:v>-190.9575000000001</c:v>
                </c:pt>
                <c:pt idx="41">
                  <c:v>-210.84425000000019</c:v>
                </c:pt>
                <c:pt idx="42">
                  <c:v>-230.73100000000039</c:v>
                </c:pt>
                <c:pt idx="43">
                  <c:v>-249.38250000000059</c:v>
                </c:pt>
                <c:pt idx="44">
                  <c:v>-267.48500000000058</c:v>
                </c:pt>
                <c:pt idx="45">
                  <c:v>-285.5875000000006</c:v>
                </c:pt>
                <c:pt idx="46">
                  <c:v>-303.69000000000062</c:v>
                </c:pt>
                <c:pt idx="47">
                  <c:v>-319.98025000000058</c:v>
                </c:pt>
                <c:pt idx="48">
                  <c:v>-335.94100000000037</c:v>
                </c:pt>
                <c:pt idx="49">
                  <c:v>-351.90175000000028</c:v>
                </c:pt>
                <c:pt idx="50">
                  <c:v>-367.86250000000018</c:v>
                </c:pt>
                <c:pt idx="51">
                  <c:v>-381.73025000000013</c:v>
                </c:pt>
                <c:pt idx="52">
                  <c:v>-395.59800000000001</c:v>
                </c:pt>
                <c:pt idx="53">
                  <c:v>-409.46574999999979</c:v>
                </c:pt>
                <c:pt idx="54">
                  <c:v>-423.09149999999983</c:v>
                </c:pt>
                <c:pt idx="55">
                  <c:v>-435.38624999999968</c:v>
                </c:pt>
                <c:pt idx="56">
                  <c:v>-447.68099999999947</c:v>
                </c:pt>
                <c:pt idx="57">
                  <c:v>-459.97574999999938</c:v>
                </c:pt>
                <c:pt idx="58">
                  <c:v>-472.0344999999993</c:v>
                </c:pt>
                <c:pt idx="59">
                  <c:v>-483.56224999999932</c:v>
                </c:pt>
                <c:pt idx="60">
                  <c:v>-495.08999999999929</c:v>
                </c:pt>
                <c:pt idx="61">
                  <c:v>-506.61774999999938</c:v>
                </c:pt>
                <c:pt idx="62">
                  <c:v>-518.10649999999953</c:v>
                </c:pt>
                <c:pt idx="63">
                  <c:v>-529.54974999999979</c:v>
                </c:pt>
                <c:pt idx="64">
                  <c:v>-540.99300000000005</c:v>
                </c:pt>
                <c:pt idx="65">
                  <c:v>-552.4362500000002</c:v>
                </c:pt>
                <c:pt idx="66">
                  <c:v>-563.79150000000038</c:v>
                </c:pt>
                <c:pt idx="67">
                  <c:v>-575.09175000000039</c:v>
                </c:pt>
                <c:pt idx="68">
                  <c:v>-586.39200000000028</c:v>
                </c:pt>
                <c:pt idx="69">
                  <c:v>-597.6922500000004</c:v>
                </c:pt>
                <c:pt idx="70">
                  <c:v>-607.77750000000026</c:v>
                </c:pt>
                <c:pt idx="71">
                  <c:v>-617.49825000000044</c:v>
                </c:pt>
                <c:pt idx="72">
                  <c:v>-627.21900000000028</c:v>
                </c:pt>
                <c:pt idx="73">
                  <c:v>-636.93975000000023</c:v>
                </c:pt>
                <c:pt idx="74">
                  <c:v>-642.34650000000033</c:v>
                </c:pt>
                <c:pt idx="75">
                  <c:v>-647.3937500000003</c:v>
                </c:pt>
                <c:pt idx="76">
                  <c:v>-652.44100000000026</c:v>
                </c:pt>
                <c:pt idx="77">
                  <c:v>-656.79550000000017</c:v>
                </c:pt>
                <c:pt idx="78">
                  <c:v>-652.8370000000001</c:v>
                </c:pt>
                <c:pt idx="79">
                  <c:v>-648.87850000000003</c:v>
                </c:pt>
                <c:pt idx="80">
                  <c:v>-644.91999999999985</c:v>
                </c:pt>
                <c:pt idx="81">
                  <c:v>-637.8924999999997</c:v>
                </c:pt>
                <c:pt idx="82">
                  <c:v>-620.63499999999976</c:v>
                </c:pt>
                <c:pt idx="83">
                  <c:v>-603.3774999999996</c:v>
                </c:pt>
                <c:pt idx="84">
                  <c:v>-586.11999999999978</c:v>
                </c:pt>
                <c:pt idx="85">
                  <c:v>-562.80749999999932</c:v>
                </c:pt>
                <c:pt idx="86">
                  <c:v>-529.80699999999956</c:v>
                </c:pt>
                <c:pt idx="87">
                  <c:v>-496.80649999999969</c:v>
                </c:pt>
                <c:pt idx="88">
                  <c:v>-463.80599999999941</c:v>
                </c:pt>
                <c:pt idx="89">
                  <c:v>-422.75899999999962</c:v>
                </c:pt>
                <c:pt idx="90">
                  <c:v>-374.815</c:v>
                </c:pt>
                <c:pt idx="91">
                  <c:v>-326.87099999999981</c:v>
                </c:pt>
                <c:pt idx="92">
                  <c:v>-278.92700000000019</c:v>
                </c:pt>
                <c:pt idx="93">
                  <c:v>-223.4927500000006</c:v>
                </c:pt>
                <c:pt idx="94">
                  <c:v>-164.7295</c:v>
                </c:pt>
                <c:pt idx="95">
                  <c:v>-105.9662500000003</c:v>
                </c:pt>
                <c:pt idx="96">
                  <c:v>-47.203000000000628</c:v>
                </c:pt>
                <c:pt idx="97">
                  <c:v>15.473499999999969</c:v>
                </c:pt>
                <c:pt idx="98">
                  <c:v>78.861499999999722</c:v>
                </c:pt>
                <c:pt idx="99">
                  <c:v>142.24950000000041</c:v>
                </c:pt>
                <c:pt idx="100">
                  <c:v>205.6375000000001</c:v>
                </c:pt>
              </c:numCache>
            </c:numRef>
          </c:yVal>
          <c:smooth val="1"/>
          <c:extLst>
            <c:ext xmlns:c16="http://schemas.microsoft.com/office/drawing/2014/chart" uri="{C3380CC4-5D6E-409C-BE32-E72D297353CC}">
              <c16:uniqueId val="{00000001-8E15-470F-B966-B4FC35954A16}"/>
            </c:ext>
          </c:extLst>
        </c:ser>
        <c:ser>
          <c:idx val="2"/>
          <c:order val="5"/>
          <c:tx>
            <c:v>Left 2</c:v>
          </c:tx>
          <c:spPr>
            <a:ln w="19050">
              <a:solidFill>
                <a:srgbClr val="FF0000"/>
              </a:solidFill>
            </a:ln>
          </c:spPr>
          <c:marker>
            <c:symbol val="none"/>
          </c:marker>
          <c:xVal>
            <c:numRef>
              <c:f>'Left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2 Kin'!$AD$2:$AD$102</c:f>
              <c:numCache>
                <c:formatCode>General</c:formatCode>
                <c:ptCount val="101"/>
                <c:pt idx="0">
                  <c:v>209.82500000000039</c:v>
                </c:pt>
                <c:pt idx="1">
                  <c:v>205.2050000000003</c:v>
                </c:pt>
                <c:pt idx="2">
                  <c:v>200.58500000000021</c:v>
                </c:pt>
                <c:pt idx="3">
                  <c:v>195.96500000000009</c:v>
                </c:pt>
                <c:pt idx="4">
                  <c:v>191.34499999999991</c:v>
                </c:pt>
                <c:pt idx="5">
                  <c:v>185.66499999999999</c:v>
                </c:pt>
                <c:pt idx="6">
                  <c:v>179.77300000000011</c:v>
                </c:pt>
                <c:pt idx="7">
                  <c:v>173.8810000000002</c:v>
                </c:pt>
                <c:pt idx="8">
                  <c:v>167.98900000000029</c:v>
                </c:pt>
                <c:pt idx="9">
                  <c:v>160.9850000000003</c:v>
                </c:pt>
                <c:pt idx="10">
                  <c:v>153.42500000000021</c:v>
                </c:pt>
                <c:pt idx="11">
                  <c:v>145.86500000000009</c:v>
                </c:pt>
                <c:pt idx="12">
                  <c:v>138.30500000000009</c:v>
                </c:pt>
                <c:pt idx="13">
                  <c:v>129.72499999999999</c:v>
                </c:pt>
                <c:pt idx="14">
                  <c:v>120.125</c:v>
                </c:pt>
                <c:pt idx="15">
                  <c:v>110.52500000000001</c:v>
                </c:pt>
                <c:pt idx="16">
                  <c:v>100.925</c:v>
                </c:pt>
                <c:pt idx="17">
                  <c:v>90.573999999999984</c:v>
                </c:pt>
                <c:pt idx="18">
                  <c:v>78.720999999999989</c:v>
                </c:pt>
                <c:pt idx="19">
                  <c:v>66.868000000000023</c:v>
                </c:pt>
                <c:pt idx="20">
                  <c:v>55.015000000000022</c:v>
                </c:pt>
                <c:pt idx="21">
                  <c:v>42.791000000000047</c:v>
                </c:pt>
                <c:pt idx="22">
                  <c:v>28.7119999999999</c:v>
                </c:pt>
                <c:pt idx="23">
                  <c:v>14.6329999999998</c:v>
                </c:pt>
                <c:pt idx="24">
                  <c:v>0.55399999999969651</c:v>
                </c:pt>
                <c:pt idx="25">
                  <c:v>-13.52500000000045</c:v>
                </c:pt>
                <c:pt idx="26">
                  <c:v>-29.545000000000179</c:v>
                </c:pt>
                <c:pt idx="27">
                  <c:v>-45.564999999999969</c:v>
                </c:pt>
                <c:pt idx="28">
                  <c:v>-61.584999999999702</c:v>
                </c:pt>
                <c:pt idx="29">
                  <c:v>-77.604999999999478</c:v>
                </c:pt>
                <c:pt idx="30">
                  <c:v>-94.762499999999491</c:v>
                </c:pt>
                <c:pt idx="31">
                  <c:v>-112.1474999999996</c:v>
                </c:pt>
                <c:pt idx="32">
                  <c:v>-129.53249999999969</c:v>
                </c:pt>
                <c:pt idx="33">
                  <c:v>-146.91749999999979</c:v>
                </c:pt>
                <c:pt idx="34">
                  <c:v>-164.67049999999981</c:v>
                </c:pt>
                <c:pt idx="35">
                  <c:v>-182.6074999999999</c:v>
                </c:pt>
                <c:pt idx="36">
                  <c:v>-200.5445</c:v>
                </c:pt>
                <c:pt idx="37">
                  <c:v>-218.48150000000021</c:v>
                </c:pt>
                <c:pt idx="38">
                  <c:v>-236.2145000000001</c:v>
                </c:pt>
                <c:pt idx="39">
                  <c:v>-253.7435000000001</c:v>
                </c:pt>
                <c:pt idx="40">
                  <c:v>-271.27250000000009</c:v>
                </c:pt>
                <c:pt idx="41">
                  <c:v>-288.80149999999998</c:v>
                </c:pt>
                <c:pt idx="42">
                  <c:v>-305.86649999999997</c:v>
                </c:pt>
                <c:pt idx="43">
                  <c:v>-322.00349999999997</c:v>
                </c:pt>
                <c:pt idx="44">
                  <c:v>-338.14050000000009</c:v>
                </c:pt>
                <c:pt idx="45">
                  <c:v>-354.27749999999997</c:v>
                </c:pt>
                <c:pt idx="46">
                  <c:v>-370.04399999999998</c:v>
                </c:pt>
                <c:pt idx="47">
                  <c:v>-383.95800000000008</c:v>
                </c:pt>
                <c:pt idx="48">
                  <c:v>-397.87200000000001</c:v>
                </c:pt>
                <c:pt idx="49">
                  <c:v>-411.78599999999989</c:v>
                </c:pt>
                <c:pt idx="50">
                  <c:v>-425.69999999999987</c:v>
                </c:pt>
                <c:pt idx="51">
                  <c:v>-436.83600000000001</c:v>
                </c:pt>
                <c:pt idx="52">
                  <c:v>-447.97199999999998</c:v>
                </c:pt>
                <c:pt idx="53">
                  <c:v>-459.10800000000012</c:v>
                </c:pt>
                <c:pt idx="54">
                  <c:v>-470.2440000000002</c:v>
                </c:pt>
                <c:pt idx="55">
                  <c:v>-478.85000000000019</c:v>
                </c:pt>
                <c:pt idx="56">
                  <c:v>-486.95000000000022</c:v>
                </c:pt>
                <c:pt idx="57">
                  <c:v>-495.05000000000013</c:v>
                </c:pt>
                <c:pt idx="58">
                  <c:v>-503.15000000000009</c:v>
                </c:pt>
                <c:pt idx="59">
                  <c:v>-509.18600000000009</c:v>
                </c:pt>
                <c:pt idx="60">
                  <c:v>-514.19000000000005</c:v>
                </c:pt>
                <c:pt idx="61">
                  <c:v>-519.19399999999996</c:v>
                </c:pt>
                <c:pt idx="62">
                  <c:v>-524.19799999999998</c:v>
                </c:pt>
                <c:pt idx="63">
                  <c:v>-527.63449999999989</c:v>
                </c:pt>
                <c:pt idx="64">
                  <c:v>-529.50349999999992</c:v>
                </c:pt>
                <c:pt idx="65">
                  <c:v>-531.37249999999995</c:v>
                </c:pt>
                <c:pt idx="66">
                  <c:v>-533.24149999999997</c:v>
                </c:pt>
                <c:pt idx="67">
                  <c:v>-533.99950000000001</c:v>
                </c:pt>
                <c:pt idx="68">
                  <c:v>-532.53549999999996</c:v>
                </c:pt>
                <c:pt idx="69">
                  <c:v>-531.07150000000001</c:v>
                </c:pt>
                <c:pt idx="70">
                  <c:v>-529.60750000000007</c:v>
                </c:pt>
                <c:pt idx="71">
                  <c:v>-527.5095</c:v>
                </c:pt>
                <c:pt idx="72">
                  <c:v>-522.24150000000009</c:v>
                </c:pt>
                <c:pt idx="73">
                  <c:v>-516.97350000000006</c:v>
                </c:pt>
                <c:pt idx="74">
                  <c:v>-511.70550000000009</c:v>
                </c:pt>
                <c:pt idx="75">
                  <c:v>-506.43750000000011</c:v>
                </c:pt>
                <c:pt idx="76">
                  <c:v>-496.70550000000009</c:v>
                </c:pt>
                <c:pt idx="77">
                  <c:v>-486.9735</c:v>
                </c:pt>
                <c:pt idx="78">
                  <c:v>-477.24149999999997</c:v>
                </c:pt>
                <c:pt idx="79">
                  <c:v>-467.50950000000012</c:v>
                </c:pt>
                <c:pt idx="80">
                  <c:v>-453.51749999999993</c:v>
                </c:pt>
                <c:pt idx="81">
                  <c:v>-438.67349999999988</c:v>
                </c:pt>
                <c:pt idx="82">
                  <c:v>-423.82949999999988</c:v>
                </c:pt>
                <c:pt idx="83">
                  <c:v>-408.98549999999977</c:v>
                </c:pt>
                <c:pt idx="84">
                  <c:v>-390.4874999999999</c:v>
                </c:pt>
                <c:pt idx="85">
                  <c:v>-370.1624999999998</c:v>
                </c:pt>
                <c:pt idx="86">
                  <c:v>-349.83749999999992</c:v>
                </c:pt>
                <c:pt idx="87">
                  <c:v>-329.5125000000001</c:v>
                </c:pt>
                <c:pt idx="88">
                  <c:v>-306.51899999999989</c:v>
                </c:pt>
                <c:pt idx="89">
                  <c:v>-280.85700000000003</c:v>
                </c:pt>
                <c:pt idx="90">
                  <c:v>-255.19500000000019</c:v>
                </c:pt>
                <c:pt idx="91">
                  <c:v>-229.53299999999999</c:v>
                </c:pt>
                <c:pt idx="92">
                  <c:v>-202.3300000000001</c:v>
                </c:pt>
                <c:pt idx="93">
                  <c:v>-172.04500000000019</c:v>
                </c:pt>
                <c:pt idx="94">
                  <c:v>-141.75999999999979</c:v>
                </c:pt>
                <c:pt idx="95">
                  <c:v>-111.47499999999989</c:v>
                </c:pt>
                <c:pt idx="96">
                  <c:v>-80.618000000000023</c:v>
                </c:pt>
                <c:pt idx="97">
                  <c:v>-46.90099999999974</c:v>
                </c:pt>
                <c:pt idx="98">
                  <c:v>-13.183999999999941</c:v>
                </c:pt>
                <c:pt idx="99">
                  <c:v>20.533000000000339</c:v>
                </c:pt>
                <c:pt idx="100">
                  <c:v>54.250000000000128</c:v>
                </c:pt>
              </c:numCache>
            </c:numRef>
          </c:yVal>
          <c:smooth val="1"/>
          <c:extLst>
            <c:ext xmlns:c16="http://schemas.microsoft.com/office/drawing/2014/chart" uri="{C3380CC4-5D6E-409C-BE32-E72D297353CC}">
              <c16:uniqueId val="{00000000-8E15-470F-B966-B4FC35954A16}"/>
            </c:ext>
          </c:extLst>
        </c:ser>
        <c:ser>
          <c:idx val="0"/>
          <c:order val="6"/>
          <c:tx>
            <c:v>Left 1</c:v>
          </c:tx>
          <c:spPr>
            <a:ln w="19050">
              <a:solidFill>
                <a:srgbClr val="FF0000"/>
              </a:solidFill>
            </a:ln>
          </c:spPr>
          <c:marker>
            <c:symbol val="none"/>
          </c:marker>
          <c:xVal>
            <c:numRef>
              <c:f>'Left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1 Kin'!$AD$2:$AD$102</c:f>
              <c:numCache>
                <c:formatCode>General</c:formatCode>
                <c:ptCount val="101"/>
                <c:pt idx="0">
                  <c:v>104.4499999999999</c:v>
                </c:pt>
                <c:pt idx="1">
                  <c:v>110.965625</c:v>
                </c:pt>
                <c:pt idx="2">
                  <c:v>117.48125</c:v>
                </c:pt>
                <c:pt idx="3">
                  <c:v>123.996875</c:v>
                </c:pt>
                <c:pt idx="4">
                  <c:v>130.51249999999999</c:v>
                </c:pt>
                <c:pt idx="5">
                  <c:v>138.02187500000019</c:v>
                </c:pt>
                <c:pt idx="6">
                  <c:v>145.53125000000031</c:v>
                </c:pt>
                <c:pt idx="7">
                  <c:v>153.04062500000049</c:v>
                </c:pt>
                <c:pt idx="8">
                  <c:v>160.55000000000061</c:v>
                </c:pt>
                <c:pt idx="9">
                  <c:v>166.38750000000061</c:v>
                </c:pt>
                <c:pt idx="10">
                  <c:v>172.22500000000051</c:v>
                </c:pt>
                <c:pt idx="11">
                  <c:v>178.06250000000051</c:v>
                </c:pt>
                <c:pt idx="12">
                  <c:v>183.9000000000004</c:v>
                </c:pt>
                <c:pt idx="13">
                  <c:v>185.7687500000003</c:v>
                </c:pt>
                <c:pt idx="14">
                  <c:v>187.6375000000001</c:v>
                </c:pt>
                <c:pt idx="15">
                  <c:v>189.50624999999999</c:v>
                </c:pt>
                <c:pt idx="16">
                  <c:v>191.37499999999989</c:v>
                </c:pt>
                <c:pt idx="17">
                  <c:v>187.91562499999981</c:v>
                </c:pt>
                <c:pt idx="18">
                  <c:v>184.45624999999981</c:v>
                </c:pt>
                <c:pt idx="19">
                  <c:v>180.9968749999997</c:v>
                </c:pt>
                <c:pt idx="20">
                  <c:v>177.53749999999971</c:v>
                </c:pt>
                <c:pt idx="21">
                  <c:v>168.50312499999981</c:v>
                </c:pt>
                <c:pt idx="22">
                  <c:v>159.4687499999998</c:v>
                </c:pt>
                <c:pt idx="23">
                  <c:v>150.4343749999999</c:v>
                </c:pt>
                <c:pt idx="24">
                  <c:v>141.4</c:v>
                </c:pt>
                <c:pt idx="25">
                  <c:v>127.45</c:v>
                </c:pt>
                <c:pt idx="26">
                  <c:v>113.5000000000002</c:v>
                </c:pt>
                <c:pt idx="27">
                  <c:v>99.55000000000021</c:v>
                </c:pt>
                <c:pt idx="28">
                  <c:v>85.600000000000335</c:v>
                </c:pt>
                <c:pt idx="29">
                  <c:v>67.93437500000006</c:v>
                </c:pt>
                <c:pt idx="30">
                  <c:v>50.268749999999862</c:v>
                </c:pt>
                <c:pt idx="31">
                  <c:v>32.603124999999579</c:v>
                </c:pt>
                <c:pt idx="32">
                  <c:v>14.93749999999938</c:v>
                </c:pt>
                <c:pt idx="33">
                  <c:v>-5.0468750000005969</c:v>
                </c:pt>
                <c:pt idx="34">
                  <c:v>-25.03125000000043</c:v>
                </c:pt>
                <c:pt idx="35">
                  <c:v>-45.015625000000419</c:v>
                </c:pt>
                <c:pt idx="36">
                  <c:v>-65.000000000000384</c:v>
                </c:pt>
                <c:pt idx="37">
                  <c:v>-85.903125000000216</c:v>
                </c:pt>
                <c:pt idx="38">
                  <c:v>-106.80624999999991</c:v>
                </c:pt>
                <c:pt idx="39">
                  <c:v>-127.7093749999998</c:v>
                </c:pt>
                <c:pt idx="40">
                  <c:v>-148.61249999999961</c:v>
                </c:pt>
                <c:pt idx="41">
                  <c:v>-169.14374999999961</c:v>
                </c:pt>
                <c:pt idx="42">
                  <c:v>-189.6749999999997</c:v>
                </c:pt>
                <c:pt idx="43">
                  <c:v>-210.2062499999999</c:v>
                </c:pt>
                <c:pt idx="44">
                  <c:v>-230.73750000000001</c:v>
                </c:pt>
                <c:pt idx="45">
                  <c:v>-249.81249999999989</c:v>
                </c:pt>
                <c:pt idx="46">
                  <c:v>-268.88749999999987</c:v>
                </c:pt>
                <c:pt idx="47">
                  <c:v>-287.96249999999998</c:v>
                </c:pt>
                <c:pt idx="48">
                  <c:v>-307.03749999999991</c:v>
                </c:pt>
                <c:pt idx="49">
                  <c:v>-323.90312499999999</c:v>
                </c:pt>
                <c:pt idx="50">
                  <c:v>-340.76875000000013</c:v>
                </c:pt>
                <c:pt idx="51">
                  <c:v>-357.63437500000032</c:v>
                </c:pt>
                <c:pt idx="52">
                  <c:v>-374.50000000000028</c:v>
                </c:pt>
                <c:pt idx="53">
                  <c:v>-388.92500000000018</c:v>
                </c:pt>
                <c:pt idx="54">
                  <c:v>-403.35000000000008</c:v>
                </c:pt>
                <c:pt idx="55">
                  <c:v>-417.77500000000009</c:v>
                </c:pt>
                <c:pt idx="56">
                  <c:v>-432.19999999999987</c:v>
                </c:pt>
                <c:pt idx="57">
                  <c:v>-444.61874999999992</c:v>
                </c:pt>
                <c:pt idx="58">
                  <c:v>-457.0374999999998</c:v>
                </c:pt>
                <c:pt idx="59">
                  <c:v>-469.45624999999973</c:v>
                </c:pt>
                <c:pt idx="60">
                  <c:v>-481.8749999999996</c:v>
                </c:pt>
                <c:pt idx="61">
                  <c:v>-493.28437499999978</c:v>
                </c:pt>
                <c:pt idx="62">
                  <c:v>-504.69375000000002</c:v>
                </c:pt>
                <c:pt idx="63">
                  <c:v>-516.10312500000009</c:v>
                </c:pt>
                <c:pt idx="64">
                  <c:v>-527.51250000000027</c:v>
                </c:pt>
                <c:pt idx="65">
                  <c:v>-538.9156250000002</c:v>
                </c:pt>
                <c:pt idx="66">
                  <c:v>-550.31875000000025</c:v>
                </c:pt>
                <c:pt idx="67">
                  <c:v>-561.72187500000018</c:v>
                </c:pt>
                <c:pt idx="68">
                  <c:v>-573.12500000000011</c:v>
                </c:pt>
                <c:pt idx="69">
                  <c:v>-584.65625000000023</c:v>
                </c:pt>
                <c:pt idx="70">
                  <c:v>-596.18750000000011</c:v>
                </c:pt>
                <c:pt idx="71">
                  <c:v>-607.71875000000023</c:v>
                </c:pt>
                <c:pt idx="72">
                  <c:v>-619.25000000000011</c:v>
                </c:pt>
                <c:pt idx="73">
                  <c:v>-629.44687500000009</c:v>
                </c:pt>
                <c:pt idx="74">
                  <c:v>-639.64375000000018</c:v>
                </c:pt>
                <c:pt idx="75">
                  <c:v>-649.84062500000005</c:v>
                </c:pt>
                <c:pt idx="76">
                  <c:v>-660.03750000000002</c:v>
                </c:pt>
                <c:pt idx="77">
                  <c:v>-665.65937500000007</c:v>
                </c:pt>
                <c:pt idx="78">
                  <c:v>-671.28125</c:v>
                </c:pt>
                <c:pt idx="79">
                  <c:v>-676.90312500000005</c:v>
                </c:pt>
                <c:pt idx="80">
                  <c:v>-682.52500000000009</c:v>
                </c:pt>
                <c:pt idx="81">
                  <c:v>-679.234375</c:v>
                </c:pt>
                <c:pt idx="82">
                  <c:v>-675.94374999999991</c:v>
                </c:pt>
                <c:pt idx="83">
                  <c:v>-672.6531249999997</c:v>
                </c:pt>
                <c:pt idx="84">
                  <c:v>-669.36249999999961</c:v>
                </c:pt>
                <c:pt idx="85">
                  <c:v>-653.19999999999959</c:v>
                </c:pt>
                <c:pt idx="86">
                  <c:v>-637.03749999999968</c:v>
                </c:pt>
                <c:pt idx="87">
                  <c:v>-620.87499999999989</c:v>
                </c:pt>
                <c:pt idx="88">
                  <c:v>-604.71249999999975</c:v>
                </c:pt>
                <c:pt idx="89">
                  <c:v>-573.75312499999995</c:v>
                </c:pt>
                <c:pt idx="90">
                  <c:v>-542.79375000000016</c:v>
                </c:pt>
                <c:pt idx="91">
                  <c:v>-511.83437500000002</c:v>
                </c:pt>
                <c:pt idx="92">
                  <c:v>-480.87500000000023</c:v>
                </c:pt>
                <c:pt idx="93">
                  <c:v>-436.2062500000003</c:v>
                </c:pt>
                <c:pt idx="94">
                  <c:v>-391.5374999999998</c:v>
                </c:pt>
                <c:pt idx="95">
                  <c:v>-346.86874999999992</c:v>
                </c:pt>
                <c:pt idx="96">
                  <c:v>-302.2</c:v>
                </c:pt>
                <c:pt idx="97">
                  <c:v>-247.66562499999961</c:v>
                </c:pt>
                <c:pt idx="98">
                  <c:v>-193.13124999999999</c:v>
                </c:pt>
                <c:pt idx="99">
                  <c:v>-138.59687499999961</c:v>
                </c:pt>
                <c:pt idx="100">
                  <c:v>-84.062499999999929</c:v>
                </c:pt>
              </c:numCache>
            </c:numRef>
          </c:yVal>
          <c:smooth val="1"/>
          <c:extLst>
            <c:ext xmlns:c16="http://schemas.microsoft.com/office/drawing/2014/chart" uri="{C3380CC4-5D6E-409C-BE32-E72D297353CC}">
              <c16:uniqueId val="{00000000-1F04-48E4-9DEF-CF31E470412D}"/>
            </c:ext>
          </c:extLst>
        </c:ser>
        <c:dLbls>
          <c:showLegendKey val="0"/>
          <c:showVal val="0"/>
          <c:showCatName val="0"/>
          <c:showSerName val="0"/>
          <c:showPercent val="0"/>
          <c:showBubbleSize val="0"/>
        </c:dLbls>
        <c:axId val="90982272"/>
        <c:axId val="90983808"/>
      </c:scatterChart>
      <c:valAx>
        <c:axId val="90982272"/>
        <c:scaling>
          <c:orientation val="minMax"/>
          <c:max val="100"/>
        </c:scaling>
        <c:delete val="0"/>
        <c:axPos val="b"/>
        <c:numFmt formatCode="General" sourceLinked="1"/>
        <c:majorTickMark val="out"/>
        <c:minorTickMark val="none"/>
        <c:tickLblPos val="nextTo"/>
        <c:txPr>
          <a:bodyPr/>
          <a:lstStyle/>
          <a:p>
            <a:pPr>
              <a:defRPr lang="en-US" sz="800"/>
            </a:pPr>
            <a:endParaRPr lang="en-US"/>
          </a:p>
        </c:txPr>
        <c:crossAx val="90983808"/>
        <c:crosses val="autoZero"/>
        <c:crossBetween val="midCat"/>
        <c:majorUnit val="20"/>
      </c:valAx>
      <c:valAx>
        <c:axId val="90983808"/>
        <c:scaling>
          <c:orientation val="minMax"/>
        </c:scaling>
        <c:delete val="0"/>
        <c:axPos val="l"/>
        <c:title>
          <c:tx>
            <c:rich>
              <a:bodyPr rot="-5400000" vert="horz"/>
              <a:lstStyle/>
              <a:p>
                <a:pPr>
                  <a:defRPr lang="en-AU" sz="900"/>
                </a:pPr>
                <a:r>
                  <a:rPr lang="en-US" sz="900"/>
                  <a:t>Velocity (deg/s)</a:t>
                </a:r>
              </a:p>
            </c:rich>
          </c:tx>
          <c:layout>
            <c:manualLayout>
              <c:xMode val="edge"/>
              <c:yMode val="edge"/>
              <c:x val="6.1702551325188921E-3"/>
              <c:y val="0.32694305948250502"/>
            </c:manualLayout>
          </c:layout>
          <c:overlay val="0"/>
        </c:title>
        <c:numFmt formatCode="0" sourceLinked="0"/>
        <c:majorTickMark val="out"/>
        <c:minorTickMark val="none"/>
        <c:tickLblPos val="nextTo"/>
        <c:txPr>
          <a:bodyPr/>
          <a:lstStyle/>
          <a:p>
            <a:pPr>
              <a:defRPr lang="en-US" sz="800"/>
            </a:pPr>
            <a:endParaRPr lang="en-US"/>
          </a:p>
        </c:txPr>
        <c:crossAx val="90982272"/>
        <c:crosses val="autoZero"/>
        <c:crossBetween val="midCat"/>
      </c:valAx>
    </c:plotArea>
    <c:plotVisOnly val="1"/>
    <c:dispBlanksAs val="gap"/>
    <c:showDLblsOverMax val="0"/>
  </c:chart>
  <c:printSettings>
    <c:headerFooter/>
    <c:pageMargins b="0.75000000000001421" l="0.70000000000000095" r="0.70000000000000095" t="0.75000000000001421" header="0.3000000000000001" footer="0.3000000000000001"/>
    <c:pageSetup/>
  </c:printSettings>
  <c:userShapes r:id="rId1"/>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US" sz="1200"/>
            </a:pPr>
            <a:r>
              <a:rPr lang="en-US" sz="1200"/>
              <a:t>Hip Velocity</a:t>
            </a:r>
          </a:p>
        </c:rich>
      </c:tx>
      <c:overlay val="0"/>
    </c:title>
    <c:autoTitleDeleted val="0"/>
    <c:plotArea>
      <c:layout>
        <c:manualLayout>
          <c:layoutTarget val="inner"/>
          <c:xMode val="edge"/>
          <c:yMode val="edge"/>
          <c:x val="0.10500804180576646"/>
          <c:y val="3.4862479399377401E-2"/>
          <c:w val="0.86528067767516359"/>
          <c:h val="0.93485832875541719"/>
        </c:manualLayout>
      </c:layout>
      <c:scatterChart>
        <c:scatterStyle val="smoothMarker"/>
        <c:varyColors val="0"/>
        <c:ser>
          <c:idx val="1"/>
          <c:order val="0"/>
          <c:tx>
            <c:v>Normative</c:v>
          </c:tx>
          <c:spPr>
            <a:ln>
              <a:solidFill>
                <a:schemeClr val="tx1"/>
              </a:solidFill>
            </a:ln>
          </c:spPr>
          <c:marker>
            <c:symbol val="none"/>
          </c:marker>
          <c:xVal>
            <c:numRef>
              <c:f>Normative!$A$2:$A$102</c:f>
              <c:numCache>
                <c:formatCode>General</c:formatCode>
                <c:ptCount val="101"/>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numCache>
            </c:numRef>
          </c:xVal>
          <c:yVal>
            <c:numRef>
              <c:f>Normative!$AA$2:$AA$102</c:f>
              <c:numCache>
                <c:formatCode>General</c:formatCode>
                <c:ptCount val="101"/>
                <c:pt idx="0">
                  <c:v>-366.72640958333318</c:v>
                </c:pt>
                <c:pt idx="1">
                  <c:v>-366.72640958333318</c:v>
                </c:pt>
                <c:pt idx="2">
                  <c:v>-363.80443708333297</c:v>
                </c:pt>
                <c:pt idx="3">
                  <c:v>-366.84647458333302</c:v>
                </c:pt>
                <c:pt idx="4">
                  <c:v>-362.53121541666621</c:v>
                </c:pt>
                <c:pt idx="5">
                  <c:v>-366.16347541666619</c:v>
                </c:pt>
                <c:pt idx="6">
                  <c:v>-365.17714458333319</c:v>
                </c:pt>
                <c:pt idx="7">
                  <c:v>-363.77653416666652</c:v>
                </c:pt>
                <c:pt idx="8">
                  <c:v>-372.4312595833332</c:v>
                </c:pt>
                <c:pt idx="9">
                  <c:v>-377.03061916666644</c:v>
                </c:pt>
                <c:pt idx="10">
                  <c:v>-388.41708416666654</c:v>
                </c:pt>
                <c:pt idx="11">
                  <c:v>-395.43640291666651</c:v>
                </c:pt>
                <c:pt idx="12">
                  <c:v>-409.74453624999995</c:v>
                </c:pt>
                <c:pt idx="13">
                  <c:v>-419.28133833333294</c:v>
                </c:pt>
                <c:pt idx="14">
                  <c:v>-440.17222999999956</c:v>
                </c:pt>
                <c:pt idx="15">
                  <c:v>-451.95408999999955</c:v>
                </c:pt>
                <c:pt idx="16">
                  <c:v>-476.76575875000015</c:v>
                </c:pt>
                <c:pt idx="17">
                  <c:v>-490.41223375000038</c:v>
                </c:pt>
                <c:pt idx="18">
                  <c:v>-521.57914833333359</c:v>
                </c:pt>
                <c:pt idx="19">
                  <c:v>-544.10210666666626</c:v>
                </c:pt>
                <c:pt idx="20">
                  <c:v>-562.15249124999946</c:v>
                </c:pt>
                <c:pt idx="21">
                  <c:v>-586.19075791666614</c:v>
                </c:pt>
                <c:pt idx="22">
                  <c:v>-602.42548416666625</c:v>
                </c:pt>
                <c:pt idx="23">
                  <c:v>-623.07652624999946</c:v>
                </c:pt>
                <c:pt idx="24">
                  <c:v>-637.0453824999995</c:v>
                </c:pt>
                <c:pt idx="25">
                  <c:v>-664.50470291666602</c:v>
                </c:pt>
                <c:pt idx="26">
                  <c:v>-679.37882666666599</c:v>
                </c:pt>
                <c:pt idx="27">
                  <c:v>-691.99620416666608</c:v>
                </c:pt>
                <c:pt idx="28">
                  <c:v>-698.93330083333274</c:v>
                </c:pt>
                <c:pt idx="29">
                  <c:v>-712.91246750000005</c:v>
                </c:pt>
                <c:pt idx="30">
                  <c:v>-718.02462125000022</c:v>
                </c:pt>
                <c:pt idx="31">
                  <c:v>-726.98088875000008</c:v>
                </c:pt>
                <c:pt idx="32">
                  <c:v>-728.24569791666693</c:v>
                </c:pt>
                <c:pt idx="33">
                  <c:v>-730.49636791666603</c:v>
                </c:pt>
                <c:pt idx="34">
                  <c:v>-728.23604541666623</c:v>
                </c:pt>
                <c:pt idx="35">
                  <c:v>-721.48154333333287</c:v>
                </c:pt>
                <c:pt idx="36">
                  <c:v>-713.48818749999953</c:v>
                </c:pt>
                <c:pt idx="37">
                  <c:v>-697.51555833333282</c:v>
                </c:pt>
                <c:pt idx="38">
                  <c:v>-676.10476666666602</c:v>
                </c:pt>
                <c:pt idx="39">
                  <c:v>-654.7754637499994</c:v>
                </c:pt>
                <c:pt idx="40">
                  <c:v>-629.05237208333278</c:v>
                </c:pt>
                <c:pt idx="41">
                  <c:v>-599.02896374999943</c:v>
                </c:pt>
                <c:pt idx="42">
                  <c:v>-561.79837916666622</c:v>
                </c:pt>
                <c:pt idx="43">
                  <c:v>-516.20643166666628</c:v>
                </c:pt>
                <c:pt idx="44">
                  <c:v>-485.80519416666618</c:v>
                </c:pt>
                <c:pt idx="45">
                  <c:v>-416.19746708333298</c:v>
                </c:pt>
                <c:pt idx="46">
                  <c:v>-393.84696833333294</c:v>
                </c:pt>
                <c:pt idx="47">
                  <c:v>-320.21691499999969</c:v>
                </c:pt>
                <c:pt idx="48">
                  <c:v>-301.2170899999997</c:v>
                </c:pt>
                <c:pt idx="49">
                  <c:v>-220.82602291666643</c:v>
                </c:pt>
                <c:pt idx="50">
                  <c:v>-124.21833624999988</c:v>
                </c:pt>
              </c:numCache>
            </c:numRef>
          </c:yVal>
          <c:smooth val="1"/>
          <c:extLst>
            <c:ext xmlns:c16="http://schemas.microsoft.com/office/drawing/2014/chart" uri="{C3380CC4-5D6E-409C-BE32-E72D297353CC}">
              <c16:uniqueId val="{00000000-7DE5-4C80-88C2-8883D43A6331}"/>
            </c:ext>
          </c:extLst>
        </c:ser>
        <c:ser>
          <c:idx val="6"/>
          <c:order val="1"/>
          <c:tx>
            <c:v>Right 3</c:v>
          </c:tx>
          <c:spPr>
            <a:ln w="19050">
              <a:solidFill>
                <a:srgbClr val="00B050"/>
              </a:solidFill>
            </a:ln>
          </c:spPr>
          <c:marker>
            <c:symbol val="none"/>
          </c:marker>
          <c:xVal>
            <c:numRef>
              <c:f>'Right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3 Kin'!$AA$2:$AA$102</c:f>
              <c:numCache>
                <c:formatCode>General</c:formatCode>
                <c:ptCount val="101"/>
                <c:pt idx="0">
                  <c:v>-270.34999999999962</c:v>
                </c:pt>
                <c:pt idx="1">
                  <c:v>-275.03324999999973</c:v>
                </c:pt>
                <c:pt idx="2">
                  <c:v>-279.71649999999971</c:v>
                </c:pt>
                <c:pt idx="3">
                  <c:v>-284.39974999999981</c:v>
                </c:pt>
                <c:pt idx="4">
                  <c:v>-289.25049999999987</c:v>
                </c:pt>
                <c:pt idx="5">
                  <c:v>-295.02249999999998</c:v>
                </c:pt>
                <c:pt idx="6">
                  <c:v>-300.7945000000002</c:v>
                </c:pt>
                <c:pt idx="7">
                  <c:v>-306.56650000000042</c:v>
                </c:pt>
                <c:pt idx="8">
                  <c:v>-312.8875000000005</c:v>
                </c:pt>
                <c:pt idx="9">
                  <c:v>-320.44375000000042</c:v>
                </c:pt>
                <c:pt idx="10">
                  <c:v>-328.0000000000004</c:v>
                </c:pt>
                <c:pt idx="11">
                  <c:v>-335.55625000000032</c:v>
                </c:pt>
                <c:pt idx="12">
                  <c:v>-344.44450000000018</c:v>
                </c:pt>
                <c:pt idx="13">
                  <c:v>-354.88675000000012</c:v>
                </c:pt>
                <c:pt idx="14">
                  <c:v>-365.32900000000012</c:v>
                </c:pt>
                <c:pt idx="15">
                  <c:v>-375.77125000000001</c:v>
                </c:pt>
                <c:pt idx="16">
                  <c:v>-388.45549999999992</c:v>
                </c:pt>
                <c:pt idx="17">
                  <c:v>-402.54099999999988</c:v>
                </c:pt>
                <c:pt idx="18">
                  <c:v>-416.62649999999991</c:v>
                </c:pt>
                <c:pt idx="19">
                  <c:v>-430.71199999999982</c:v>
                </c:pt>
                <c:pt idx="20">
                  <c:v>-447.46249999999981</c:v>
                </c:pt>
                <c:pt idx="21">
                  <c:v>-465.01249999999982</c:v>
                </c:pt>
                <c:pt idx="22">
                  <c:v>-482.56249999999977</c:v>
                </c:pt>
                <c:pt idx="23">
                  <c:v>-500.11249999999973</c:v>
                </c:pt>
                <c:pt idx="24">
                  <c:v>-519.62149999999974</c:v>
                </c:pt>
                <c:pt idx="25">
                  <c:v>-539.29374999999993</c:v>
                </c:pt>
                <c:pt idx="26">
                  <c:v>-558.96600000000001</c:v>
                </c:pt>
                <c:pt idx="27">
                  <c:v>-578.63325000000009</c:v>
                </c:pt>
                <c:pt idx="28">
                  <c:v>-598.24050000000011</c:v>
                </c:pt>
                <c:pt idx="29">
                  <c:v>-617.84775000000025</c:v>
                </c:pt>
                <c:pt idx="30">
                  <c:v>-637.45500000000027</c:v>
                </c:pt>
                <c:pt idx="31">
                  <c:v>-656.50725000000034</c:v>
                </c:pt>
                <c:pt idx="32">
                  <c:v>-673.70950000000016</c:v>
                </c:pt>
                <c:pt idx="33">
                  <c:v>-690.91175000000021</c:v>
                </c:pt>
                <c:pt idx="34">
                  <c:v>-708.11400000000003</c:v>
                </c:pt>
                <c:pt idx="35">
                  <c:v>-723.70625000000007</c:v>
                </c:pt>
                <c:pt idx="36">
                  <c:v>-736.72250000000008</c:v>
                </c:pt>
                <c:pt idx="37">
                  <c:v>-749.7387500000001</c:v>
                </c:pt>
                <c:pt idx="38">
                  <c:v>-762.75500000000011</c:v>
                </c:pt>
                <c:pt idx="39">
                  <c:v>-773.09375</c:v>
                </c:pt>
                <c:pt idx="40">
                  <c:v>-781.13750000000005</c:v>
                </c:pt>
                <c:pt idx="41">
                  <c:v>-789.18124999999986</c:v>
                </c:pt>
                <c:pt idx="42">
                  <c:v>-797.22499999999991</c:v>
                </c:pt>
                <c:pt idx="43">
                  <c:v>-801.97092499999985</c:v>
                </c:pt>
                <c:pt idx="44">
                  <c:v>-805.25114999999994</c:v>
                </c:pt>
                <c:pt idx="45">
                  <c:v>-808.53137499999991</c:v>
                </c:pt>
                <c:pt idx="46">
                  <c:v>-811.8116</c:v>
                </c:pt>
                <c:pt idx="47">
                  <c:v>-811.71757500000001</c:v>
                </c:pt>
                <c:pt idx="48">
                  <c:v>-811.01004999999998</c:v>
                </c:pt>
                <c:pt idx="49">
                  <c:v>-810.30252500000006</c:v>
                </c:pt>
                <c:pt idx="50">
                  <c:v>-809.59500000000003</c:v>
                </c:pt>
                <c:pt idx="51">
                  <c:v>-805.72327500000006</c:v>
                </c:pt>
                <c:pt idx="52">
                  <c:v>-801.85154999999997</c:v>
                </c:pt>
                <c:pt idx="53">
                  <c:v>-797.97982500000001</c:v>
                </c:pt>
                <c:pt idx="54">
                  <c:v>-793.70245</c:v>
                </c:pt>
                <c:pt idx="55">
                  <c:v>-787.19399999999996</c:v>
                </c:pt>
                <c:pt idx="56">
                  <c:v>-780.68554999999992</c:v>
                </c:pt>
                <c:pt idx="57">
                  <c:v>-774.17709999999988</c:v>
                </c:pt>
                <c:pt idx="58">
                  <c:v>-766.89594999999986</c:v>
                </c:pt>
                <c:pt idx="59">
                  <c:v>-757.87622499999986</c:v>
                </c:pt>
                <c:pt idx="60">
                  <c:v>-748.85649999999987</c:v>
                </c:pt>
                <c:pt idx="61">
                  <c:v>-739.83677499999988</c:v>
                </c:pt>
                <c:pt idx="62">
                  <c:v>-729.58734999999979</c:v>
                </c:pt>
                <c:pt idx="63">
                  <c:v>-717.90327499999989</c:v>
                </c:pt>
                <c:pt idx="64">
                  <c:v>-706.21919999999989</c:v>
                </c:pt>
                <c:pt idx="65">
                  <c:v>-694.53512499999999</c:v>
                </c:pt>
                <c:pt idx="66">
                  <c:v>-681.06544999999983</c:v>
                </c:pt>
                <c:pt idx="67">
                  <c:v>-666.4797749999999</c:v>
                </c:pt>
                <c:pt idx="68">
                  <c:v>-651.89409999999998</c:v>
                </c:pt>
                <c:pt idx="69">
                  <c:v>-637.30842499999994</c:v>
                </c:pt>
                <c:pt idx="70">
                  <c:v>-620.375</c:v>
                </c:pt>
                <c:pt idx="71">
                  <c:v>-602.73724999999979</c:v>
                </c:pt>
                <c:pt idx="72">
                  <c:v>-585.09949999999992</c:v>
                </c:pt>
                <c:pt idx="73">
                  <c:v>-567.46174999999994</c:v>
                </c:pt>
                <c:pt idx="74">
                  <c:v>-547.04959999999983</c:v>
                </c:pt>
                <c:pt idx="75">
                  <c:v>-526.40624999999989</c:v>
                </c:pt>
                <c:pt idx="76">
                  <c:v>-505.7629</c:v>
                </c:pt>
                <c:pt idx="77">
                  <c:v>-484.91234999999978</c:v>
                </c:pt>
                <c:pt idx="78">
                  <c:v>-461.57539999999977</c:v>
                </c:pt>
                <c:pt idx="79">
                  <c:v>-438.23844999999989</c:v>
                </c:pt>
                <c:pt idx="80">
                  <c:v>-414.90149999999971</c:v>
                </c:pt>
                <c:pt idx="81">
                  <c:v>-391.09549999999979</c:v>
                </c:pt>
                <c:pt idx="82">
                  <c:v>-365.72599999999989</c:v>
                </c:pt>
                <c:pt idx="83">
                  <c:v>-340.35649999999958</c:v>
                </c:pt>
                <c:pt idx="84">
                  <c:v>-314.9869999999998</c:v>
                </c:pt>
                <c:pt idx="85">
                  <c:v>-289.25124999999952</c:v>
                </c:pt>
                <c:pt idx="86">
                  <c:v>-262.92949999999968</c:v>
                </c:pt>
                <c:pt idx="87">
                  <c:v>-236.6077499999999</c:v>
                </c:pt>
                <c:pt idx="88">
                  <c:v>-210.28599999999969</c:v>
                </c:pt>
                <c:pt idx="89">
                  <c:v>-184.25649999999979</c:v>
                </c:pt>
                <c:pt idx="90">
                  <c:v>-158.47749999999999</c:v>
                </c:pt>
                <c:pt idx="91">
                  <c:v>-132.69849999999991</c:v>
                </c:pt>
                <c:pt idx="92">
                  <c:v>-106.9195000000001</c:v>
                </c:pt>
                <c:pt idx="93">
                  <c:v>-82.762750000000167</c:v>
                </c:pt>
                <c:pt idx="94">
                  <c:v>-59.326999999999899</c:v>
                </c:pt>
                <c:pt idx="95">
                  <c:v>-35.891249999999957</c:v>
                </c:pt>
                <c:pt idx="96">
                  <c:v>-12.455500000000031</c:v>
                </c:pt>
                <c:pt idx="97">
                  <c:v>7.4602500000001939</c:v>
                </c:pt>
                <c:pt idx="98">
                  <c:v>26.736000000000089</c:v>
                </c:pt>
                <c:pt idx="99">
                  <c:v>46.011750000000262</c:v>
                </c:pt>
                <c:pt idx="100">
                  <c:v>65.287500000000165</c:v>
                </c:pt>
              </c:numCache>
            </c:numRef>
          </c:yVal>
          <c:smooth val="1"/>
          <c:extLst>
            <c:ext xmlns:c16="http://schemas.microsoft.com/office/drawing/2014/chart" uri="{C3380CC4-5D6E-409C-BE32-E72D297353CC}">
              <c16:uniqueId val="{00000004-A7A3-4C7D-A3C6-B7F481CE633C}"/>
            </c:ext>
          </c:extLst>
        </c:ser>
        <c:ser>
          <c:idx val="5"/>
          <c:order val="2"/>
          <c:tx>
            <c:v>Right 2</c:v>
          </c:tx>
          <c:spPr>
            <a:ln w="19050">
              <a:solidFill>
                <a:srgbClr val="00B050"/>
              </a:solidFill>
            </a:ln>
          </c:spPr>
          <c:marker>
            <c:symbol val="none"/>
          </c:marker>
          <c:xVal>
            <c:numRef>
              <c:f>'Right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2 Kin'!$AA$2:$AA$102</c:f>
              <c:numCache>
                <c:formatCode>General</c:formatCode>
                <c:ptCount val="101"/>
                <c:pt idx="0">
                  <c:v>-308.3625000000003</c:v>
                </c:pt>
                <c:pt idx="1">
                  <c:v>-313.13475000000022</c:v>
                </c:pt>
                <c:pt idx="2">
                  <c:v>-317.9070000000001</c:v>
                </c:pt>
                <c:pt idx="3">
                  <c:v>-322.67925000000002</c:v>
                </c:pt>
                <c:pt idx="4">
                  <c:v>-327.99149999999997</c:v>
                </c:pt>
                <c:pt idx="5">
                  <c:v>-334.58624999999989</c:v>
                </c:pt>
                <c:pt idx="6">
                  <c:v>-341.18099999999993</c:v>
                </c:pt>
                <c:pt idx="7">
                  <c:v>-347.7757499999999</c:v>
                </c:pt>
                <c:pt idx="8">
                  <c:v>-355.25449999999978</c:v>
                </c:pt>
                <c:pt idx="9">
                  <c:v>-363.34099999999972</c:v>
                </c:pt>
                <c:pt idx="10">
                  <c:v>-371.4274999999995</c:v>
                </c:pt>
                <c:pt idx="11">
                  <c:v>-379.51399999999938</c:v>
                </c:pt>
                <c:pt idx="12">
                  <c:v>-388.57249999999948</c:v>
                </c:pt>
                <c:pt idx="13">
                  <c:v>-397.75249999999971</c:v>
                </c:pt>
                <c:pt idx="14">
                  <c:v>-406.93249999999989</c:v>
                </c:pt>
                <c:pt idx="15">
                  <c:v>-416.23312500000009</c:v>
                </c:pt>
                <c:pt idx="16">
                  <c:v>-426.06450000000018</c:v>
                </c:pt>
                <c:pt idx="17">
                  <c:v>-435.89587500000027</c:v>
                </c:pt>
                <c:pt idx="18">
                  <c:v>-445.72725000000042</c:v>
                </c:pt>
                <c:pt idx="19">
                  <c:v>-455.65775000000042</c:v>
                </c:pt>
                <c:pt idx="20">
                  <c:v>-465.69500000000028</c:v>
                </c:pt>
                <c:pt idx="21">
                  <c:v>-475.73225000000008</c:v>
                </c:pt>
                <c:pt idx="22">
                  <c:v>-485.76950000000011</c:v>
                </c:pt>
                <c:pt idx="23">
                  <c:v>-495.63087499999989</c:v>
                </c:pt>
                <c:pt idx="24">
                  <c:v>-505.44199999999978</c:v>
                </c:pt>
                <c:pt idx="25">
                  <c:v>-515.25312499999973</c:v>
                </c:pt>
                <c:pt idx="26">
                  <c:v>-525.01949999999965</c:v>
                </c:pt>
                <c:pt idx="27">
                  <c:v>-534.22649999999976</c:v>
                </c:pt>
                <c:pt idx="28">
                  <c:v>-543.43349999999987</c:v>
                </c:pt>
                <c:pt idx="29">
                  <c:v>-552.64050000000009</c:v>
                </c:pt>
                <c:pt idx="30">
                  <c:v>-561.50875000000008</c:v>
                </c:pt>
                <c:pt idx="31">
                  <c:v>-569.80112500000007</c:v>
                </c:pt>
                <c:pt idx="32">
                  <c:v>-578.09350000000006</c:v>
                </c:pt>
                <c:pt idx="33">
                  <c:v>-586.38587500000017</c:v>
                </c:pt>
                <c:pt idx="34">
                  <c:v>-593.89975000000004</c:v>
                </c:pt>
                <c:pt idx="35">
                  <c:v>-601.02437499999996</c:v>
                </c:pt>
                <c:pt idx="36">
                  <c:v>-608.14899999999989</c:v>
                </c:pt>
                <c:pt idx="37">
                  <c:v>-615.27362499999981</c:v>
                </c:pt>
                <c:pt idx="38">
                  <c:v>-621.11124999999981</c:v>
                </c:pt>
                <c:pt idx="39">
                  <c:v>-626.89937499999996</c:v>
                </c:pt>
                <c:pt idx="40">
                  <c:v>-632.6875</c:v>
                </c:pt>
                <c:pt idx="41">
                  <c:v>-638.09850000000006</c:v>
                </c:pt>
                <c:pt idx="42">
                  <c:v>-642.43200000000002</c:v>
                </c:pt>
                <c:pt idx="43">
                  <c:v>-646.76549999999997</c:v>
                </c:pt>
                <c:pt idx="44">
                  <c:v>-651.09900000000005</c:v>
                </c:pt>
                <c:pt idx="45">
                  <c:v>-654.56062499999996</c:v>
                </c:pt>
                <c:pt idx="46">
                  <c:v>-657.32474999999999</c:v>
                </c:pt>
                <c:pt idx="47">
                  <c:v>-660.08887500000003</c:v>
                </c:pt>
                <c:pt idx="48">
                  <c:v>-662.85300000000007</c:v>
                </c:pt>
                <c:pt idx="49">
                  <c:v>-664.18623750000006</c:v>
                </c:pt>
                <c:pt idx="50">
                  <c:v>-665.270625</c:v>
                </c:pt>
                <c:pt idx="51">
                  <c:v>-666.35501249999993</c:v>
                </c:pt>
                <c:pt idx="52">
                  <c:v>-667.17084999999997</c:v>
                </c:pt>
                <c:pt idx="53">
                  <c:v>-666.44252499999993</c:v>
                </c:pt>
                <c:pt idx="54">
                  <c:v>-665.71419999999989</c:v>
                </c:pt>
                <c:pt idx="55">
                  <c:v>-664.98587499999985</c:v>
                </c:pt>
                <c:pt idx="56">
                  <c:v>-663.37554999999986</c:v>
                </c:pt>
                <c:pt idx="57">
                  <c:v>-660.66272499999991</c:v>
                </c:pt>
                <c:pt idx="58">
                  <c:v>-657.94989999999996</c:v>
                </c:pt>
                <c:pt idx="59">
                  <c:v>-655.237075</c:v>
                </c:pt>
                <c:pt idx="60">
                  <c:v>-650.91740000000004</c:v>
                </c:pt>
                <c:pt idx="61">
                  <c:v>-646.03532749999999</c:v>
                </c:pt>
                <c:pt idx="62">
                  <c:v>-641.15325499999994</c:v>
                </c:pt>
                <c:pt idx="63">
                  <c:v>-636.18477999999993</c:v>
                </c:pt>
                <c:pt idx="64">
                  <c:v>-628.96983999999998</c:v>
                </c:pt>
                <c:pt idx="65">
                  <c:v>-621.75490000000002</c:v>
                </c:pt>
                <c:pt idx="66">
                  <c:v>-614.53995999999995</c:v>
                </c:pt>
                <c:pt idx="67">
                  <c:v>-606.51547000000005</c:v>
                </c:pt>
                <c:pt idx="68">
                  <c:v>-596.87188000000003</c:v>
                </c:pt>
                <c:pt idx="69">
                  <c:v>-587.2282899999999</c:v>
                </c:pt>
                <c:pt idx="70">
                  <c:v>-577.5847</c:v>
                </c:pt>
                <c:pt idx="71">
                  <c:v>-566.4309149999998</c:v>
                </c:pt>
                <c:pt idx="72">
                  <c:v>-554.38877999999988</c:v>
                </c:pt>
                <c:pt idx="73">
                  <c:v>-542.34664499999997</c:v>
                </c:pt>
                <c:pt idx="74">
                  <c:v>-530.30450999999994</c:v>
                </c:pt>
                <c:pt idx="75">
                  <c:v>-516.23312499999997</c:v>
                </c:pt>
                <c:pt idx="76">
                  <c:v>-501.99939999999998</c:v>
                </c:pt>
                <c:pt idx="77">
                  <c:v>-487.76567499999987</c:v>
                </c:pt>
                <c:pt idx="78">
                  <c:v>-473.13504999999998</c:v>
                </c:pt>
                <c:pt idx="79">
                  <c:v>-457.115275</c:v>
                </c:pt>
                <c:pt idx="80">
                  <c:v>-441.09549999999979</c:v>
                </c:pt>
                <c:pt idx="81">
                  <c:v>-425.07572499999969</c:v>
                </c:pt>
                <c:pt idx="82">
                  <c:v>-408.43347499999987</c:v>
                </c:pt>
                <c:pt idx="83">
                  <c:v>-391.21321249999983</c:v>
                </c:pt>
                <c:pt idx="84">
                  <c:v>-373.99295000000001</c:v>
                </c:pt>
                <c:pt idx="85">
                  <c:v>-356.77268749999979</c:v>
                </c:pt>
                <c:pt idx="86">
                  <c:v>-339.154225</c:v>
                </c:pt>
                <c:pt idx="87">
                  <c:v>-321.44526250000013</c:v>
                </c:pt>
                <c:pt idx="88">
                  <c:v>-303.73629999999991</c:v>
                </c:pt>
                <c:pt idx="89">
                  <c:v>-286.057525</c:v>
                </c:pt>
                <c:pt idx="90">
                  <c:v>-268.62025000000011</c:v>
                </c:pt>
                <c:pt idx="91">
                  <c:v>-251.18297499999991</c:v>
                </c:pt>
                <c:pt idx="92">
                  <c:v>-233.74569999999991</c:v>
                </c:pt>
                <c:pt idx="93">
                  <c:v>-216.70525000000001</c:v>
                </c:pt>
                <c:pt idx="94">
                  <c:v>-200.24199999999979</c:v>
                </c:pt>
                <c:pt idx="95">
                  <c:v>-183.77874999999989</c:v>
                </c:pt>
                <c:pt idx="96">
                  <c:v>-167.31549999999999</c:v>
                </c:pt>
                <c:pt idx="97">
                  <c:v>-151.95187499999989</c:v>
                </c:pt>
                <c:pt idx="98">
                  <c:v>-137.05125000000001</c:v>
                </c:pt>
                <c:pt idx="99">
                  <c:v>-122.15062499999981</c:v>
                </c:pt>
                <c:pt idx="100">
                  <c:v>-107.2499999999998</c:v>
                </c:pt>
              </c:numCache>
            </c:numRef>
          </c:yVal>
          <c:smooth val="1"/>
          <c:extLst>
            <c:ext xmlns:c16="http://schemas.microsoft.com/office/drawing/2014/chart" uri="{C3380CC4-5D6E-409C-BE32-E72D297353CC}">
              <c16:uniqueId val="{00000003-A7A3-4C7D-A3C6-B7F481CE633C}"/>
            </c:ext>
          </c:extLst>
        </c:ser>
        <c:ser>
          <c:idx val="4"/>
          <c:order val="3"/>
          <c:tx>
            <c:v>Right 1</c:v>
          </c:tx>
          <c:spPr>
            <a:ln w="19050">
              <a:solidFill>
                <a:srgbClr val="00B050"/>
              </a:solidFill>
            </a:ln>
          </c:spPr>
          <c:marker>
            <c:symbol val="none"/>
          </c:marker>
          <c:xVal>
            <c:numRef>
              <c:f>'Right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1 Kin'!$AA$2:$AA$102</c:f>
              <c:numCache>
                <c:formatCode>General</c:formatCode>
                <c:ptCount val="101"/>
                <c:pt idx="0">
                  <c:v>-298.77499999999998</c:v>
                </c:pt>
                <c:pt idx="1">
                  <c:v>-297.16187500000012</c:v>
                </c:pt>
                <c:pt idx="2">
                  <c:v>-295.54874999999998</c:v>
                </c:pt>
                <c:pt idx="3">
                  <c:v>-293.93562500000007</c:v>
                </c:pt>
                <c:pt idx="4">
                  <c:v>-293.2505000000001</c:v>
                </c:pt>
                <c:pt idx="5">
                  <c:v>-293.31937499999998</c:v>
                </c:pt>
                <c:pt idx="6">
                  <c:v>-293.38825000000003</c:v>
                </c:pt>
                <c:pt idx="7">
                  <c:v>-293.63225</c:v>
                </c:pt>
                <c:pt idx="8">
                  <c:v>-295.39400000000001</c:v>
                </c:pt>
                <c:pt idx="9">
                  <c:v>-297.15575000000001</c:v>
                </c:pt>
                <c:pt idx="10">
                  <c:v>-298.91750000000002</c:v>
                </c:pt>
                <c:pt idx="11">
                  <c:v>-301.78837499999992</c:v>
                </c:pt>
                <c:pt idx="12">
                  <c:v>-305.24299999999971</c:v>
                </c:pt>
                <c:pt idx="13">
                  <c:v>-308.6976249999995</c:v>
                </c:pt>
                <c:pt idx="14">
                  <c:v>-312.49349999999941</c:v>
                </c:pt>
                <c:pt idx="15">
                  <c:v>-317.59749999999963</c:v>
                </c:pt>
                <c:pt idx="16">
                  <c:v>-322.70149999999978</c:v>
                </c:pt>
                <c:pt idx="17">
                  <c:v>-327.80549999999999</c:v>
                </c:pt>
                <c:pt idx="18">
                  <c:v>-334.08925000000011</c:v>
                </c:pt>
                <c:pt idx="19">
                  <c:v>-340.74837500000018</c:v>
                </c:pt>
                <c:pt idx="20">
                  <c:v>-347.40750000000031</c:v>
                </c:pt>
                <c:pt idx="21">
                  <c:v>-354.49862500000017</c:v>
                </c:pt>
                <c:pt idx="22">
                  <c:v>-362.54975000000019</c:v>
                </c:pt>
                <c:pt idx="23">
                  <c:v>-370.60087500000009</c:v>
                </c:pt>
                <c:pt idx="24">
                  <c:v>-378.65199999999999</c:v>
                </c:pt>
                <c:pt idx="25">
                  <c:v>-387.70312500000011</c:v>
                </c:pt>
                <c:pt idx="26">
                  <c:v>-396.9142500000001</c:v>
                </c:pt>
                <c:pt idx="27">
                  <c:v>-406.12537500000008</c:v>
                </c:pt>
                <c:pt idx="28">
                  <c:v>-415.70550000000009</c:v>
                </c:pt>
                <c:pt idx="29">
                  <c:v>-425.80837500000018</c:v>
                </c:pt>
                <c:pt idx="30">
                  <c:v>-435.91125000000022</c:v>
                </c:pt>
                <c:pt idx="31">
                  <c:v>-446.01412500000021</c:v>
                </c:pt>
                <c:pt idx="32">
                  <c:v>-456.68750000000011</c:v>
                </c:pt>
                <c:pt idx="33">
                  <c:v>-467.38125000000002</c:v>
                </c:pt>
                <c:pt idx="34">
                  <c:v>-478.07499999999987</c:v>
                </c:pt>
                <c:pt idx="35">
                  <c:v>-488.91687499999989</c:v>
                </c:pt>
                <c:pt idx="36">
                  <c:v>-499.89699999999982</c:v>
                </c:pt>
                <c:pt idx="37">
                  <c:v>-510.87712499999981</c:v>
                </c:pt>
                <c:pt idx="38">
                  <c:v>-521.85649999999964</c:v>
                </c:pt>
                <c:pt idx="39">
                  <c:v>-532.82574999999974</c:v>
                </c:pt>
                <c:pt idx="40">
                  <c:v>-543.79499999999985</c:v>
                </c:pt>
                <c:pt idx="41">
                  <c:v>-554.76424999999983</c:v>
                </c:pt>
                <c:pt idx="42">
                  <c:v>-565.54674999999986</c:v>
                </c:pt>
                <c:pt idx="43">
                  <c:v>-576.21512500000006</c:v>
                </c:pt>
                <c:pt idx="44">
                  <c:v>-586.88350000000025</c:v>
                </c:pt>
                <c:pt idx="45">
                  <c:v>-597.44937500000026</c:v>
                </c:pt>
                <c:pt idx="46">
                  <c:v>-607.5232500000003</c:v>
                </c:pt>
                <c:pt idx="47">
                  <c:v>-617.59712500000023</c:v>
                </c:pt>
                <c:pt idx="48">
                  <c:v>-627.67100000000016</c:v>
                </c:pt>
                <c:pt idx="49">
                  <c:v>-637.0702500000001</c:v>
                </c:pt>
                <c:pt idx="50">
                  <c:v>-646.21249999999998</c:v>
                </c:pt>
                <c:pt idx="51">
                  <c:v>-655.35474999999997</c:v>
                </c:pt>
                <c:pt idx="52">
                  <c:v>-664.12999999999977</c:v>
                </c:pt>
                <c:pt idx="53">
                  <c:v>-671.94187499999975</c:v>
                </c:pt>
                <c:pt idx="54">
                  <c:v>-679.75374999999985</c:v>
                </c:pt>
                <c:pt idx="55">
                  <c:v>-687.56562499999984</c:v>
                </c:pt>
                <c:pt idx="56">
                  <c:v>-693.87119999999982</c:v>
                </c:pt>
                <c:pt idx="57">
                  <c:v>-699.86296249999998</c:v>
                </c:pt>
                <c:pt idx="58">
                  <c:v>-705.85472500000003</c:v>
                </c:pt>
                <c:pt idx="59">
                  <c:v>-710.93307500000014</c:v>
                </c:pt>
                <c:pt idx="60">
                  <c:v>-714.51675000000012</c:v>
                </c:pt>
                <c:pt idx="61">
                  <c:v>-718.10042500000009</c:v>
                </c:pt>
                <c:pt idx="62">
                  <c:v>-721.68410000000006</c:v>
                </c:pt>
                <c:pt idx="63">
                  <c:v>-722.4358125</c:v>
                </c:pt>
                <c:pt idx="64">
                  <c:v>-722.97775000000001</c:v>
                </c:pt>
                <c:pt idx="65">
                  <c:v>-723.51968749999992</c:v>
                </c:pt>
                <c:pt idx="66">
                  <c:v>-722.29867499999989</c:v>
                </c:pt>
                <c:pt idx="67">
                  <c:v>-719.18878749999999</c:v>
                </c:pt>
                <c:pt idx="68">
                  <c:v>-716.07889999999998</c:v>
                </c:pt>
                <c:pt idx="69">
                  <c:v>-712.82698749999997</c:v>
                </c:pt>
                <c:pt idx="70">
                  <c:v>-705.59837500000003</c:v>
                </c:pt>
                <c:pt idx="71">
                  <c:v>-698.36976249999998</c:v>
                </c:pt>
                <c:pt idx="72">
                  <c:v>-691.14114999999993</c:v>
                </c:pt>
                <c:pt idx="73">
                  <c:v>-681.37528750000001</c:v>
                </c:pt>
                <c:pt idx="74">
                  <c:v>-669.81842499999993</c:v>
                </c:pt>
                <c:pt idx="75">
                  <c:v>-658.26156249999997</c:v>
                </c:pt>
                <c:pt idx="76">
                  <c:v>-646.12760000000003</c:v>
                </c:pt>
                <c:pt idx="77">
                  <c:v>-630.38676249999992</c:v>
                </c:pt>
                <c:pt idx="78">
                  <c:v>-614.64592500000003</c:v>
                </c:pt>
                <c:pt idx="79">
                  <c:v>-598.90508750000015</c:v>
                </c:pt>
                <c:pt idx="80">
                  <c:v>-580.64474999999993</c:v>
                </c:pt>
                <c:pt idx="81">
                  <c:v>-561.25063750000004</c:v>
                </c:pt>
                <c:pt idx="82">
                  <c:v>-541.85652500000015</c:v>
                </c:pt>
                <c:pt idx="83">
                  <c:v>-521.79049999999984</c:v>
                </c:pt>
                <c:pt idx="84">
                  <c:v>-499.61274999999989</c:v>
                </c:pt>
                <c:pt idx="85">
                  <c:v>-477.43499999999972</c:v>
                </c:pt>
                <c:pt idx="86">
                  <c:v>-455.25724999999977</c:v>
                </c:pt>
                <c:pt idx="87">
                  <c:v>-431.76706249999989</c:v>
                </c:pt>
                <c:pt idx="88">
                  <c:v>-407.93449999999967</c:v>
                </c:pt>
                <c:pt idx="89">
                  <c:v>-384.10193749999979</c:v>
                </c:pt>
                <c:pt idx="90">
                  <c:v>-360.12374999999997</c:v>
                </c:pt>
                <c:pt idx="91">
                  <c:v>-335.86887499999978</c:v>
                </c:pt>
                <c:pt idx="92">
                  <c:v>-311.61399999999998</c:v>
                </c:pt>
                <c:pt idx="93">
                  <c:v>-287.35912500000012</c:v>
                </c:pt>
                <c:pt idx="94">
                  <c:v>-263.79974999999979</c:v>
                </c:pt>
                <c:pt idx="95">
                  <c:v>-240.32062499999989</c:v>
                </c:pt>
                <c:pt idx="96">
                  <c:v>-216.8415</c:v>
                </c:pt>
                <c:pt idx="97">
                  <c:v>-194.19274999999979</c:v>
                </c:pt>
                <c:pt idx="98">
                  <c:v>-172.56599999999989</c:v>
                </c:pt>
                <c:pt idx="99">
                  <c:v>-150.93924999999979</c:v>
                </c:pt>
                <c:pt idx="100">
                  <c:v>-129.31249999999989</c:v>
                </c:pt>
              </c:numCache>
            </c:numRef>
          </c:yVal>
          <c:smooth val="1"/>
          <c:extLst>
            <c:ext xmlns:c16="http://schemas.microsoft.com/office/drawing/2014/chart" uri="{C3380CC4-5D6E-409C-BE32-E72D297353CC}">
              <c16:uniqueId val="{00000002-A7A3-4C7D-A3C6-B7F481CE633C}"/>
            </c:ext>
          </c:extLst>
        </c:ser>
        <c:ser>
          <c:idx val="3"/>
          <c:order val="4"/>
          <c:tx>
            <c:v>Left 3</c:v>
          </c:tx>
          <c:spPr>
            <a:ln w="19050">
              <a:solidFill>
                <a:srgbClr val="FF0000"/>
              </a:solidFill>
            </a:ln>
          </c:spPr>
          <c:marker>
            <c:symbol val="none"/>
          </c:marker>
          <c:xVal>
            <c:numRef>
              <c:f>'Left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3 Kin'!$AA$2:$AA$102</c:f>
              <c:numCache>
                <c:formatCode>General</c:formatCode>
                <c:ptCount val="101"/>
                <c:pt idx="0">
                  <c:v>-323.91249999999962</c:v>
                </c:pt>
                <c:pt idx="1">
                  <c:v>-334.59524999999979</c:v>
                </c:pt>
                <c:pt idx="2">
                  <c:v>-345.27800000000002</c:v>
                </c:pt>
                <c:pt idx="3">
                  <c:v>-355.96075000000008</c:v>
                </c:pt>
                <c:pt idx="4">
                  <c:v>-366.54250000000019</c:v>
                </c:pt>
                <c:pt idx="5">
                  <c:v>-376.56875000000002</c:v>
                </c:pt>
                <c:pt idx="6">
                  <c:v>-386.59499999999991</c:v>
                </c:pt>
                <c:pt idx="7">
                  <c:v>-396.62124999999969</c:v>
                </c:pt>
                <c:pt idx="8">
                  <c:v>-406.36549999999971</c:v>
                </c:pt>
                <c:pt idx="9">
                  <c:v>-415.47524999999979</c:v>
                </c:pt>
                <c:pt idx="10">
                  <c:v>-424.58499999999992</c:v>
                </c:pt>
                <c:pt idx="11">
                  <c:v>-433.69475</c:v>
                </c:pt>
                <c:pt idx="12">
                  <c:v>-442.60200000000009</c:v>
                </c:pt>
                <c:pt idx="13">
                  <c:v>-451.27300000000031</c:v>
                </c:pt>
                <c:pt idx="14">
                  <c:v>-459.94400000000041</c:v>
                </c:pt>
                <c:pt idx="15">
                  <c:v>-468.61500000000052</c:v>
                </c:pt>
                <c:pt idx="16">
                  <c:v>-477.59400000000039</c:v>
                </c:pt>
                <c:pt idx="17">
                  <c:v>-486.76550000000032</c:v>
                </c:pt>
                <c:pt idx="18">
                  <c:v>-495.93700000000018</c:v>
                </c:pt>
                <c:pt idx="19">
                  <c:v>-505.10849999999999</c:v>
                </c:pt>
                <c:pt idx="20">
                  <c:v>-515.39</c:v>
                </c:pt>
                <c:pt idx="21">
                  <c:v>-526.00450000000001</c:v>
                </c:pt>
                <c:pt idx="22">
                  <c:v>-536.61900000000003</c:v>
                </c:pt>
                <c:pt idx="23">
                  <c:v>-547.23349999999994</c:v>
                </c:pt>
                <c:pt idx="24">
                  <c:v>-559.65399999999988</c:v>
                </c:pt>
                <c:pt idx="25">
                  <c:v>-572.2249999999998</c:v>
                </c:pt>
                <c:pt idx="26">
                  <c:v>-584.79599999999971</c:v>
                </c:pt>
                <c:pt idx="27">
                  <c:v>-597.50274999999965</c:v>
                </c:pt>
                <c:pt idx="28">
                  <c:v>-611.83849999999973</c:v>
                </c:pt>
                <c:pt idx="29">
                  <c:v>-626.1742499999998</c:v>
                </c:pt>
                <c:pt idx="30">
                  <c:v>-640.50999999999988</c:v>
                </c:pt>
                <c:pt idx="31">
                  <c:v>-655.04750000000001</c:v>
                </c:pt>
                <c:pt idx="32">
                  <c:v>-670.25750000000005</c:v>
                </c:pt>
                <c:pt idx="33">
                  <c:v>-685.4675000000002</c:v>
                </c:pt>
                <c:pt idx="34">
                  <c:v>-700.67750000000024</c:v>
                </c:pt>
                <c:pt idx="35">
                  <c:v>-715.69000000000028</c:v>
                </c:pt>
                <c:pt idx="36">
                  <c:v>-730.38650000000018</c:v>
                </c:pt>
                <c:pt idx="37">
                  <c:v>-745.0830000000002</c:v>
                </c:pt>
                <c:pt idx="38">
                  <c:v>-759.7795000000001</c:v>
                </c:pt>
                <c:pt idx="39">
                  <c:v>-773.37</c:v>
                </c:pt>
                <c:pt idx="40">
                  <c:v>-786.01250000000005</c:v>
                </c:pt>
                <c:pt idx="41">
                  <c:v>-798.65499999999997</c:v>
                </c:pt>
                <c:pt idx="42">
                  <c:v>-811.2974999999999</c:v>
                </c:pt>
                <c:pt idx="43">
                  <c:v>-821.63599999999997</c:v>
                </c:pt>
                <c:pt idx="44">
                  <c:v>-830.95049999999992</c:v>
                </c:pt>
                <c:pt idx="45">
                  <c:v>-840.26499999999987</c:v>
                </c:pt>
                <c:pt idx="46">
                  <c:v>-849.57949999999994</c:v>
                </c:pt>
                <c:pt idx="47">
                  <c:v>-855.46199999999988</c:v>
                </c:pt>
                <c:pt idx="48">
                  <c:v>-860.7204999999999</c:v>
                </c:pt>
                <c:pt idx="49">
                  <c:v>-865.97899999999981</c:v>
                </c:pt>
                <c:pt idx="50">
                  <c:v>-871.23749999999984</c:v>
                </c:pt>
                <c:pt idx="51">
                  <c:v>-872.33729999999991</c:v>
                </c:pt>
                <c:pt idx="52">
                  <c:v>-873.43709999999999</c:v>
                </c:pt>
                <c:pt idx="53">
                  <c:v>-874.53690000000006</c:v>
                </c:pt>
                <c:pt idx="54">
                  <c:v>-875.05270000000007</c:v>
                </c:pt>
                <c:pt idx="55">
                  <c:v>-872.35649999999998</c:v>
                </c:pt>
                <c:pt idx="56">
                  <c:v>-869.66030000000001</c:v>
                </c:pt>
                <c:pt idx="57">
                  <c:v>-866.96410000000003</c:v>
                </c:pt>
                <c:pt idx="58">
                  <c:v>-863.24979999999994</c:v>
                </c:pt>
                <c:pt idx="59">
                  <c:v>-857.244775</c:v>
                </c:pt>
                <c:pt idx="60">
                  <c:v>-851.23974999999996</c:v>
                </c:pt>
                <c:pt idx="61">
                  <c:v>-845.23472500000003</c:v>
                </c:pt>
                <c:pt idx="62">
                  <c:v>-837.83095000000003</c:v>
                </c:pt>
                <c:pt idx="63">
                  <c:v>-828.7953</c:v>
                </c:pt>
                <c:pt idx="64">
                  <c:v>-819.75965000000008</c:v>
                </c:pt>
                <c:pt idx="65">
                  <c:v>-810.72400000000005</c:v>
                </c:pt>
                <c:pt idx="66">
                  <c:v>-799.73534999999993</c:v>
                </c:pt>
                <c:pt idx="67">
                  <c:v>-787.52607499999999</c:v>
                </c:pt>
                <c:pt idx="68">
                  <c:v>-775.31680000000006</c:v>
                </c:pt>
                <c:pt idx="69">
                  <c:v>-763.1075249999999</c:v>
                </c:pt>
                <c:pt idx="70">
                  <c:v>-748.05549999999994</c:v>
                </c:pt>
                <c:pt idx="71">
                  <c:v>-732.15064999999981</c:v>
                </c:pt>
                <c:pt idx="72">
                  <c:v>-716.2457999999998</c:v>
                </c:pt>
                <c:pt idx="73">
                  <c:v>-700.34094999999991</c:v>
                </c:pt>
                <c:pt idx="74">
                  <c:v>-680.48599999999976</c:v>
                </c:pt>
                <c:pt idx="75">
                  <c:v>-660.30187499999988</c:v>
                </c:pt>
                <c:pt idx="76">
                  <c:v>-640.11775</c:v>
                </c:pt>
                <c:pt idx="77">
                  <c:v>-619.58974999999975</c:v>
                </c:pt>
                <c:pt idx="78">
                  <c:v>-594.93524999999988</c:v>
                </c:pt>
                <c:pt idx="79">
                  <c:v>-570.28075000000001</c:v>
                </c:pt>
                <c:pt idx="80">
                  <c:v>-545.6262499999998</c:v>
                </c:pt>
                <c:pt idx="81">
                  <c:v>-520.08187499999997</c:v>
                </c:pt>
                <c:pt idx="82">
                  <c:v>-491.57125000000002</c:v>
                </c:pt>
                <c:pt idx="83">
                  <c:v>-463.06062499999967</c:v>
                </c:pt>
                <c:pt idx="84">
                  <c:v>-434.5499999999999</c:v>
                </c:pt>
                <c:pt idx="85">
                  <c:v>-405.14824999999962</c:v>
                </c:pt>
                <c:pt idx="86">
                  <c:v>-374.32069999999959</c:v>
                </c:pt>
                <c:pt idx="87">
                  <c:v>-343.49314999999979</c:v>
                </c:pt>
                <c:pt idx="88">
                  <c:v>-312.66559999999942</c:v>
                </c:pt>
                <c:pt idx="89">
                  <c:v>-281.78274999999962</c:v>
                </c:pt>
                <c:pt idx="90">
                  <c:v>-250.85249999999999</c:v>
                </c:pt>
                <c:pt idx="91">
                  <c:v>-219.92224999999979</c:v>
                </c:pt>
                <c:pt idx="92">
                  <c:v>-188.9920000000001</c:v>
                </c:pt>
                <c:pt idx="93">
                  <c:v>-159.63900000000029</c:v>
                </c:pt>
                <c:pt idx="94">
                  <c:v>-130.98699999999999</c:v>
                </c:pt>
                <c:pt idx="95">
                  <c:v>-102.33500000000009</c:v>
                </c:pt>
                <c:pt idx="96">
                  <c:v>-73.683000000000249</c:v>
                </c:pt>
                <c:pt idx="97">
                  <c:v>-48.658249999999953</c:v>
                </c:pt>
                <c:pt idx="98">
                  <c:v>-24.293000000000049</c:v>
                </c:pt>
                <c:pt idx="99">
                  <c:v>7.225000000020998E-2</c:v>
                </c:pt>
                <c:pt idx="100">
                  <c:v>24.43750000000011</c:v>
                </c:pt>
              </c:numCache>
            </c:numRef>
          </c:yVal>
          <c:smooth val="1"/>
          <c:extLst>
            <c:ext xmlns:c16="http://schemas.microsoft.com/office/drawing/2014/chart" uri="{C3380CC4-5D6E-409C-BE32-E72D297353CC}">
              <c16:uniqueId val="{00000001-A7A3-4C7D-A3C6-B7F481CE633C}"/>
            </c:ext>
          </c:extLst>
        </c:ser>
        <c:ser>
          <c:idx val="2"/>
          <c:order val="5"/>
          <c:tx>
            <c:v>Left 2</c:v>
          </c:tx>
          <c:spPr>
            <a:ln w="19050">
              <a:solidFill>
                <a:srgbClr val="FF0000"/>
              </a:solidFill>
            </a:ln>
          </c:spPr>
          <c:marker>
            <c:symbol val="none"/>
          </c:marker>
          <c:xVal>
            <c:numRef>
              <c:f>'Left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2 Kin'!$AA$2:$AA$102</c:f>
              <c:numCache>
                <c:formatCode>General</c:formatCode>
                <c:ptCount val="101"/>
                <c:pt idx="0">
                  <c:v>-453.51249999999948</c:v>
                </c:pt>
                <c:pt idx="1">
                  <c:v>-465.05649999999969</c:v>
                </c:pt>
                <c:pt idx="2">
                  <c:v>-476.6004999999999</c:v>
                </c:pt>
                <c:pt idx="3">
                  <c:v>-488.14450000000011</c:v>
                </c:pt>
                <c:pt idx="4">
                  <c:v>-499.6885000000002</c:v>
                </c:pt>
                <c:pt idx="5">
                  <c:v>-510.98500000000041</c:v>
                </c:pt>
                <c:pt idx="6">
                  <c:v>-522.23200000000043</c:v>
                </c:pt>
                <c:pt idx="7">
                  <c:v>-533.4790000000005</c:v>
                </c:pt>
                <c:pt idx="8">
                  <c:v>-544.72600000000068</c:v>
                </c:pt>
                <c:pt idx="9">
                  <c:v>-555.47900000000061</c:v>
                </c:pt>
                <c:pt idx="10">
                  <c:v>-565.98500000000035</c:v>
                </c:pt>
                <c:pt idx="11">
                  <c:v>-576.49100000000021</c:v>
                </c:pt>
                <c:pt idx="12">
                  <c:v>-586.99699999999996</c:v>
                </c:pt>
                <c:pt idx="13">
                  <c:v>-596.95099999999979</c:v>
                </c:pt>
                <c:pt idx="14">
                  <c:v>-606.35299999999984</c:v>
                </c:pt>
                <c:pt idx="15">
                  <c:v>-615.75499999999977</c:v>
                </c:pt>
                <c:pt idx="16">
                  <c:v>-625.1569999999997</c:v>
                </c:pt>
                <c:pt idx="17">
                  <c:v>-634.10699999999963</c:v>
                </c:pt>
                <c:pt idx="18">
                  <c:v>-642.15299999999979</c:v>
                </c:pt>
                <c:pt idx="19">
                  <c:v>-650.19899999999996</c:v>
                </c:pt>
                <c:pt idx="20">
                  <c:v>-658.245</c:v>
                </c:pt>
                <c:pt idx="21">
                  <c:v>-666.04200000000014</c:v>
                </c:pt>
                <c:pt idx="22">
                  <c:v>-672.59400000000016</c:v>
                </c:pt>
                <c:pt idx="23">
                  <c:v>-679.14600000000007</c:v>
                </c:pt>
                <c:pt idx="24">
                  <c:v>-685.69799999999998</c:v>
                </c:pt>
                <c:pt idx="25">
                  <c:v>-692.25</c:v>
                </c:pt>
                <c:pt idx="26">
                  <c:v>-697.28700000000003</c:v>
                </c:pt>
                <c:pt idx="27">
                  <c:v>-702.32399999999996</c:v>
                </c:pt>
                <c:pt idx="28">
                  <c:v>-707.36099999999999</c:v>
                </c:pt>
                <c:pt idx="29">
                  <c:v>-712.39799999999991</c:v>
                </c:pt>
                <c:pt idx="30">
                  <c:v>-716.21749999999997</c:v>
                </c:pt>
                <c:pt idx="31">
                  <c:v>-719.79349999999988</c:v>
                </c:pt>
                <c:pt idx="32">
                  <c:v>-723.3694999999999</c:v>
                </c:pt>
                <c:pt idx="33">
                  <c:v>-726.94549999999981</c:v>
                </c:pt>
                <c:pt idx="34">
                  <c:v>-729.62349999999981</c:v>
                </c:pt>
                <c:pt idx="35">
                  <c:v>-731.85249999999974</c:v>
                </c:pt>
                <c:pt idx="36">
                  <c:v>-734.08149999999978</c:v>
                </c:pt>
                <c:pt idx="37">
                  <c:v>-736.31049999999971</c:v>
                </c:pt>
                <c:pt idx="38">
                  <c:v>-737.93049999999971</c:v>
                </c:pt>
                <c:pt idx="39">
                  <c:v>-738.94149999999979</c:v>
                </c:pt>
                <c:pt idx="40">
                  <c:v>-739.95249999999987</c:v>
                </c:pt>
                <c:pt idx="41">
                  <c:v>-740.96349999999984</c:v>
                </c:pt>
                <c:pt idx="42">
                  <c:v>-741.58879999999999</c:v>
                </c:pt>
                <c:pt idx="43">
                  <c:v>-741.44269999999995</c:v>
                </c:pt>
                <c:pt idx="44">
                  <c:v>-741.29660000000001</c:v>
                </c:pt>
                <c:pt idx="45">
                  <c:v>-741.15050000000008</c:v>
                </c:pt>
                <c:pt idx="46">
                  <c:v>-740.80855000000008</c:v>
                </c:pt>
                <c:pt idx="47">
                  <c:v>-739.48735000000011</c:v>
                </c:pt>
                <c:pt idx="48">
                  <c:v>-738.16615000000002</c:v>
                </c:pt>
                <c:pt idx="49">
                  <c:v>-736.84495000000004</c:v>
                </c:pt>
                <c:pt idx="50">
                  <c:v>-735.52375000000006</c:v>
                </c:pt>
                <c:pt idx="51">
                  <c:v>-732.88345000000004</c:v>
                </c:pt>
                <c:pt idx="52">
                  <c:v>-730.24315000000001</c:v>
                </c:pt>
                <c:pt idx="53">
                  <c:v>-727.60284999999999</c:v>
                </c:pt>
                <c:pt idx="54">
                  <c:v>-724.96254999999996</c:v>
                </c:pt>
                <c:pt idx="55">
                  <c:v>-720.98352499999987</c:v>
                </c:pt>
                <c:pt idx="56">
                  <c:v>-716.7367549999999</c:v>
                </c:pt>
                <c:pt idx="57">
                  <c:v>-712.48998499999993</c:v>
                </c:pt>
                <c:pt idx="58">
                  <c:v>-708.24321499999985</c:v>
                </c:pt>
                <c:pt idx="59">
                  <c:v>-702.67060499999991</c:v>
                </c:pt>
                <c:pt idx="60">
                  <c:v>-696.43507499999987</c:v>
                </c:pt>
                <c:pt idx="61">
                  <c:v>-690.19954499999994</c:v>
                </c:pt>
                <c:pt idx="62">
                  <c:v>-683.9640149999999</c:v>
                </c:pt>
                <c:pt idx="63">
                  <c:v>-676.52398499999993</c:v>
                </c:pt>
                <c:pt idx="64">
                  <c:v>-667.87945500000001</c:v>
                </c:pt>
                <c:pt idx="65">
                  <c:v>-659.23492499999998</c:v>
                </c:pt>
                <c:pt idx="66">
                  <c:v>-650.59039499999994</c:v>
                </c:pt>
                <c:pt idx="67">
                  <c:v>-641.02648499999998</c:v>
                </c:pt>
                <c:pt idx="68">
                  <c:v>-629.62381500000004</c:v>
                </c:pt>
                <c:pt idx="69">
                  <c:v>-618.22114499999998</c:v>
                </c:pt>
                <c:pt idx="70">
                  <c:v>-606.81847500000003</c:v>
                </c:pt>
                <c:pt idx="71">
                  <c:v>-594.9306499999999</c:v>
                </c:pt>
                <c:pt idx="72">
                  <c:v>-580.61704999999995</c:v>
                </c:pt>
                <c:pt idx="73">
                  <c:v>-566.30345</c:v>
                </c:pt>
                <c:pt idx="74">
                  <c:v>-551.98984999999993</c:v>
                </c:pt>
                <c:pt idx="75">
                  <c:v>-537.67624999999998</c:v>
                </c:pt>
                <c:pt idx="76">
                  <c:v>-520.59365000000014</c:v>
                </c:pt>
                <c:pt idx="77">
                  <c:v>-503.51105000000001</c:v>
                </c:pt>
                <c:pt idx="78">
                  <c:v>-486.42845000000011</c:v>
                </c:pt>
                <c:pt idx="79">
                  <c:v>-469.34585000000021</c:v>
                </c:pt>
                <c:pt idx="80">
                  <c:v>-450.36799999999999</c:v>
                </c:pt>
                <c:pt idx="81">
                  <c:v>-431.01110000000011</c:v>
                </c:pt>
                <c:pt idx="82">
                  <c:v>-411.65420000000017</c:v>
                </c:pt>
                <c:pt idx="83">
                  <c:v>-392.29730000000001</c:v>
                </c:pt>
                <c:pt idx="84">
                  <c:v>-371.96980000000002</c:v>
                </c:pt>
                <c:pt idx="85">
                  <c:v>-351.15699999999981</c:v>
                </c:pt>
                <c:pt idx="86">
                  <c:v>-330.34419999999989</c:v>
                </c:pt>
                <c:pt idx="87">
                  <c:v>-309.53140000000002</c:v>
                </c:pt>
                <c:pt idx="88">
                  <c:v>-288.50949999999978</c:v>
                </c:pt>
                <c:pt idx="89">
                  <c:v>-267.27850000000001</c:v>
                </c:pt>
                <c:pt idx="90">
                  <c:v>-246.04750000000021</c:v>
                </c:pt>
                <c:pt idx="91">
                  <c:v>-224.8165000000001</c:v>
                </c:pt>
                <c:pt idx="92">
                  <c:v>-203.81650000000019</c:v>
                </c:pt>
                <c:pt idx="93">
                  <c:v>-183.27850000000029</c:v>
                </c:pt>
                <c:pt idx="94">
                  <c:v>-162.74050000000011</c:v>
                </c:pt>
                <c:pt idx="95">
                  <c:v>-142.2025000000001</c:v>
                </c:pt>
                <c:pt idx="96">
                  <c:v>-121.9490000000002</c:v>
                </c:pt>
                <c:pt idx="97">
                  <c:v>-103.11799999999999</c:v>
                </c:pt>
                <c:pt idx="98">
                  <c:v>-84.287000000000035</c:v>
                </c:pt>
                <c:pt idx="99">
                  <c:v>-65.455999999999847</c:v>
                </c:pt>
                <c:pt idx="100">
                  <c:v>-46.624999999999908</c:v>
                </c:pt>
              </c:numCache>
            </c:numRef>
          </c:yVal>
          <c:smooth val="1"/>
          <c:extLst>
            <c:ext xmlns:c16="http://schemas.microsoft.com/office/drawing/2014/chart" uri="{C3380CC4-5D6E-409C-BE32-E72D297353CC}">
              <c16:uniqueId val="{00000000-A7A3-4C7D-A3C6-B7F481CE633C}"/>
            </c:ext>
          </c:extLst>
        </c:ser>
        <c:ser>
          <c:idx val="0"/>
          <c:order val="6"/>
          <c:tx>
            <c:v>Left 1</c:v>
          </c:tx>
          <c:spPr>
            <a:ln w="19050">
              <a:solidFill>
                <a:srgbClr val="FF0000"/>
              </a:solidFill>
            </a:ln>
          </c:spPr>
          <c:marker>
            <c:symbol val="none"/>
          </c:marker>
          <c:xVal>
            <c:numRef>
              <c:f>'Left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1 Kin'!$AA$2:$AA$102</c:f>
              <c:numCache>
                <c:formatCode>General</c:formatCode>
                <c:ptCount val="101"/>
                <c:pt idx="0">
                  <c:v>-443.13750000000061</c:v>
                </c:pt>
                <c:pt idx="1">
                  <c:v>-447.24375000000038</c:v>
                </c:pt>
                <c:pt idx="2">
                  <c:v>-451.35000000000008</c:v>
                </c:pt>
                <c:pt idx="3">
                  <c:v>-455.4562499999999</c:v>
                </c:pt>
                <c:pt idx="4">
                  <c:v>-459.56249999999972</c:v>
                </c:pt>
                <c:pt idx="5">
                  <c:v>-461.58749999999958</c:v>
                </c:pt>
                <c:pt idx="6">
                  <c:v>-463.6124999999995</c:v>
                </c:pt>
                <c:pt idx="7">
                  <c:v>-465.63749999999948</c:v>
                </c:pt>
                <c:pt idx="8">
                  <c:v>-467.6624999999994</c:v>
                </c:pt>
                <c:pt idx="9">
                  <c:v>-468.52812499999948</c:v>
                </c:pt>
                <c:pt idx="10">
                  <c:v>-469.39374999999961</c:v>
                </c:pt>
                <c:pt idx="11">
                  <c:v>-470.25937499999969</c:v>
                </c:pt>
                <c:pt idx="12">
                  <c:v>-471.12499999999977</c:v>
                </c:pt>
                <c:pt idx="13">
                  <c:v>-472.24999999999977</c:v>
                </c:pt>
                <c:pt idx="14">
                  <c:v>-473.37499999999989</c:v>
                </c:pt>
                <c:pt idx="15">
                  <c:v>-474.49999999999989</c:v>
                </c:pt>
                <c:pt idx="16">
                  <c:v>-475.62499999999989</c:v>
                </c:pt>
                <c:pt idx="17">
                  <c:v>-478.50625000000002</c:v>
                </c:pt>
                <c:pt idx="18">
                  <c:v>-481.38749999999999</c:v>
                </c:pt>
                <c:pt idx="19">
                  <c:v>-484.26875000000013</c:v>
                </c:pt>
                <c:pt idx="20">
                  <c:v>-487.1500000000002</c:v>
                </c:pt>
                <c:pt idx="21">
                  <c:v>-492.89375000000018</c:v>
                </c:pt>
                <c:pt idx="22">
                  <c:v>-498.63750000000027</c:v>
                </c:pt>
                <c:pt idx="23">
                  <c:v>-504.38125000000042</c:v>
                </c:pt>
                <c:pt idx="24">
                  <c:v>-510.1250000000004</c:v>
                </c:pt>
                <c:pt idx="25">
                  <c:v>-519.09687500000041</c:v>
                </c:pt>
                <c:pt idx="26">
                  <c:v>-528.06875000000036</c:v>
                </c:pt>
                <c:pt idx="27">
                  <c:v>-537.04062500000032</c:v>
                </c:pt>
                <c:pt idx="28">
                  <c:v>-546.01250000000027</c:v>
                </c:pt>
                <c:pt idx="29">
                  <c:v>-557.74062500000014</c:v>
                </c:pt>
                <c:pt idx="30">
                  <c:v>-569.46875</c:v>
                </c:pt>
                <c:pt idx="31">
                  <c:v>-581.19687499999986</c:v>
                </c:pt>
                <c:pt idx="32">
                  <c:v>-592.92499999999973</c:v>
                </c:pt>
                <c:pt idx="33">
                  <c:v>-606.23749999999984</c:v>
                </c:pt>
                <c:pt idx="34">
                  <c:v>-619.54999999999984</c:v>
                </c:pt>
                <c:pt idx="35">
                  <c:v>-632.86249999999984</c:v>
                </c:pt>
                <c:pt idx="36">
                  <c:v>-646.17499999999995</c:v>
                </c:pt>
                <c:pt idx="37">
                  <c:v>-659.515625</c:v>
                </c:pt>
                <c:pt idx="38">
                  <c:v>-672.85624999999993</c:v>
                </c:pt>
                <c:pt idx="39">
                  <c:v>-686.19687499999986</c:v>
                </c:pt>
                <c:pt idx="40">
                  <c:v>-699.53749999999991</c:v>
                </c:pt>
                <c:pt idx="41">
                  <c:v>-711.43749999999989</c:v>
                </c:pt>
                <c:pt idx="42">
                  <c:v>-723.33749999999998</c:v>
                </c:pt>
                <c:pt idx="43">
                  <c:v>-735.23749999999995</c:v>
                </c:pt>
                <c:pt idx="44">
                  <c:v>-747.13750000000005</c:v>
                </c:pt>
                <c:pt idx="45">
                  <c:v>-756.55312500000002</c:v>
                </c:pt>
                <c:pt idx="46">
                  <c:v>-765.96875000000011</c:v>
                </c:pt>
                <c:pt idx="47">
                  <c:v>-775.3843750000002</c:v>
                </c:pt>
                <c:pt idx="48">
                  <c:v>-784.80000000000018</c:v>
                </c:pt>
                <c:pt idx="49">
                  <c:v>-791.28437500000007</c:v>
                </c:pt>
                <c:pt idx="50">
                  <c:v>-797.76875000000007</c:v>
                </c:pt>
                <c:pt idx="51">
                  <c:v>-804.25312499999995</c:v>
                </c:pt>
                <c:pt idx="52">
                  <c:v>-810.73749999999984</c:v>
                </c:pt>
                <c:pt idx="53">
                  <c:v>-814.33968749999985</c:v>
                </c:pt>
                <c:pt idx="54">
                  <c:v>-817.94187499999998</c:v>
                </c:pt>
                <c:pt idx="55">
                  <c:v>-821.5440625</c:v>
                </c:pt>
                <c:pt idx="56">
                  <c:v>-825.14625000000001</c:v>
                </c:pt>
                <c:pt idx="57">
                  <c:v>-826.08687500000008</c:v>
                </c:pt>
                <c:pt idx="58">
                  <c:v>-827.02750000000003</c:v>
                </c:pt>
                <c:pt idx="59">
                  <c:v>-827.96812499999999</c:v>
                </c:pt>
                <c:pt idx="60">
                  <c:v>-828.90875000000005</c:v>
                </c:pt>
                <c:pt idx="61">
                  <c:v>-827.25481562499999</c:v>
                </c:pt>
                <c:pt idx="62">
                  <c:v>-825.60088125000004</c:v>
                </c:pt>
                <c:pt idx="63">
                  <c:v>-823.94694687500009</c:v>
                </c:pt>
                <c:pt idx="64">
                  <c:v>-822.29301250000003</c:v>
                </c:pt>
                <c:pt idx="65">
                  <c:v>-817.70475937500009</c:v>
                </c:pt>
                <c:pt idx="66">
                  <c:v>-813.11650625000004</c:v>
                </c:pt>
                <c:pt idx="67">
                  <c:v>-808.52825312499999</c:v>
                </c:pt>
                <c:pt idx="68">
                  <c:v>-803.94</c:v>
                </c:pt>
                <c:pt idx="69">
                  <c:v>-795.69299687499995</c:v>
                </c:pt>
                <c:pt idx="70">
                  <c:v>-787.44599375000007</c:v>
                </c:pt>
                <c:pt idx="71">
                  <c:v>-779.19899062499996</c:v>
                </c:pt>
                <c:pt idx="72">
                  <c:v>-770.95198749999997</c:v>
                </c:pt>
                <c:pt idx="73">
                  <c:v>-758.21492812500003</c:v>
                </c:pt>
                <c:pt idx="74">
                  <c:v>-745.47786874999986</c:v>
                </c:pt>
                <c:pt idx="75">
                  <c:v>-732.74080937499991</c:v>
                </c:pt>
                <c:pt idx="76">
                  <c:v>-720.00374999999997</c:v>
                </c:pt>
                <c:pt idx="77">
                  <c:v>-702.30499999999984</c:v>
                </c:pt>
                <c:pt idx="78">
                  <c:v>-684.60625000000005</c:v>
                </c:pt>
                <c:pt idx="79">
                  <c:v>-666.90750000000025</c:v>
                </c:pt>
                <c:pt idx="80">
                  <c:v>-649.20875000000012</c:v>
                </c:pt>
                <c:pt idx="81">
                  <c:v>-626.82156250000014</c:v>
                </c:pt>
                <c:pt idx="82">
                  <c:v>-604.43437500000027</c:v>
                </c:pt>
                <c:pt idx="83">
                  <c:v>-582.04718750000006</c:v>
                </c:pt>
                <c:pt idx="84">
                  <c:v>-559.66000000000008</c:v>
                </c:pt>
                <c:pt idx="85">
                  <c:v>-533.69499999999982</c:v>
                </c:pt>
                <c:pt idx="86">
                  <c:v>-507.73</c:v>
                </c:pt>
                <c:pt idx="87">
                  <c:v>-481.76500000000021</c:v>
                </c:pt>
                <c:pt idx="88">
                  <c:v>-455.8</c:v>
                </c:pt>
                <c:pt idx="89">
                  <c:v>-427.95625000000013</c:v>
                </c:pt>
                <c:pt idx="90">
                  <c:v>-400.11250000000018</c:v>
                </c:pt>
                <c:pt idx="91">
                  <c:v>-372.26874999999978</c:v>
                </c:pt>
                <c:pt idx="92">
                  <c:v>-344.42500000000001</c:v>
                </c:pt>
                <c:pt idx="93">
                  <c:v>-316.54374999999999</c:v>
                </c:pt>
                <c:pt idx="94">
                  <c:v>-288.66249999999968</c:v>
                </c:pt>
                <c:pt idx="95">
                  <c:v>-260.78124999999977</c:v>
                </c:pt>
                <c:pt idx="96">
                  <c:v>-232.89999999999989</c:v>
                </c:pt>
                <c:pt idx="97">
                  <c:v>-206.58437499999971</c:v>
                </c:pt>
                <c:pt idx="98">
                  <c:v>-180.26875000000001</c:v>
                </c:pt>
                <c:pt idx="99">
                  <c:v>-153.9531249999998</c:v>
                </c:pt>
                <c:pt idx="100">
                  <c:v>-127.6375000000001</c:v>
                </c:pt>
              </c:numCache>
            </c:numRef>
          </c:yVal>
          <c:smooth val="1"/>
          <c:extLst>
            <c:ext xmlns:c16="http://schemas.microsoft.com/office/drawing/2014/chart" uri="{C3380CC4-5D6E-409C-BE32-E72D297353CC}">
              <c16:uniqueId val="{00000000-DC6D-466A-AEF9-4EF5706830ED}"/>
            </c:ext>
          </c:extLst>
        </c:ser>
        <c:dLbls>
          <c:showLegendKey val="0"/>
          <c:showVal val="0"/>
          <c:showCatName val="0"/>
          <c:showSerName val="0"/>
          <c:showPercent val="0"/>
          <c:showBubbleSize val="0"/>
        </c:dLbls>
        <c:axId val="90982272"/>
        <c:axId val="90983808"/>
      </c:scatterChart>
      <c:valAx>
        <c:axId val="90982272"/>
        <c:scaling>
          <c:orientation val="minMax"/>
          <c:max val="100"/>
        </c:scaling>
        <c:delete val="0"/>
        <c:axPos val="b"/>
        <c:numFmt formatCode="General" sourceLinked="1"/>
        <c:majorTickMark val="out"/>
        <c:minorTickMark val="none"/>
        <c:tickLblPos val="nextTo"/>
        <c:txPr>
          <a:bodyPr/>
          <a:lstStyle/>
          <a:p>
            <a:pPr>
              <a:defRPr lang="en-US" sz="800"/>
            </a:pPr>
            <a:endParaRPr lang="en-US"/>
          </a:p>
        </c:txPr>
        <c:crossAx val="90983808"/>
        <c:crosses val="autoZero"/>
        <c:crossBetween val="midCat"/>
        <c:majorUnit val="20"/>
      </c:valAx>
      <c:valAx>
        <c:axId val="90983808"/>
        <c:scaling>
          <c:orientation val="minMax"/>
        </c:scaling>
        <c:delete val="0"/>
        <c:axPos val="l"/>
        <c:title>
          <c:tx>
            <c:rich>
              <a:bodyPr rot="-5400000" vert="horz"/>
              <a:lstStyle/>
              <a:p>
                <a:pPr>
                  <a:defRPr lang="en-AU" sz="900"/>
                </a:pPr>
                <a:r>
                  <a:rPr lang="en-US" sz="900"/>
                  <a:t>Velocity (deg/s)</a:t>
                </a:r>
              </a:p>
            </c:rich>
          </c:tx>
          <c:layout>
            <c:manualLayout>
              <c:xMode val="edge"/>
              <c:yMode val="edge"/>
              <c:x val="6.1702551325188921E-3"/>
              <c:y val="0.32694305948250502"/>
            </c:manualLayout>
          </c:layout>
          <c:overlay val="0"/>
        </c:title>
        <c:numFmt formatCode="0" sourceLinked="0"/>
        <c:majorTickMark val="out"/>
        <c:minorTickMark val="none"/>
        <c:tickLblPos val="nextTo"/>
        <c:txPr>
          <a:bodyPr/>
          <a:lstStyle/>
          <a:p>
            <a:pPr>
              <a:defRPr lang="en-US" sz="800"/>
            </a:pPr>
            <a:endParaRPr lang="en-US"/>
          </a:p>
        </c:txPr>
        <c:crossAx val="90982272"/>
        <c:crosses val="autoZero"/>
        <c:crossBetween val="midCat"/>
      </c:valAx>
    </c:plotArea>
    <c:plotVisOnly val="1"/>
    <c:dispBlanksAs val="gap"/>
    <c:showDLblsOverMax val="0"/>
  </c:chart>
  <c:printSettings>
    <c:headerFooter/>
    <c:pageMargins b="0.75000000000001421" l="0.70000000000000095" r="0.70000000000000095" t="0.75000000000001421" header="0.3000000000000001" footer="0.3000000000000001"/>
    <c:pageSetup/>
  </c:printSettings>
  <c:userShapes r:id="rId1"/>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US" sz="1200"/>
            </a:pPr>
            <a:r>
              <a:rPr lang="en-US" sz="1200"/>
              <a:t>Ankle Moment</a:t>
            </a:r>
          </a:p>
        </c:rich>
      </c:tx>
      <c:overlay val="0"/>
    </c:title>
    <c:autoTitleDeleted val="0"/>
    <c:plotArea>
      <c:layout>
        <c:manualLayout>
          <c:layoutTarget val="inner"/>
          <c:xMode val="edge"/>
          <c:yMode val="edge"/>
          <c:x val="9.4662586607953639E-2"/>
          <c:y val="3.4862479399377401E-2"/>
          <c:w val="0.86716199574579245"/>
          <c:h val="0.92743941890984571"/>
        </c:manualLayout>
      </c:layout>
      <c:scatterChart>
        <c:scatterStyle val="smoothMarker"/>
        <c:varyColors val="0"/>
        <c:ser>
          <c:idx val="1"/>
          <c:order val="0"/>
          <c:tx>
            <c:v>Normative</c:v>
          </c:tx>
          <c:spPr>
            <a:ln>
              <a:solidFill>
                <a:schemeClr val="tx1"/>
              </a:solidFill>
            </a:ln>
          </c:spPr>
          <c:marker>
            <c:symbol val="none"/>
          </c:marker>
          <c:xVal>
            <c:numRef>
              <c:f>Normative!$A$2:$A$102</c:f>
              <c:numCache>
                <c:formatCode>General</c:formatCode>
                <c:ptCount val="101"/>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numCache>
            </c:numRef>
          </c:xVal>
          <c:yVal>
            <c:numRef>
              <c:f>Normative!$AQ$2:$AQ$102</c:f>
              <c:numCache>
                <c:formatCode>General</c:formatCode>
                <c:ptCount val="101"/>
                <c:pt idx="0">
                  <c:v>0.28368307872999998</c:v>
                </c:pt>
                <c:pt idx="1">
                  <c:v>0.28368307872999998</c:v>
                </c:pt>
                <c:pt idx="2">
                  <c:v>0.96225720098999989</c:v>
                </c:pt>
                <c:pt idx="3">
                  <c:v>1.0198621997899999</c:v>
                </c:pt>
                <c:pt idx="4">
                  <c:v>1.7511988543833334</c:v>
                </c:pt>
                <c:pt idx="5">
                  <c:v>1.8189747253033333</c:v>
                </c:pt>
                <c:pt idx="6">
                  <c:v>2.4646424289833329</c:v>
                </c:pt>
                <c:pt idx="7">
                  <c:v>2.6895216566999998</c:v>
                </c:pt>
                <c:pt idx="8">
                  <c:v>3.1811785570933333</c:v>
                </c:pt>
                <c:pt idx="9">
                  <c:v>3.4913959061333335</c:v>
                </c:pt>
                <c:pt idx="10">
                  <c:v>3.8193929323266667</c:v>
                </c:pt>
                <c:pt idx="11">
                  <c:v>4.0455796837266664</c:v>
                </c:pt>
                <c:pt idx="12">
                  <c:v>4.3467255430666665</c:v>
                </c:pt>
                <c:pt idx="13">
                  <c:v>4.5161701789700004</c:v>
                </c:pt>
                <c:pt idx="14">
                  <c:v>4.7277418083866669</c:v>
                </c:pt>
                <c:pt idx="15">
                  <c:v>4.815591847306667</c:v>
                </c:pt>
                <c:pt idx="16">
                  <c:v>4.9716746663266669</c:v>
                </c:pt>
                <c:pt idx="17">
                  <c:v>5.0059266865566663</c:v>
                </c:pt>
                <c:pt idx="18">
                  <c:v>5.0987400272633332</c:v>
                </c:pt>
                <c:pt idx="19">
                  <c:v>5.1025910738066669</c:v>
                </c:pt>
                <c:pt idx="20">
                  <c:v>5.1255290214899993</c:v>
                </c:pt>
                <c:pt idx="21">
                  <c:v>5.1213749679533338</c:v>
                </c:pt>
                <c:pt idx="22">
                  <c:v>5.0947832805000006</c:v>
                </c:pt>
                <c:pt idx="23">
                  <c:v>5.078212263166666</c:v>
                </c:pt>
                <c:pt idx="24">
                  <c:v>5.0083634529000003</c:v>
                </c:pt>
                <c:pt idx="25">
                  <c:v>4.9227954522800008</c:v>
                </c:pt>
                <c:pt idx="26">
                  <c:v>4.8361188498833334</c:v>
                </c:pt>
                <c:pt idx="27">
                  <c:v>4.6814683159333335</c:v>
                </c:pt>
                <c:pt idx="28">
                  <c:v>4.6104113254599994</c:v>
                </c:pt>
                <c:pt idx="29">
                  <c:v>4.3996752258333336</c:v>
                </c:pt>
                <c:pt idx="30">
                  <c:v>4.2883795249699999</c:v>
                </c:pt>
                <c:pt idx="31">
                  <c:v>4.0491602216233336</c:v>
                </c:pt>
                <c:pt idx="32">
                  <c:v>3.9085720649099995</c:v>
                </c:pt>
                <c:pt idx="33">
                  <c:v>3.5633329417366673</c:v>
                </c:pt>
                <c:pt idx="34">
                  <c:v>3.3758221303266667</c:v>
                </c:pt>
                <c:pt idx="35">
                  <c:v>3.0484797987966665</c:v>
                </c:pt>
                <c:pt idx="36">
                  <c:v>2.8408230589333332</c:v>
                </c:pt>
                <c:pt idx="37">
                  <c:v>2.48127991462</c:v>
                </c:pt>
                <c:pt idx="38">
                  <c:v>2.1542594665000001</c:v>
                </c:pt>
                <c:pt idx="39">
                  <c:v>1.8617016060333331</c:v>
                </c:pt>
                <c:pt idx="40">
                  <c:v>1.5619547616333331</c:v>
                </c:pt>
                <c:pt idx="41">
                  <c:v>1.2947970773700002</c:v>
                </c:pt>
                <c:pt idx="42">
                  <c:v>1.0146124904633331</c:v>
                </c:pt>
                <c:pt idx="43">
                  <c:v>0.71899703887333333</c:v>
                </c:pt>
                <c:pt idx="44">
                  <c:v>0.56816292733999996</c:v>
                </c:pt>
                <c:pt idx="45">
                  <c:v>0.30573454689000001</c:v>
                </c:pt>
                <c:pt idx="46">
                  <c:v>0.24958626500999997</c:v>
                </c:pt>
                <c:pt idx="47">
                  <c:v>8.3063807843333337E-2</c:v>
                </c:pt>
                <c:pt idx="48">
                  <c:v>5.433478789333334E-2</c:v>
                </c:pt>
                <c:pt idx="49">
                  <c:v>-2.3326354550000011E-2</c:v>
                </c:pt>
                <c:pt idx="50">
                  <c:v>-0.21720675380833335</c:v>
                </c:pt>
              </c:numCache>
            </c:numRef>
          </c:yVal>
          <c:smooth val="1"/>
          <c:extLst>
            <c:ext xmlns:c16="http://schemas.microsoft.com/office/drawing/2014/chart" uri="{C3380CC4-5D6E-409C-BE32-E72D297353CC}">
              <c16:uniqueId val="{00000000-9C68-40D9-A880-30B852B39804}"/>
            </c:ext>
          </c:extLst>
        </c:ser>
        <c:ser>
          <c:idx val="6"/>
          <c:order val="1"/>
          <c:tx>
            <c:v>Right 3</c:v>
          </c:tx>
          <c:spPr>
            <a:ln w="19050">
              <a:solidFill>
                <a:srgbClr val="00B050"/>
              </a:solidFill>
            </a:ln>
          </c:spPr>
          <c:marker>
            <c:symbol val="none"/>
          </c:marker>
          <c:xVal>
            <c:numRef>
              <c:f>'Right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3 Kin'!$AQ$2:$AQ$102</c:f>
              <c:numCache>
                <c:formatCode>General</c:formatCode>
                <c:ptCount val="101"/>
                <c:pt idx="0">
                  <c:v>1.25481</c:v>
                </c:pt>
                <c:pt idx="1">
                  <c:v>1.4313499999999999</c:v>
                </c:pt>
                <c:pt idx="2">
                  <c:v>1.60789</c:v>
                </c:pt>
                <c:pt idx="3">
                  <c:v>1.78443</c:v>
                </c:pt>
                <c:pt idx="4">
                  <c:v>1.954116</c:v>
                </c:pt>
                <c:pt idx="5">
                  <c:v>2.0861049999999999</c:v>
                </c:pt>
                <c:pt idx="6">
                  <c:v>2.2180939999999998</c:v>
                </c:pt>
                <c:pt idx="7">
                  <c:v>2.3500830000000001</c:v>
                </c:pt>
                <c:pt idx="8">
                  <c:v>2.4676040000000001</c:v>
                </c:pt>
                <c:pt idx="9">
                  <c:v>2.5525720000000001</c:v>
                </c:pt>
                <c:pt idx="10">
                  <c:v>2.63754</c:v>
                </c:pt>
                <c:pt idx="11">
                  <c:v>2.7225079999999999</c:v>
                </c:pt>
                <c:pt idx="12">
                  <c:v>2.8282419999999999</c:v>
                </c:pt>
                <c:pt idx="13">
                  <c:v>2.9582030000000001</c:v>
                </c:pt>
                <c:pt idx="14">
                  <c:v>3.0881639999999999</c:v>
                </c:pt>
                <c:pt idx="15">
                  <c:v>3.2181250000000001</c:v>
                </c:pt>
                <c:pt idx="16">
                  <c:v>3.3332700000000002</c:v>
                </c:pt>
                <c:pt idx="17">
                  <c:v>3.439155</c:v>
                </c:pt>
                <c:pt idx="18">
                  <c:v>3.5450400000000002</c:v>
                </c:pt>
                <c:pt idx="19">
                  <c:v>3.650925</c:v>
                </c:pt>
                <c:pt idx="20">
                  <c:v>3.7342919999999999</c:v>
                </c:pt>
                <c:pt idx="21">
                  <c:v>3.8109036000000001</c:v>
                </c:pt>
                <c:pt idx="22">
                  <c:v>3.8875152000000002</c:v>
                </c:pt>
                <c:pt idx="23">
                  <c:v>3.9641267999999998</c:v>
                </c:pt>
                <c:pt idx="24">
                  <c:v>4.0280784000000001</c:v>
                </c:pt>
                <c:pt idx="25">
                  <c:v>4.0909750000000003</c:v>
                </c:pt>
                <c:pt idx="26">
                  <c:v>4.1538716000000004</c:v>
                </c:pt>
                <c:pt idx="27">
                  <c:v>4.2144092000000004</c:v>
                </c:pt>
                <c:pt idx="28">
                  <c:v>4.2466388000000004</c:v>
                </c:pt>
                <c:pt idx="29">
                  <c:v>4.2788684000000003</c:v>
                </c:pt>
                <c:pt idx="30">
                  <c:v>4.3110980000000003</c:v>
                </c:pt>
                <c:pt idx="31">
                  <c:v>4.3385708000000003</c:v>
                </c:pt>
                <c:pt idx="32">
                  <c:v>4.3501875999999999</c:v>
                </c:pt>
                <c:pt idx="33">
                  <c:v>4.3618043999999996</c:v>
                </c:pt>
                <c:pt idx="34">
                  <c:v>4.3734212000000001</c:v>
                </c:pt>
                <c:pt idx="35">
                  <c:v>4.383464</c:v>
                </c:pt>
                <c:pt idx="36">
                  <c:v>4.3909883999999986</c:v>
                </c:pt>
                <c:pt idx="37">
                  <c:v>4.3985127999999998</c:v>
                </c:pt>
                <c:pt idx="38">
                  <c:v>4.4060372000000001</c:v>
                </c:pt>
                <c:pt idx="39">
                  <c:v>4.4113607999999997</c:v>
                </c:pt>
                <c:pt idx="40">
                  <c:v>4.4147980000000002</c:v>
                </c:pt>
                <c:pt idx="41">
                  <c:v>4.4182351999999998</c:v>
                </c:pt>
                <c:pt idx="42">
                  <c:v>4.4216723999999994</c:v>
                </c:pt>
                <c:pt idx="43">
                  <c:v>4.4094333999999993</c:v>
                </c:pt>
                <c:pt idx="44">
                  <c:v>4.3902271999999991</c:v>
                </c:pt>
                <c:pt idx="45">
                  <c:v>4.3710209999999998</c:v>
                </c:pt>
                <c:pt idx="46">
                  <c:v>4.3518147999999997</c:v>
                </c:pt>
                <c:pt idx="47">
                  <c:v>4.3098605999999986</c:v>
                </c:pt>
                <c:pt idx="48">
                  <c:v>4.2637704000000003</c:v>
                </c:pt>
                <c:pt idx="49">
                  <c:v>4.2176802000000002</c:v>
                </c:pt>
                <c:pt idx="50">
                  <c:v>4.1715900000000001</c:v>
                </c:pt>
                <c:pt idx="51">
                  <c:v>4.1048662</c:v>
                </c:pt>
                <c:pt idx="52">
                  <c:v>4.0381423999999999</c:v>
                </c:pt>
                <c:pt idx="53">
                  <c:v>3.9714185999999998</c:v>
                </c:pt>
                <c:pt idx="54">
                  <c:v>3.9015672000000001</c:v>
                </c:pt>
                <c:pt idx="55">
                  <c:v>3.814514</c:v>
                </c:pt>
                <c:pt idx="56">
                  <c:v>3.7274607999999998</c:v>
                </c:pt>
                <c:pt idx="57">
                  <c:v>3.6404076000000001</c:v>
                </c:pt>
                <c:pt idx="58">
                  <c:v>3.5462895999999988</c:v>
                </c:pt>
                <c:pt idx="59">
                  <c:v>3.4362758000000002</c:v>
                </c:pt>
                <c:pt idx="60">
                  <c:v>3.3262619999999998</c:v>
                </c:pt>
                <c:pt idx="61">
                  <c:v>3.216248199999999</c:v>
                </c:pt>
                <c:pt idx="62">
                  <c:v>3.0967963999999988</c:v>
                </c:pt>
                <c:pt idx="63">
                  <c:v>2.9663336</c:v>
                </c:pt>
                <c:pt idx="64">
                  <c:v>2.835870799999999</c:v>
                </c:pt>
                <c:pt idx="65">
                  <c:v>2.7054079999999998</c:v>
                </c:pt>
                <c:pt idx="66">
                  <c:v>2.5607051999999988</c:v>
                </c:pt>
                <c:pt idx="67">
                  <c:v>2.407102399999999</c:v>
                </c:pt>
                <c:pt idx="68">
                  <c:v>2.2534996</c:v>
                </c:pt>
                <c:pt idx="69">
                  <c:v>2.0998967999999989</c:v>
                </c:pt>
                <c:pt idx="70">
                  <c:v>1.9391659999999999</c:v>
                </c:pt>
                <c:pt idx="71">
                  <c:v>1.7762967999999979</c:v>
                </c:pt>
                <c:pt idx="72">
                  <c:v>1.613427599999999</c:v>
                </c:pt>
                <c:pt idx="73">
                  <c:v>1.4505583999999989</c:v>
                </c:pt>
                <c:pt idx="74">
                  <c:v>1.2958724799999981</c:v>
                </c:pt>
                <c:pt idx="75">
                  <c:v>1.1418684999999991</c:v>
                </c:pt>
                <c:pt idx="76">
                  <c:v>0.98786451999999958</c:v>
                </c:pt>
                <c:pt idx="77">
                  <c:v>0.83595703999999849</c:v>
                </c:pt>
                <c:pt idx="78">
                  <c:v>0.70920755999999918</c:v>
                </c:pt>
                <c:pt idx="79">
                  <c:v>0.58245807999999977</c:v>
                </c:pt>
                <c:pt idx="80">
                  <c:v>0.45570859999999858</c:v>
                </c:pt>
                <c:pt idx="81">
                  <c:v>0.33570586199999941</c:v>
                </c:pt>
                <c:pt idx="82">
                  <c:v>0.23819226399999979</c:v>
                </c:pt>
                <c:pt idx="83">
                  <c:v>0.1406786659999989</c:v>
                </c:pt>
                <c:pt idx="84">
                  <c:v>4.3165067999999418E-2</c:v>
                </c:pt>
                <c:pt idx="85">
                  <c:v>-3.6823370000000813E-2</c:v>
                </c:pt>
                <c:pt idx="86">
                  <c:v>-8.8771552000000559E-2</c:v>
                </c:pt>
                <c:pt idx="87">
                  <c:v>-0.14071973400000029</c:v>
                </c:pt>
                <c:pt idx="88">
                  <c:v>-0.1926679160000008</c:v>
                </c:pt>
                <c:pt idx="89">
                  <c:v>-0.22573406000000021</c:v>
                </c:pt>
                <c:pt idx="90">
                  <c:v>-0.24261559999999999</c:v>
                </c:pt>
                <c:pt idx="91">
                  <c:v>-0.25949714000000013</c:v>
                </c:pt>
                <c:pt idx="92">
                  <c:v>-0.27637867999999988</c:v>
                </c:pt>
                <c:pt idx="93">
                  <c:v>-0.27323396000000011</c:v>
                </c:pt>
                <c:pt idx="94">
                  <c:v>-0.26118868000000001</c:v>
                </c:pt>
                <c:pt idx="95">
                  <c:v>-0.24914339999999999</c:v>
                </c:pt>
                <c:pt idx="96">
                  <c:v>-0.23709812000000011</c:v>
                </c:pt>
                <c:pt idx="97">
                  <c:v>-0.22751573999999999</c:v>
                </c:pt>
                <c:pt idx="98">
                  <c:v>-0.21838115999999999</c:v>
                </c:pt>
                <c:pt idx="99">
                  <c:v>-0.20924657999999999</c:v>
                </c:pt>
                <c:pt idx="100">
                  <c:v>-0.20011200000000001</c:v>
                </c:pt>
              </c:numCache>
            </c:numRef>
          </c:yVal>
          <c:smooth val="1"/>
          <c:extLst>
            <c:ext xmlns:c16="http://schemas.microsoft.com/office/drawing/2014/chart" uri="{C3380CC4-5D6E-409C-BE32-E72D297353CC}">
              <c16:uniqueId val="{00000004-8831-4D0A-9D08-C71F491C5542}"/>
            </c:ext>
          </c:extLst>
        </c:ser>
        <c:ser>
          <c:idx val="5"/>
          <c:order val="2"/>
          <c:tx>
            <c:v>Right 2</c:v>
          </c:tx>
          <c:spPr>
            <a:ln w="19050">
              <a:solidFill>
                <a:srgbClr val="00B050"/>
              </a:solidFill>
            </a:ln>
          </c:spPr>
          <c:marker>
            <c:symbol val="none"/>
          </c:marker>
          <c:xVal>
            <c:numRef>
              <c:f>'Right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2 Kin'!$AQ$2:$AQ$102</c:f>
              <c:numCache>
                <c:formatCode>General</c:formatCode>
                <c:ptCount val="101"/>
                <c:pt idx="0">
                  <c:v>0.42643199999999998</c:v>
                </c:pt>
                <c:pt idx="1">
                  <c:v>0.65446266000000008</c:v>
                </c:pt>
                <c:pt idx="2">
                  <c:v>0.88249332000000003</c:v>
                </c:pt>
                <c:pt idx="3">
                  <c:v>1.11052398</c:v>
                </c:pt>
                <c:pt idx="4">
                  <c:v>1.3530788</c:v>
                </c:pt>
                <c:pt idx="5">
                  <c:v>1.6301285000000001</c:v>
                </c:pt>
                <c:pt idx="6">
                  <c:v>1.9071781999999999</c:v>
                </c:pt>
                <c:pt idx="7">
                  <c:v>2.1842278999999998</c:v>
                </c:pt>
                <c:pt idx="8">
                  <c:v>2.3443208000000002</c:v>
                </c:pt>
                <c:pt idx="9">
                  <c:v>2.4240059</c:v>
                </c:pt>
                <c:pt idx="10">
                  <c:v>2.5036909999999999</c:v>
                </c:pt>
                <c:pt idx="11">
                  <c:v>2.5833761000000002</c:v>
                </c:pt>
                <c:pt idx="12">
                  <c:v>2.6749003999999998</c:v>
                </c:pt>
                <c:pt idx="13">
                  <c:v>2.7679046</c:v>
                </c:pt>
                <c:pt idx="14">
                  <c:v>2.8609087999999998</c:v>
                </c:pt>
                <c:pt idx="15">
                  <c:v>2.9606400000000002</c:v>
                </c:pt>
                <c:pt idx="16">
                  <c:v>3.0899700000000001</c:v>
                </c:pt>
                <c:pt idx="17">
                  <c:v>3.2193000000000001</c:v>
                </c:pt>
                <c:pt idx="18">
                  <c:v>3.34863</c:v>
                </c:pt>
                <c:pt idx="19">
                  <c:v>3.4625446000000002</c:v>
                </c:pt>
                <c:pt idx="20">
                  <c:v>3.5598580000000002</c:v>
                </c:pt>
                <c:pt idx="21">
                  <c:v>3.6571714000000002</c:v>
                </c:pt>
                <c:pt idx="22">
                  <c:v>3.7544848000000002</c:v>
                </c:pt>
                <c:pt idx="23">
                  <c:v>3.8426526999999999</c:v>
                </c:pt>
                <c:pt idx="24">
                  <c:v>3.9282075999999999</c:v>
                </c:pt>
                <c:pt idx="25">
                  <c:v>4.0137625000000003</c:v>
                </c:pt>
                <c:pt idx="26">
                  <c:v>4.0981322000000002</c:v>
                </c:pt>
                <c:pt idx="27">
                  <c:v>4.1676869000000014</c:v>
                </c:pt>
                <c:pt idx="28">
                  <c:v>4.2372415999999999</c:v>
                </c:pt>
                <c:pt idx="29">
                  <c:v>4.3067963000000002</c:v>
                </c:pt>
                <c:pt idx="30">
                  <c:v>4.3649110000000002</c:v>
                </c:pt>
                <c:pt idx="31">
                  <c:v>4.4035776999999996</c:v>
                </c:pt>
                <c:pt idx="32">
                  <c:v>4.4422443999999999</c:v>
                </c:pt>
                <c:pt idx="33">
                  <c:v>4.4809111000000001</c:v>
                </c:pt>
                <c:pt idx="34">
                  <c:v>4.5065080000000002</c:v>
                </c:pt>
                <c:pt idx="35">
                  <c:v>4.5255700000000001</c:v>
                </c:pt>
                <c:pt idx="36">
                  <c:v>4.544632</c:v>
                </c:pt>
                <c:pt idx="37">
                  <c:v>4.5636939999999999</c:v>
                </c:pt>
                <c:pt idx="38">
                  <c:v>4.5755201999999997</c:v>
                </c:pt>
                <c:pt idx="39">
                  <c:v>4.5870680999999998</c:v>
                </c:pt>
                <c:pt idx="40">
                  <c:v>4.5986159999999998</c:v>
                </c:pt>
                <c:pt idx="41">
                  <c:v>4.6049810999999998</c:v>
                </c:pt>
                <c:pt idx="42">
                  <c:v>4.5965382000000004</c:v>
                </c:pt>
                <c:pt idx="43">
                  <c:v>4.5880953</c:v>
                </c:pt>
                <c:pt idx="44">
                  <c:v>4.5796523999999996</c:v>
                </c:pt>
                <c:pt idx="45">
                  <c:v>4.5549194999999996</c:v>
                </c:pt>
                <c:pt idx="46">
                  <c:v>4.5171545999999996</c:v>
                </c:pt>
                <c:pt idx="47">
                  <c:v>4.4793896999999996</c:v>
                </c:pt>
                <c:pt idx="48">
                  <c:v>4.4416247999999996</c:v>
                </c:pt>
                <c:pt idx="49">
                  <c:v>4.3853770999999986</c:v>
                </c:pt>
                <c:pt idx="50">
                  <c:v>4.3259149999999993</c:v>
                </c:pt>
                <c:pt idx="51">
                  <c:v>4.2664528999999991</c:v>
                </c:pt>
                <c:pt idx="52">
                  <c:v>4.2034723999999999</c:v>
                </c:pt>
                <c:pt idx="53">
                  <c:v>4.1202610999999996</c:v>
                </c:pt>
                <c:pt idx="54">
                  <c:v>4.0370498000000001</c:v>
                </c:pt>
                <c:pt idx="55">
                  <c:v>3.9538384999999998</c:v>
                </c:pt>
                <c:pt idx="56">
                  <c:v>3.8623183999999999</c:v>
                </c:pt>
                <c:pt idx="57">
                  <c:v>3.7604123</c:v>
                </c:pt>
                <c:pt idx="58">
                  <c:v>3.6585061999999988</c:v>
                </c:pt>
                <c:pt idx="59">
                  <c:v>3.5566000999999998</c:v>
                </c:pt>
                <c:pt idx="60">
                  <c:v>3.437581999999999</c:v>
                </c:pt>
                <c:pt idx="61">
                  <c:v>3.312574699999999</c:v>
                </c:pt>
                <c:pt idx="62">
                  <c:v>3.1875673999999989</c:v>
                </c:pt>
                <c:pt idx="63">
                  <c:v>3.0617961</c:v>
                </c:pt>
                <c:pt idx="64">
                  <c:v>2.9161608000000001</c:v>
                </c:pt>
                <c:pt idx="65">
                  <c:v>2.7705255000000011</c:v>
                </c:pt>
                <c:pt idx="66">
                  <c:v>2.624890199999999</c:v>
                </c:pt>
                <c:pt idx="67">
                  <c:v>2.4757286999999999</c:v>
                </c:pt>
                <c:pt idx="68">
                  <c:v>2.3195148000000012</c:v>
                </c:pt>
                <c:pt idx="69">
                  <c:v>2.163300899999999</c:v>
                </c:pt>
                <c:pt idx="70">
                  <c:v>2.007086999999999</c:v>
                </c:pt>
                <c:pt idx="71">
                  <c:v>1.8470446999999981</c:v>
                </c:pt>
                <c:pt idx="72">
                  <c:v>1.6847503999999991</c:v>
                </c:pt>
                <c:pt idx="73">
                  <c:v>1.5224561000000001</c:v>
                </c:pt>
                <c:pt idx="74">
                  <c:v>1.360161799999998</c:v>
                </c:pt>
                <c:pt idx="75">
                  <c:v>1.2139457499999999</c:v>
                </c:pt>
                <c:pt idx="76">
                  <c:v>1.0690159600000011</c:v>
                </c:pt>
                <c:pt idx="77">
                  <c:v>0.92408616999999937</c:v>
                </c:pt>
                <c:pt idx="78">
                  <c:v>0.78560128000000007</c:v>
                </c:pt>
                <c:pt idx="79">
                  <c:v>0.66967354000000046</c:v>
                </c:pt>
                <c:pt idx="80">
                  <c:v>0.55374579999999907</c:v>
                </c:pt>
                <c:pt idx="81">
                  <c:v>0.43781805999999929</c:v>
                </c:pt>
                <c:pt idx="82">
                  <c:v>0.33498722199999992</c:v>
                </c:pt>
                <c:pt idx="83">
                  <c:v>0.24431779299999909</c:v>
                </c:pt>
                <c:pt idx="84">
                  <c:v>0.1536483639999997</c:v>
                </c:pt>
                <c:pt idx="85">
                  <c:v>6.2978934999999014E-2</c:v>
                </c:pt>
                <c:pt idx="86">
                  <c:v>-3.9950860000002586E-3</c:v>
                </c:pt>
                <c:pt idx="87">
                  <c:v>-6.5583786999999866E-2</c:v>
                </c:pt>
                <c:pt idx="88">
                  <c:v>-0.12717248800000039</c:v>
                </c:pt>
                <c:pt idx="89">
                  <c:v>-0.18486598000000001</c:v>
                </c:pt>
                <c:pt idx="90">
                  <c:v>-0.21139779999999991</c:v>
                </c:pt>
                <c:pt idx="91">
                  <c:v>-0.23792962000000031</c:v>
                </c:pt>
                <c:pt idx="92">
                  <c:v>-0.26446144000000021</c:v>
                </c:pt>
                <c:pt idx="93">
                  <c:v>-0.28185853000000011</c:v>
                </c:pt>
                <c:pt idx="94">
                  <c:v>-0.28596874000000011</c:v>
                </c:pt>
                <c:pt idx="95">
                  <c:v>-0.29007895</c:v>
                </c:pt>
                <c:pt idx="96">
                  <c:v>-0.29418915999999989</c:v>
                </c:pt>
                <c:pt idx="97">
                  <c:v>-0.29308007000000003</c:v>
                </c:pt>
                <c:pt idx="98">
                  <c:v>-0.28977338000000002</c:v>
                </c:pt>
                <c:pt idx="99">
                  <c:v>-0.28646669000000002</c:v>
                </c:pt>
                <c:pt idx="100">
                  <c:v>-0.28316000000000002</c:v>
                </c:pt>
              </c:numCache>
            </c:numRef>
          </c:yVal>
          <c:smooth val="1"/>
          <c:extLst>
            <c:ext xmlns:c16="http://schemas.microsoft.com/office/drawing/2014/chart" uri="{C3380CC4-5D6E-409C-BE32-E72D297353CC}">
              <c16:uniqueId val="{00000003-8831-4D0A-9D08-C71F491C5542}"/>
            </c:ext>
          </c:extLst>
        </c:ser>
        <c:ser>
          <c:idx val="4"/>
          <c:order val="3"/>
          <c:tx>
            <c:v>Right 1</c:v>
          </c:tx>
          <c:spPr>
            <a:ln w="19050">
              <a:solidFill>
                <a:srgbClr val="00B050"/>
              </a:solidFill>
            </a:ln>
          </c:spPr>
          <c:marker>
            <c:symbol val="none"/>
          </c:marker>
          <c:xVal>
            <c:numRef>
              <c:f>'Right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1 Kin'!$AQ$2:$AQ$102</c:f>
              <c:numCache>
                <c:formatCode>General</c:formatCode>
                <c:ptCount val="101"/>
                <c:pt idx="0">
                  <c:v>0.83738699999999999</c:v>
                </c:pt>
                <c:pt idx="1">
                  <c:v>1.04864417</c:v>
                </c:pt>
                <c:pt idx="2">
                  <c:v>1.2599013400000001</c:v>
                </c:pt>
                <c:pt idx="3">
                  <c:v>1.47115851</c:v>
                </c:pt>
                <c:pt idx="4">
                  <c:v>1.6926216000000001</c:v>
                </c:pt>
                <c:pt idx="5">
                  <c:v>1.922377</c:v>
                </c:pt>
                <c:pt idx="6">
                  <c:v>2.1521324000000002</c:v>
                </c:pt>
                <c:pt idx="7">
                  <c:v>2.3663246999999998</c:v>
                </c:pt>
                <c:pt idx="8">
                  <c:v>2.4456367999999999</c:v>
                </c:pt>
                <c:pt idx="9">
                  <c:v>2.5249489000000001</c:v>
                </c:pt>
                <c:pt idx="10">
                  <c:v>2.6042610000000002</c:v>
                </c:pt>
                <c:pt idx="11">
                  <c:v>2.7189492</c:v>
                </c:pt>
                <c:pt idx="12">
                  <c:v>2.8522563999999999</c:v>
                </c:pt>
                <c:pt idx="13">
                  <c:v>2.9855635999999999</c:v>
                </c:pt>
                <c:pt idx="14">
                  <c:v>3.1184219999999998</c:v>
                </c:pt>
                <c:pt idx="15">
                  <c:v>3.2495599999999998</c:v>
                </c:pt>
                <c:pt idx="16">
                  <c:v>3.3806980000000002</c:v>
                </c:pt>
                <c:pt idx="17">
                  <c:v>3.5118359999999988</c:v>
                </c:pt>
                <c:pt idx="18">
                  <c:v>3.6155135999999999</c:v>
                </c:pt>
                <c:pt idx="19">
                  <c:v>3.7104537999999998</c:v>
                </c:pt>
                <c:pt idx="20">
                  <c:v>3.8053940000000002</c:v>
                </c:pt>
                <c:pt idx="21">
                  <c:v>3.8972498999999998</c:v>
                </c:pt>
                <c:pt idx="22">
                  <c:v>3.9822517999999998</c:v>
                </c:pt>
                <c:pt idx="23">
                  <c:v>4.0672537000000002</c:v>
                </c:pt>
                <c:pt idx="24">
                  <c:v>4.1522555999999993</c:v>
                </c:pt>
                <c:pt idx="25">
                  <c:v>4.2195424999999993</c:v>
                </c:pt>
                <c:pt idx="26">
                  <c:v>4.2839949999999991</c:v>
                </c:pt>
                <c:pt idx="27">
                  <c:v>4.3484474999999998</c:v>
                </c:pt>
                <c:pt idx="28">
                  <c:v>4.3991407999999996</c:v>
                </c:pt>
                <c:pt idx="29">
                  <c:v>4.4303418999999993</c:v>
                </c:pt>
                <c:pt idx="30">
                  <c:v>4.4615429999999998</c:v>
                </c:pt>
                <c:pt idx="31">
                  <c:v>4.4927440999999986</c:v>
                </c:pt>
                <c:pt idx="32">
                  <c:v>4.5065656000000001</c:v>
                </c:pt>
                <c:pt idx="33">
                  <c:v>4.5197664</c:v>
                </c:pt>
                <c:pt idx="34">
                  <c:v>4.5329671999999999</c:v>
                </c:pt>
                <c:pt idx="35">
                  <c:v>4.5428605000000006</c:v>
                </c:pt>
                <c:pt idx="36">
                  <c:v>4.5496668000000007</c:v>
                </c:pt>
                <c:pt idx="37">
                  <c:v>4.5564731000000007</c:v>
                </c:pt>
                <c:pt idx="38">
                  <c:v>4.5621572000000006</c:v>
                </c:pt>
                <c:pt idx="39">
                  <c:v>4.5526916000000002</c:v>
                </c:pt>
                <c:pt idx="40">
                  <c:v>4.5432260000000007</c:v>
                </c:pt>
                <c:pt idx="41">
                  <c:v>4.5337604000000002</c:v>
                </c:pt>
                <c:pt idx="42">
                  <c:v>4.5112627999999999</c:v>
                </c:pt>
                <c:pt idx="43">
                  <c:v>4.4808012000000002</c:v>
                </c:pt>
                <c:pt idx="44">
                  <c:v>4.4503396000000004</c:v>
                </c:pt>
                <c:pt idx="45">
                  <c:v>4.4170595000000006</c:v>
                </c:pt>
                <c:pt idx="46">
                  <c:v>4.3702506000000003</c:v>
                </c:pt>
                <c:pt idx="47">
                  <c:v>4.3234417000000001</c:v>
                </c:pt>
                <c:pt idx="48">
                  <c:v>4.2766327999999998</c:v>
                </c:pt>
                <c:pt idx="49">
                  <c:v>4.2195695999999998</c:v>
                </c:pt>
                <c:pt idx="50">
                  <c:v>4.1585999999999999</c:v>
                </c:pt>
                <c:pt idx="51">
                  <c:v>4.0976303999999999</c:v>
                </c:pt>
                <c:pt idx="52">
                  <c:v>4.0326464000000009</c:v>
                </c:pt>
                <c:pt idx="53">
                  <c:v>3.9571246000000002</c:v>
                </c:pt>
                <c:pt idx="54">
                  <c:v>3.8816028</c:v>
                </c:pt>
                <c:pt idx="55">
                  <c:v>3.8060809999999998</c:v>
                </c:pt>
                <c:pt idx="56">
                  <c:v>3.7116207999999999</c:v>
                </c:pt>
                <c:pt idx="57">
                  <c:v>3.6132151000000001</c:v>
                </c:pt>
                <c:pt idx="58">
                  <c:v>3.5148093999999999</c:v>
                </c:pt>
                <c:pt idx="59">
                  <c:v>3.4087994000000008</c:v>
                </c:pt>
                <c:pt idx="60">
                  <c:v>3.290346</c:v>
                </c:pt>
                <c:pt idx="61">
                  <c:v>3.1718926000000001</c:v>
                </c:pt>
                <c:pt idx="62">
                  <c:v>3.0534392000000001</c:v>
                </c:pt>
                <c:pt idx="63">
                  <c:v>2.9218286999999998</c:v>
                </c:pt>
                <c:pt idx="64">
                  <c:v>2.7892435999999998</c:v>
                </c:pt>
                <c:pt idx="65">
                  <c:v>2.6566584999999998</c:v>
                </c:pt>
                <c:pt idx="66">
                  <c:v>2.5172609999999991</c:v>
                </c:pt>
                <c:pt idx="67">
                  <c:v>2.3705645</c:v>
                </c:pt>
                <c:pt idx="68">
                  <c:v>2.2238680000000008</c:v>
                </c:pt>
                <c:pt idx="69">
                  <c:v>2.0768400000000011</c:v>
                </c:pt>
                <c:pt idx="70">
                  <c:v>1.920530000000001</c:v>
                </c:pt>
                <c:pt idx="71">
                  <c:v>1.764219999999999</c:v>
                </c:pt>
                <c:pt idx="72">
                  <c:v>1.60791</c:v>
                </c:pt>
                <c:pt idx="73">
                  <c:v>1.452552000000001</c:v>
                </c:pt>
                <c:pt idx="74">
                  <c:v>1.2978659999999991</c:v>
                </c:pt>
                <c:pt idx="75">
                  <c:v>1.143179999999999</c:v>
                </c:pt>
                <c:pt idx="76">
                  <c:v>0.99211980000000011</c:v>
                </c:pt>
                <c:pt idx="77">
                  <c:v>0.86372084999999921</c:v>
                </c:pt>
                <c:pt idx="78">
                  <c:v>0.73532190000000019</c:v>
                </c:pt>
                <c:pt idx="79">
                  <c:v>0.60692295000000129</c:v>
                </c:pt>
                <c:pt idx="80">
                  <c:v>0.49771739999999998</c:v>
                </c:pt>
                <c:pt idx="81">
                  <c:v>0.39714888000000043</c:v>
                </c:pt>
                <c:pt idx="82">
                  <c:v>0.29658036000000071</c:v>
                </c:pt>
                <c:pt idx="83">
                  <c:v>0.20112106999999971</c:v>
                </c:pt>
                <c:pt idx="84">
                  <c:v>0.12171936</c:v>
                </c:pt>
                <c:pt idx="85">
                  <c:v>4.2317649999999152E-2</c:v>
                </c:pt>
                <c:pt idx="86">
                  <c:v>-3.7084060000000578E-2</c:v>
                </c:pt>
                <c:pt idx="87">
                  <c:v>-8.9852460000000009E-2</c:v>
                </c:pt>
                <c:pt idx="88">
                  <c:v>-0.1356730400000003</c:v>
                </c:pt>
                <c:pt idx="89">
                  <c:v>-0.18149361999999999</c:v>
                </c:pt>
                <c:pt idx="90">
                  <c:v>-0.21877329999999989</c:v>
                </c:pt>
                <c:pt idx="91">
                  <c:v>-0.23982527000000009</c:v>
                </c:pt>
                <c:pt idx="92">
                  <c:v>-0.26087724000000012</c:v>
                </c:pt>
                <c:pt idx="93">
                  <c:v>-0.28192920999999999</c:v>
                </c:pt>
                <c:pt idx="94">
                  <c:v>-0.28121762</c:v>
                </c:pt>
                <c:pt idx="95">
                  <c:v>-0.27799485000000002</c:v>
                </c:pt>
                <c:pt idx="96">
                  <c:v>-0.27477207999999997</c:v>
                </c:pt>
                <c:pt idx="97">
                  <c:v>-0.26415282999999978</c:v>
                </c:pt>
                <c:pt idx="98">
                  <c:v>-0.24443022</c:v>
                </c:pt>
                <c:pt idx="99">
                  <c:v>-0.22470760999999981</c:v>
                </c:pt>
                <c:pt idx="100">
                  <c:v>-0.204985</c:v>
                </c:pt>
              </c:numCache>
            </c:numRef>
          </c:yVal>
          <c:smooth val="1"/>
          <c:extLst>
            <c:ext xmlns:c16="http://schemas.microsoft.com/office/drawing/2014/chart" uri="{C3380CC4-5D6E-409C-BE32-E72D297353CC}">
              <c16:uniqueId val="{00000002-8831-4D0A-9D08-C71F491C5542}"/>
            </c:ext>
          </c:extLst>
        </c:ser>
        <c:ser>
          <c:idx val="3"/>
          <c:order val="4"/>
          <c:tx>
            <c:v>Left 3</c:v>
          </c:tx>
          <c:spPr>
            <a:ln w="19050">
              <a:solidFill>
                <a:srgbClr val="FF0000"/>
              </a:solidFill>
            </a:ln>
          </c:spPr>
          <c:marker>
            <c:symbol val="none"/>
          </c:marker>
          <c:xVal>
            <c:numRef>
              <c:f>'Left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3 Kin'!$AQ$2:$AQ$102</c:f>
              <c:numCache>
                <c:formatCode>General</c:formatCode>
                <c:ptCount val="101"/>
                <c:pt idx="0">
                  <c:v>0.439525</c:v>
                </c:pt>
                <c:pt idx="1">
                  <c:v>0.54781785999999999</c:v>
                </c:pt>
                <c:pt idx="2">
                  <c:v>0.65611072000000004</c:v>
                </c:pt>
                <c:pt idx="3">
                  <c:v>0.76440357999999997</c:v>
                </c:pt>
                <c:pt idx="4">
                  <c:v>0.8888989599999999</c:v>
                </c:pt>
                <c:pt idx="5">
                  <c:v>1.1025081999999999</c:v>
                </c:pt>
                <c:pt idx="6">
                  <c:v>1.31611744</c:v>
                </c:pt>
                <c:pt idx="7">
                  <c:v>1.52972668</c:v>
                </c:pt>
                <c:pt idx="8">
                  <c:v>1.7111428</c:v>
                </c:pt>
                <c:pt idx="9">
                  <c:v>1.8201244000000001</c:v>
                </c:pt>
                <c:pt idx="10">
                  <c:v>1.929106</c:v>
                </c:pt>
                <c:pt idx="11">
                  <c:v>2.0380875999999999</c:v>
                </c:pt>
                <c:pt idx="12">
                  <c:v>2.1559887999999998</c:v>
                </c:pt>
                <c:pt idx="13">
                  <c:v>2.2842962</c:v>
                </c:pt>
                <c:pt idx="14">
                  <c:v>2.4126036000000002</c:v>
                </c:pt>
                <c:pt idx="15">
                  <c:v>2.5409109999999999</c:v>
                </c:pt>
                <c:pt idx="16">
                  <c:v>2.6767943999999999</c:v>
                </c:pt>
                <c:pt idx="17">
                  <c:v>2.8174128000000001</c:v>
                </c:pt>
                <c:pt idx="18">
                  <c:v>2.9580312000000002</c:v>
                </c:pt>
                <c:pt idx="19">
                  <c:v>3.0986495999999999</c:v>
                </c:pt>
                <c:pt idx="20">
                  <c:v>3.212272</c:v>
                </c:pt>
                <c:pt idx="21">
                  <c:v>3.3177956000000002</c:v>
                </c:pt>
                <c:pt idx="22">
                  <c:v>3.4233191999999999</c:v>
                </c:pt>
                <c:pt idx="23">
                  <c:v>3.5288428000000001</c:v>
                </c:pt>
                <c:pt idx="24">
                  <c:v>3.6115184</c:v>
                </c:pt>
                <c:pt idx="25">
                  <c:v>3.6922899999999998</c:v>
                </c:pt>
                <c:pt idx="26">
                  <c:v>3.7730616000000001</c:v>
                </c:pt>
                <c:pt idx="27">
                  <c:v>3.8519977999999999</c:v>
                </c:pt>
                <c:pt idx="28">
                  <c:v>3.9089092000000001</c:v>
                </c:pt>
                <c:pt idx="29">
                  <c:v>3.9658205999999998</c:v>
                </c:pt>
                <c:pt idx="30">
                  <c:v>4.0227320000000004</c:v>
                </c:pt>
                <c:pt idx="31">
                  <c:v>4.0714402000000014</c:v>
                </c:pt>
                <c:pt idx="32">
                  <c:v>4.0928044000000003</c:v>
                </c:pt>
                <c:pt idx="33">
                  <c:v>4.1141686000000002</c:v>
                </c:pt>
                <c:pt idx="34">
                  <c:v>4.1355328000000009</c:v>
                </c:pt>
                <c:pt idx="35">
                  <c:v>4.1503810000000003</c:v>
                </c:pt>
                <c:pt idx="36">
                  <c:v>4.1548036000000002</c:v>
                </c:pt>
                <c:pt idx="37">
                  <c:v>4.1592262</c:v>
                </c:pt>
                <c:pt idx="38">
                  <c:v>4.1636487999999998</c:v>
                </c:pt>
                <c:pt idx="39">
                  <c:v>4.1610784000000001</c:v>
                </c:pt>
                <c:pt idx="40">
                  <c:v>4.152514</c:v>
                </c:pt>
                <c:pt idx="41">
                  <c:v>4.1439496</c:v>
                </c:pt>
                <c:pt idx="42">
                  <c:v>4.1353852</c:v>
                </c:pt>
                <c:pt idx="43">
                  <c:v>4.1137689999999996</c:v>
                </c:pt>
                <c:pt idx="44">
                  <c:v>4.0863519999999998</c:v>
                </c:pt>
                <c:pt idx="45">
                  <c:v>4.058935</c:v>
                </c:pt>
                <c:pt idx="46">
                  <c:v>4.0315180000000002</c:v>
                </c:pt>
                <c:pt idx="47">
                  <c:v>3.9902058</c:v>
                </c:pt>
                <c:pt idx="48">
                  <c:v>3.946367200000001</c:v>
                </c:pt>
                <c:pt idx="49">
                  <c:v>3.9025286000000001</c:v>
                </c:pt>
                <c:pt idx="50">
                  <c:v>3.8586900000000002</c:v>
                </c:pt>
                <c:pt idx="51">
                  <c:v>3.8022491999999999</c:v>
                </c:pt>
                <c:pt idx="52">
                  <c:v>3.7458084</c:v>
                </c:pt>
                <c:pt idx="53">
                  <c:v>3.6893676000000002</c:v>
                </c:pt>
                <c:pt idx="54">
                  <c:v>3.6314167999999998</c:v>
                </c:pt>
                <c:pt idx="55">
                  <c:v>3.5651609999999998</c:v>
                </c:pt>
                <c:pt idx="56">
                  <c:v>3.4989051999999998</c:v>
                </c:pt>
                <c:pt idx="57">
                  <c:v>3.4326493999999999</c:v>
                </c:pt>
                <c:pt idx="58">
                  <c:v>3.3622168000000001</c:v>
                </c:pt>
                <c:pt idx="59">
                  <c:v>3.2823864</c:v>
                </c:pt>
                <c:pt idx="60">
                  <c:v>3.202556</c:v>
                </c:pt>
                <c:pt idx="61">
                  <c:v>3.122725599999999</c:v>
                </c:pt>
                <c:pt idx="62">
                  <c:v>3.0349331999999989</c:v>
                </c:pt>
                <c:pt idx="63">
                  <c:v>2.9378517999999998</c:v>
                </c:pt>
                <c:pt idx="64">
                  <c:v>2.8407703999999989</c:v>
                </c:pt>
                <c:pt idx="65">
                  <c:v>2.7436889999999998</c:v>
                </c:pt>
                <c:pt idx="66">
                  <c:v>2.6338795999999989</c:v>
                </c:pt>
                <c:pt idx="67">
                  <c:v>2.5161151999999989</c:v>
                </c:pt>
                <c:pt idx="68">
                  <c:v>2.3983507999999998</c:v>
                </c:pt>
                <c:pt idx="69">
                  <c:v>2.2805863999999989</c:v>
                </c:pt>
                <c:pt idx="70">
                  <c:v>2.1477399999999989</c:v>
                </c:pt>
                <c:pt idx="71">
                  <c:v>2.0103689999999981</c:v>
                </c:pt>
                <c:pt idx="72">
                  <c:v>1.8729979999999991</c:v>
                </c:pt>
                <c:pt idx="73">
                  <c:v>1.735627</c:v>
                </c:pt>
                <c:pt idx="74">
                  <c:v>1.5873743999999981</c:v>
                </c:pt>
                <c:pt idx="75">
                  <c:v>1.4382149999999989</c:v>
                </c:pt>
                <c:pt idx="76">
                  <c:v>1.2890556</c:v>
                </c:pt>
                <c:pt idx="77">
                  <c:v>1.1403402999999981</c:v>
                </c:pt>
                <c:pt idx="78">
                  <c:v>0.9969541999999989</c:v>
                </c:pt>
                <c:pt idx="79">
                  <c:v>0.85356809999999961</c:v>
                </c:pt>
                <c:pt idx="80">
                  <c:v>0.71018199999999831</c:v>
                </c:pt>
                <c:pt idx="81">
                  <c:v>0.57264385999999923</c:v>
                </c:pt>
                <c:pt idx="82">
                  <c:v>0.4545989199999998</c:v>
                </c:pt>
                <c:pt idx="83">
                  <c:v>0.3365539799999987</c:v>
                </c:pt>
                <c:pt idx="84">
                  <c:v>0.21850903999999929</c:v>
                </c:pt>
                <c:pt idx="85">
                  <c:v>0.1191491999999989</c:v>
                </c:pt>
                <c:pt idx="86">
                  <c:v>4.9685519999999261E-2</c:v>
                </c:pt>
                <c:pt idx="87">
                  <c:v>-1.9778160000000409E-2</c:v>
                </c:pt>
                <c:pt idx="88">
                  <c:v>-8.9241840000001071E-2</c:v>
                </c:pt>
                <c:pt idx="89">
                  <c:v>-0.13761760000000031</c:v>
                </c:pt>
                <c:pt idx="90">
                  <c:v>-0.16791800000000001</c:v>
                </c:pt>
                <c:pt idx="91">
                  <c:v>-0.19821840000000021</c:v>
                </c:pt>
                <c:pt idx="92">
                  <c:v>-0.22851879999999991</c:v>
                </c:pt>
                <c:pt idx="93">
                  <c:v>-0.23630876000000001</c:v>
                </c:pt>
                <c:pt idx="94">
                  <c:v>-0.23409408000000001</c:v>
                </c:pt>
                <c:pt idx="95">
                  <c:v>-0.23187940000000001</c:v>
                </c:pt>
                <c:pt idx="96">
                  <c:v>-0.22966471999999999</c:v>
                </c:pt>
                <c:pt idx="97">
                  <c:v>-0.2161988</c:v>
                </c:pt>
                <c:pt idx="98">
                  <c:v>-0.20068720000000009</c:v>
                </c:pt>
                <c:pt idx="99">
                  <c:v>-0.18517559999999991</c:v>
                </c:pt>
                <c:pt idx="100">
                  <c:v>-0.16966400000000001</c:v>
                </c:pt>
              </c:numCache>
            </c:numRef>
          </c:yVal>
          <c:smooth val="1"/>
          <c:extLst>
            <c:ext xmlns:c16="http://schemas.microsoft.com/office/drawing/2014/chart" uri="{C3380CC4-5D6E-409C-BE32-E72D297353CC}">
              <c16:uniqueId val="{00000001-8831-4D0A-9D08-C71F491C5542}"/>
            </c:ext>
          </c:extLst>
        </c:ser>
        <c:ser>
          <c:idx val="2"/>
          <c:order val="5"/>
          <c:tx>
            <c:v>Left 2</c:v>
          </c:tx>
          <c:spPr>
            <a:ln w="19050">
              <a:solidFill>
                <a:srgbClr val="FF0000"/>
              </a:solidFill>
            </a:ln>
          </c:spPr>
          <c:marker>
            <c:symbol val="none"/>
          </c:marker>
          <c:xVal>
            <c:numRef>
              <c:f>'Left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2 Kin'!$AQ$2:$AQ$102</c:f>
              <c:numCache>
                <c:formatCode>General</c:formatCode>
                <c:ptCount val="101"/>
                <c:pt idx="0">
                  <c:v>1.2484</c:v>
                </c:pt>
                <c:pt idx="1">
                  <c:v>1.4044648</c:v>
                </c:pt>
                <c:pt idx="2">
                  <c:v>1.5605296</c:v>
                </c:pt>
                <c:pt idx="3">
                  <c:v>1.7165944</c:v>
                </c:pt>
                <c:pt idx="4">
                  <c:v>1.8726592</c:v>
                </c:pt>
                <c:pt idx="5">
                  <c:v>1.9488080000000001</c:v>
                </c:pt>
                <c:pt idx="6">
                  <c:v>2.0089736</c:v>
                </c:pt>
                <c:pt idx="7">
                  <c:v>2.0691392</c:v>
                </c:pt>
                <c:pt idx="8">
                  <c:v>2.1293047999999999</c:v>
                </c:pt>
                <c:pt idx="9">
                  <c:v>2.2180624</c:v>
                </c:pt>
                <c:pt idx="10">
                  <c:v>2.321116</c:v>
                </c:pt>
                <c:pt idx="11">
                  <c:v>2.4241695999999999</c:v>
                </c:pt>
                <c:pt idx="12">
                  <c:v>2.5272231999999999</c:v>
                </c:pt>
                <c:pt idx="13">
                  <c:v>2.6297188</c:v>
                </c:pt>
                <c:pt idx="14">
                  <c:v>2.7316563999999999</c:v>
                </c:pt>
                <c:pt idx="15">
                  <c:v>2.8335940000000002</c:v>
                </c:pt>
                <c:pt idx="16">
                  <c:v>2.9355316</c:v>
                </c:pt>
                <c:pt idx="17">
                  <c:v>3.0302604</c:v>
                </c:pt>
                <c:pt idx="18">
                  <c:v>3.1105716000000001</c:v>
                </c:pt>
                <c:pt idx="19">
                  <c:v>3.1908827999999998</c:v>
                </c:pt>
                <c:pt idx="20">
                  <c:v>3.2711939999999999</c:v>
                </c:pt>
                <c:pt idx="21">
                  <c:v>3.350492</c:v>
                </c:pt>
                <c:pt idx="22">
                  <c:v>3.4247239999999999</c:v>
                </c:pt>
                <c:pt idx="23">
                  <c:v>3.4989560000000002</c:v>
                </c:pt>
                <c:pt idx="24">
                  <c:v>3.573188</c:v>
                </c:pt>
                <c:pt idx="25">
                  <c:v>3.6474199999999999</c:v>
                </c:pt>
                <c:pt idx="26">
                  <c:v>3.7040479999999998</c:v>
                </c:pt>
                <c:pt idx="27">
                  <c:v>3.7606760000000001</c:v>
                </c:pt>
                <c:pt idx="28">
                  <c:v>3.817304</c:v>
                </c:pt>
                <c:pt idx="29">
                  <c:v>3.8739319999999999</c:v>
                </c:pt>
                <c:pt idx="30">
                  <c:v>3.90577</c:v>
                </c:pt>
                <c:pt idx="31">
                  <c:v>3.9326500000000002</c:v>
                </c:pt>
                <c:pt idx="32">
                  <c:v>3.95953</c:v>
                </c:pt>
                <c:pt idx="33">
                  <c:v>3.9864099999999998</c:v>
                </c:pt>
                <c:pt idx="34">
                  <c:v>4.0053700000000001</c:v>
                </c:pt>
                <c:pt idx="35">
                  <c:v>4.0203699999999998</c:v>
                </c:pt>
                <c:pt idx="36">
                  <c:v>4.0353700000000003</c:v>
                </c:pt>
                <c:pt idx="37">
                  <c:v>4.05037</c:v>
                </c:pt>
                <c:pt idx="38">
                  <c:v>4.0539592000000004</c:v>
                </c:pt>
                <c:pt idx="39">
                  <c:v>4.0461376000000007</c:v>
                </c:pt>
                <c:pt idx="40">
                  <c:v>4.038316</c:v>
                </c:pt>
                <c:pt idx="41">
                  <c:v>4.0304944000000003</c:v>
                </c:pt>
                <c:pt idx="42">
                  <c:v>4.0148776000000002</c:v>
                </c:pt>
                <c:pt idx="43">
                  <c:v>3.9836703999999998</c:v>
                </c:pt>
                <c:pt idx="44">
                  <c:v>3.9524632</c:v>
                </c:pt>
                <c:pt idx="45">
                  <c:v>3.9212560000000001</c:v>
                </c:pt>
                <c:pt idx="46">
                  <c:v>3.8861135999999998</c:v>
                </c:pt>
                <c:pt idx="47">
                  <c:v>3.8312952</c:v>
                </c:pt>
                <c:pt idx="48">
                  <c:v>3.7764768000000002</c:v>
                </c:pt>
                <c:pt idx="49">
                  <c:v>3.7216583999999999</c:v>
                </c:pt>
                <c:pt idx="50">
                  <c:v>3.6668400000000001</c:v>
                </c:pt>
                <c:pt idx="51">
                  <c:v>3.5950319999999998</c:v>
                </c:pt>
                <c:pt idx="52">
                  <c:v>3.5232239999999999</c:v>
                </c:pt>
                <c:pt idx="53">
                  <c:v>3.451416</c:v>
                </c:pt>
                <c:pt idx="54">
                  <c:v>3.3796080000000002</c:v>
                </c:pt>
                <c:pt idx="55">
                  <c:v>3.2939780000000001</c:v>
                </c:pt>
                <c:pt idx="56">
                  <c:v>3.2055836000000002</c:v>
                </c:pt>
                <c:pt idx="57">
                  <c:v>3.1171891999999999</c:v>
                </c:pt>
                <c:pt idx="58">
                  <c:v>3.0287948</c:v>
                </c:pt>
                <c:pt idx="59">
                  <c:v>2.9274388</c:v>
                </c:pt>
                <c:pt idx="60">
                  <c:v>2.8196020000000002</c:v>
                </c:pt>
                <c:pt idx="61">
                  <c:v>2.7117651999999999</c:v>
                </c:pt>
                <c:pt idx="62">
                  <c:v>2.6039284</c:v>
                </c:pt>
                <c:pt idx="63">
                  <c:v>2.4907192</c:v>
                </c:pt>
                <c:pt idx="64">
                  <c:v>2.3721375999999998</c:v>
                </c:pt>
                <c:pt idx="65">
                  <c:v>2.253556000000001</c:v>
                </c:pt>
                <c:pt idx="66">
                  <c:v>2.1349743999999991</c:v>
                </c:pt>
                <c:pt idx="67">
                  <c:v>2.0138536</c:v>
                </c:pt>
                <c:pt idx="68">
                  <c:v>1.8876544000000011</c:v>
                </c:pt>
                <c:pt idx="69">
                  <c:v>1.7614552000000001</c:v>
                </c:pt>
                <c:pt idx="70">
                  <c:v>1.635256</c:v>
                </c:pt>
                <c:pt idx="71">
                  <c:v>1.5107023999999989</c:v>
                </c:pt>
                <c:pt idx="72">
                  <c:v>1.3943768000000001</c:v>
                </c:pt>
                <c:pt idx="73">
                  <c:v>1.2780512000000011</c:v>
                </c:pt>
                <c:pt idx="74">
                  <c:v>1.1617256</c:v>
                </c:pt>
                <c:pt idx="75">
                  <c:v>1.0454000000000001</c:v>
                </c:pt>
                <c:pt idx="76">
                  <c:v>0.94631648000000057</c:v>
                </c:pt>
                <c:pt idx="77">
                  <c:v>0.8472329599999997</c:v>
                </c:pt>
                <c:pt idx="78">
                  <c:v>0.74814944000000017</c:v>
                </c:pt>
                <c:pt idx="79">
                  <c:v>0.64906592000000063</c:v>
                </c:pt>
                <c:pt idx="80">
                  <c:v>0.56458439999999976</c:v>
                </c:pt>
                <c:pt idx="81">
                  <c:v>0.48302328000000022</c:v>
                </c:pt>
                <c:pt idx="82">
                  <c:v>0.40146216000000062</c:v>
                </c:pt>
                <c:pt idx="83">
                  <c:v>0.3199010399999998</c:v>
                </c:pt>
                <c:pt idx="84">
                  <c:v>0.25113905600000019</c:v>
                </c:pt>
                <c:pt idx="85">
                  <c:v>0.18877663999999969</c:v>
                </c:pt>
                <c:pt idx="86">
                  <c:v>0.12641422399999999</c:v>
                </c:pt>
                <c:pt idx="87">
                  <c:v>6.4051808000000321E-2</c:v>
                </c:pt>
                <c:pt idx="88">
                  <c:v>1.13745679999998E-2</c:v>
                </c:pt>
                <c:pt idx="89">
                  <c:v>-3.1617495999999981E-2</c:v>
                </c:pt>
                <c:pt idx="90">
                  <c:v>-7.4609559999999756E-2</c:v>
                </c:pt>
                <c:pt idx="91">
                  <c:v>-0.1176016240000002</c:v>
                </c:pt>
                <c:pt idx="92">
                  <c:v>-0.15089011999999999</c:v>
                </c:pt>
                <c:pt idx="93">
                  <c:v>-0.16477147999999989</c:v>
                </c:pt>
                <c:pt idx="94">
                  <c:v>-0.17865284000000001</c:v>
                </c:pt>
                <c:pt idx="95">
                  <c:v>-0.19253419999999999</c:v>
                </c:pt>
                <c:pt idx="96">
                  <c:v>-0.2040872</c:v>
                </c:pt>
                <c:pt idx="97">
                  <c:v>-0.2039984</c:v>
                </c:pt>
                <c:pt idx="98">
                  <c:v>-0.2039096</c:v>
                </c:pt>
                <c:pt idx="99">
                  <c:v>-0.2038208</c:v>
                </c:pt>
                <c:pt idx="100">
                  <c:v>-0.203732</c:v>
                </c:pt>
              </c:numCache>
            </c:numRef>
          </c:yVal>
          <c:smooth val="1"/>
          <c:extLst>
            <c:ext xmlns:c16="http://schemas.microsoft.com/office/drawing/2014/chart" uri="{C3380CC4-5D6E-409C-BE32-E72D297353CC}">
              <c16:uniqueId val="{00000000-8831-4D0A-9D08-C71F491C5542}"/>
            </c:ext>
          </c:extLst>
        </c:ser>
        <c:ser>
          <c:idx val="0"/>
          <c:order val="6"/>
          <c:tx>
            <c:v>Left 1</c:v>
          </c:tx>
          <c:spPr>
            <a:ln w="19050">
              <a:solidFill>
                <a:srgbClr val="FF0000"/>
              </a:solidFill>
            </a:ln>
          </c:spPr>
          <c:marker>
            <c:symbol val="none"/>
          </c:marker>
          <c:xVal>
            <c:numRef>
              <c:f>'Left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1 Kin'!$AQ$2:$AQ$102</c:f>
              <c:numCache>
                <c:formatCode>General</c:formatCode>
                <c:ptCount val="101"/>
                <c:pt idx="0">
                  <c:v>-0.38397199999999998</c:v>
                </c:pt>
                <c:pt idx="1">
                  <c:v>-0.37765900000000002</c:v>
                </c:pt>
                <c:pt idx="2">
                  <c:v>-0.37134600000000001</c:v>
                </c:pt>
                <c:pt idx="3">
                  <c:v>-0.36503300000000011</c:v>
                </c:pt>
                <c:pt idx="4">
                  <c:v>-0.35871999999999998</c:v>
                </c:pt>
                <c:pt idx="5">
                  <c:v>-0.33325250000000001</c:v>
                </c:pt>
                <c:pt idx="6">
                  <c:v>-0.30778499999999998</c:v>
                </c:pt>
                <c:pt idx="7">
                  <c:v>-0.2823175</c:v>
                </c:pt>
                <c:pt idx="8">
                  <c:v>-0.25685000000000002</c:v>
                </c:pt>
                <c:pt idx="9">
                  <c:v>-0.19263749999999999</c:v>
                </c:pt>
                <c:pt idx="10">
                  <c:v>-0.12842500000000001</c:v>
                </c:pt>
                <c:pt idx="11">
                  <c:v>-6.4212499999999922E-2</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-1.951222500000014E-2</c:v>
                </c:pt>
                <c:pt idx="78">
                  <c:v>-3.9024450000000002E-2</c:v>
                </c:pt>
                <c:pt idx="79">
                  <c:v>-5.8536674999999858E-2</c:v>
                </c:pt>
                <c:pt idx="80">
                  <c:v>-7.8048900000000004E-2</c:v>
                </c:pt>
                <c:pt idx="81">
                  <c:v>-0.1119579249999999</c:v>
                </c:pt>
                <c:pt idx="82">
                  <c:v>-0.1458669499999998</c:v>
                </c:pt>
                <c:pt idx="83">
                  <c:v>-0.17977597500000009</c:v>
                </c:pt>
                <c:pt idx="84">
                  <c:v>-0.21368500000000001</c:v>
                </c:pt>
                <c:pt idx="85">
                  <c:v>-0.16026374999999959</c:v>
                </c:pt>
                <c:pt idx="86">
                  <c:v>-0.10684250000000001</c:v>
                </c:pt>
                <c:pt idx="87">
                  <c:v>-5.3421250000000392E-2</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1"/>
          <c:extLst>
            <c:ext xmlns:c16="http://schemas.microsoft.com/office/drawing/2014/chart" uri="{C3380CC4-5D6E-409C-BE32-E72D297353CC}">
              <c16:uniqueId val="{00000000-9FA4-41C0-906A-EC4294E4A384}"/>
            </c:ext>
          </c:extLst>
        </c:ser>
        <c:dLbls>
          <c:showLegendKey val="0"/>
          <c:showVal val="0"/>
          <c:showCatName val="0"/>
          <c:showSerName val="0"/>
          <c:showPercent val="0"/>
          <c:showBubbleSize val="0"/>
        </c:dLbls>
        <c:axId val="90982272"/>
        <c:axId val="90983808"/>
      </c:scatterChart>
      <c:valAx>
        <c:axId val="90982272"/>
        <c:scaling>
          <c:orientation val="minMax"/>
          <c:max val="100"/>
        </c:scaling>
        <c:delete val="0"/>
        <c:axPos val="b"/>
        <c:numFmt formatCode="General" sourceLinked="1"/>
        <c:majorTickMark val="out"/>
        <c:minorTickMark val="none"/>
        <c:tickLblPos val="nextTo"/>
        <c:txPr>
          <a:bodyPr/>
          <a:lstStyle/>
          <a:p>
            <a:pPr>
              <a:defRPr lang="en-US" sz="800"/>
            </a:pPr>
            <a:endParaRPr lang="en-US"/>
          </a:p>
        </c:txPr>
        <c:crossAx val="90983808"/>
        <c:crosses val="autoZero"/>
        <c:crossBetween val="midCat"/>
        <c:majorUnit val="20"/>
      </c:valAx>
      <c:valAx>
        <c:axId val="90983808"/>
        <c:scaling>
          <c:orientation val="minMax"/>
        </c:scaling>
        <c:delete val="0"/>
        <c:axPos val="l"/>
        <c:title>
          <c:tx>
            <c:rich>
              <a:bodyPr rot="-5400000" vert="horz"/>
              <a:lstStyle/>
              <a:p>
                <a:pPr>
                  <a:defRPr lang="en-AU" sz="900"/>
                </a:pPr>
                <a:r>
                  <a:rPr lang="en-US" sz="900"/>
                  <a:t>Moment (Nm/kg)</a:t>
                </a:r>
              </a:p>
            </c:rich>
          </c:tx>
          <c:layout>
            <c:manualLayout>
              <c:xMode val="edge"/>
              <c:yMode val="edge"/>
              <c:x val="6.1702551325188921E-3"/>
              <c:y val="0.32694305948250502"/>
            </c:manualLayout>
          </c:layout>
          <c:overlay val="0"/>
        </c:title>
        <c:numFmt formatCode="0" sourceLinked="0"/>
        <c:majorTickMark val="out"/>
        <c:minorTickMark val="none"/>
        <c:tickLblPos val="nextTo"/>
        <c:txPr>
          <a:bodyPr/>
          <a:lstStyle/>
          <a:p>
            <a:pPr>
              <a:defRPr lang="en-US" sz="800"/>
            </a:pPr>
            <a:endParaRPr lang="en-US"/>
          </a:p>
        </c:txPr>
        <c:crossAx val="90982272"/>
        <c:crosses val="autoZero"/>
        <c:crossBetween val="midCat"/>
      </c:valAx>
    </c:plotArea>
    <c:plotVisOnly val="1"/>
    <c:dispBlanksAs val="gap"/>
    <c:showDLblsOverMax val="0"/>
  </c:chart>
  <c:printSettings>
    <c:headerFooter/>
    <c:pageMargins b="0.75000000000001421" l="0.70000000000000095" r="0.70000000000000095" t="0.75000000000001421" header="0.3000000000000001" footer="0.3000000000000001"/>
    <c:pageSetup/>
  </c:printSettings>
  <c:userShapes r:id="rId1"/>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US" sz="1200"/>
            </a:pPr>
            <a:r>
              <a:rPr lang="en-US" sz="1200"/>
              <a:t>Knee Moment</a:t>
            </a:r>
          </a:p>
        </c:rich>
      </c:tx>
      <c:overlay val="0"/>
    </c:title>
    <c:autoTitleDeleted val="0"/>
    <c:plotArea>
      <c:layout>
        <c:manualLayout>
          <c:layoutTarget val="inner"/>
          <c:xMode val="edge"/>
          <c:yMode val="edge"/>
          <c:x val="9.5690327751237328E-2"/>
          <c:y val="3.4862479399377401E-2"/>
          <c:w val="0.86549034171575334"/>
          <c:h val="0.92743941890984571"/>
        </c:manualLayout>
      </c:layout>
      <c:scatterChart>
        <c:scatterStyle val="smoothMarker"/>
        <c:varyColors val="0"/>
        <c:ser>
          <c:idx val="1"/>
          <c:order val="0"/>
          <c:tx>
            <c:v>Normative</c:v>
          </c:tx>
          <c:spPr>
            <a:ln>
              <a:solidFill>
                <a:schemeClr val="tx1"/>
              </a:solidFill>
            </a:ln>
          </c:spPr>
          <c:marker>
            <c:symbol val="none"/>
          </c:marker>
          <c:xVal>
            <c:numRef>
              <c:f>Normative!$A$2:$A$102</c:f>
              <c:numCache>
                <c:formatCode>General</c:formatCode>
                <c:ptCount val="101"/>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numCache>
            </c:numRef>
          </c:xVal>
          <c:yVal>
            <c:numRef>
              <c:f>Normative!$AM$2:$AM$102</c:f>
              <c:numCache>
                <c:formatCode>General</c:formatCode>
                <c:ptCount val="101"/>
                <c:pt idx="0">
                  <c:v>-1.2141496431533334</c:v>
                </c:pt>
                <c:pt idx="1">
                  <c:v>-1.2141496431533334</c:v>
                </c:pt>
                <c:pt idx="2">
                  <c:v>-0.82992050838666676</c:v>
                </c:pt>
                <c:pt idx="3">
                  <c:v>-0.78684162658666668</c:v>
                </c:pt>
                <c:pt idx="4">
                  <c:v>0.17305563590999995</c:v>
                </c:pt>
                <c:pt idx="5">
                  <c:v>0.27293166764999999</c:v>
                </c:pt>
                <c:pt idx="6">
                  <c:v>0.90261831639666668</c:v>
                </c:pt>
                <c:pt idx="7">
                  <c:v>1.01415889498</c:v>
                </c:pt>
                <c:pt idx="8">
                  <c:v>0.91919841956333337</c:v>
                </c:pt>
                <c:pt idx="9">
                  <c:v>0.94644543484666666</c:v>
                </c:pt>
                <c:pt idx="10">
                  <c:v>0.97147561629666668</c:v>
                </c:pt>
                <c:pt idx="11">
                  <c:v>1.0656174838800001</c:v>
                </c:pt>
                <c:pt idx="12">
                  <c:v>1.2074824614933335</c:v>
                </c:pt>
                <c:pt idx="13">
                  <c:v>1.5102349900833336</c:v>
                </c:pt>
                <c:pt idx="14">
                  <c:v>1.6766260480699997</c:v>
                </c:pt>
                <c:pt idx="15">
                  <c:v>1.8802213158033332</c:v>
                </c:pt>
                <c:pt idx="16">
                  <c:v>2.0713747980333332</c:v>
                </c:pt>
                <c:pt idx="17">
                  <c:v>2.1466958448333329</c:v>
                </c:pt>
                <c:pt idx="18">
                  <c:v>2.2956749776233338</c:v>
                </c:pt>
                <c:pt idx="19">
                  <c:v>2.27538537603</c:v>
                </c:pt>
                <c:pt idx="20">
                  <c:v>2.3598097183866669</c:v>
                </c:pt>
                <c:pt idx="21">
                  <c:v>2.3410417895500002</c:v>
                </c:pt>
                <c:pt idx="22">
                  <c:v>2.4099256416899997</c:v>
                </c:pt>
                <c:pt idx="23">
                  <c:v>2.4315368025633335</c:v>
                </c:pt>
                <c:pt idx="24">
                  <c:v>2.4738322412700002</c:v>
                </c:pt>
                <c:pt idx="25">
                  <c:v>2.5098044515666666</c:v>
                </c:pt>
                <c:pt idx="26">
                  <c:v>2.5296853019633332</c:v>
                </c:pt>
                <c:pt idx="27">
                  <c:v>2.4863526541966667</c:v>
                </c:pt>
                <c:pt idx="28">
                  <c:v>2.4504023685333336</c:v>
                </c:pt>
                <c:pt idx="29">
                  <c:v>2.4066343249366664</c:v>
                </c:pt>
                <c:pt idx="30">
                  <c:v>2.3343559403933338</c:v>
                </c:pt>
                <c:pt idx="31">
                  <c:v>2.2794325983400001</c:v>
                </c:pt>
                <c:pt idx="32">
                  <c:v>2.1775957009233329</c:v>
                </c:pt>
                <c:pt idx="33">
                  <c:v>2.0013101963566666</c:v>
                </c:pt>
                <c:pt idx="34">
                  <c:v>1.8813092670366667</c:v>
                </c:pt>
                <c:pt idx="35">
                  <c:v>1.6350287366999998</c:v>
                </c:pt>
                <c:pt idx="36">
                  <c:v>1.4895688593533332</c:v>
                </c:pt>
                <c:pt idx="37">
                  <c:v>1.1739972898766664</c:v>
                </c:pt>
                <c:pt idx="38">
                  <c:v>0.94511897488999996</c:v>
                </c:pt>
                <c:pt idx="39">
                  <c:v>0.67547474828666665</c:v>
                </c:pt>
                <c:pt idx="40">
                  <c:v>0.48690637675333331</c:v>
                </c:pt>
                <c:pt idx="41">
                  <c:v>0.25043688456666663</c:v>
                </c:pt>
                <c:pt idx="42">
                  <c:v>8.7832174096666674E-2</c:v>
                </c:pt>
                <c:pt idx="43">
                  <c:v>-0.1543729607266667</c:v>
                </c:pt>
                <c:pt idx="44">
                  <c:v>-0.2257974769933333</c:v>
                </c:pt>
                <c:pt idx="45">
                  <c:v>-0.4248837823633333</c:v>
                </c:pt>
                <c:pt idx="46">
                  <c:v>-0.4417450189733334</c:v>
                </c:pt>
                <c:pt idx="47">
                  <c:v>-0.54710195945666662</c:v>
                </c:pt>
                <c:pt idx="48">
                  <c:v>-0.53852081005666663</c:v>
                </c:pt>
                <c:pt idx="49">
                  <c:v>-0.60062880991666656</c:v>
                </c:pt>
                <c:pt idx="50">
                  <c:v>-0.35471212919166667</c:v>
                </c:pt>
              </c:numCache>
            </c:numRef>
          </c:yVal>
          <c:smooth val="1"/>
          <c:extLst>
            <c:ext xmlns:c16="http://schemas.microsoft.com/office/drawing/2014/chart" uri="{C3380CC4-5D6E-409C-BE32-E72D297353CC}">
              <c16:uniqueId val="{00000000-0E63-466B-8634-6C01A2D09F07}"/>
            </c:ext>
          </c:extLst>
        </c:ser>
        <c:ser>
          <c:idx val="6"/>
          <c:order val="1"/>
          <c:tx>
            <c:v>Right 3</c:v>
          </c:tx>
          <c:spPr>
            <a:ln w="19050">
              <a:solidFill>
                <a:srgbClr val="00B050"/>
              </a:solidFill>
            </a:ln>
          </c:spPr>
          <c:marker>
            <c:symbol val="none"/>
          </c:marker>
          <c:xVal>
            <c:numRef>
              <c:f>'Right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3 Kin'!$AM$2:$AM$102</c:f>
              <c:numCache>
                <c:formatCode>General</c:formatCode>
                <c:ptCount val="101"/>
                <c:pt idx="0">
                  <c:v>-1.1456500000000001</c:v>
                </c:pt>
                <c:pt idx="1">
                  <c:v>-0.8110773200000001</c:v>
                </c:pt>
                <c:pt idx="2">
                  <c:v>-0.47650463999999998</c:v>
                </c:pt>
                <c:pt idx="3">
                  <c:v>-0.14193196</c:v>
                </c:pt>
                <c:pt idx="4">
                  <c:v>0.12777468</c:v>
                </c:pt>
                <c:pt idx="5">
                  <c:v>4.0718099999999972E-2</c:v>
                </c:pt>
                <c:pt idx="6">
                  <c:v>-4.6338479999999987E-2</c:v>
                </c:pt>
                <c:pt idx="7">
                  <c:v>-0.13339506000000009</c:v>
                </c:pt>
                <c:pt idx="8">
                  <c:v>-0.185836056</c:v>
                </c:pt>
                <c:pt idx="9">
                  <c:v>-0.16039198800000001</c:v>
                </c:pt>
                <c:pt idx="10">
                  <c:v>-0.13494792</c:v>
                </c:pt>
                <c:pt idx="11">
                  <c:v>-0.109503852</c:v>
                </c:pt>
                <c:pt idx="12">
                  <c:v>2.3541863999999722E-2</c:v>
                </c:pt>
                <c:pt idx="13">
                  <c:v>0.28212283599999988</c:v>
                </c:pt>
                <c:pt idx="14">
                  <c:v>0.54070380800000006</c:v>
                </c:pt>
                <c:pt idx="15">
                  <c:v>0.79928478000000025</c:v>
                </c:pt>
                <c:pt idx="16">
                  <c:v>0.98625916000000013</c:v>
                </c:pt>
                <c:pt idx="17">
                  <c:v>1.1284794199999999</c:v>
                </c:pt>
                <c:pt idx="18">
                  <c:v>1.2706996800000001</c:v>
                </c:pt>
                <c:pt idx="19">
                  <c:v>1.4129199400000001</c:v>
                </c:pt>
                <c:pt idx="20">
                  <c:v>1.56345</c:v>
                </c:pt>
                <c:pt idx="21">
                  <c:v>1.7164729999999999</c:v>
                </c:pt>
                <c:pt idx="22">
                  <c:v>1.869496</c:v>
                </c:pt>
                <c:pt idx="23">
                  <c:v>2.022519</c:v>
                </c:pt>
                <c:pt idx="24">
                  <c:v>2.228183599999999</c:v>
                </c:pt>
                <c:pt idx="25">
                  <c:v>2.4382350000000002</c:v>
                </c:pt>
                <c:pt idx="26">
                  <c:v>2.648286399999999</c:v>
                </c:pt>
                <c:pt idx="27">
                  <c:v>2.8512271999999999</c:v>
                </c:pt>
                <c:pt idx="28">
                  <c:v>2.9688408000000002</c:v>
                </c:pt>
                <c:pt idx="29">
                  <c:v>3.0864544</c:v>
                </c:pt>
                <c:pt idx="30">
                  <c:v>3.2040679999999999</c:v>
                </c:pt>
                <c:pt idx="31">
                  <c:v>3.3156246</c:v>
                </c:pt>
                <c:pt idx="32">
                  <c:v>3.4069912000000002</c:v>
                </c:pt>
                <c:pt idx="33">
                  <c:v>3.4983578</c:v>
                </c:pt>
                <c:pt idx="34">
                  <c:v>3.5897244000000001</c:v>
                </c:pt>
                <c:pt idx="35">
                  <c:v>3.6949179999999999</c:v>
                </c:pt>
                <c:pt idx="36">
                  <c:v>3.8222347999999999</c:v>
                </c:pt>
                <c:pt idx="37">
                  <c:v>3.9495516000000008</c:v>
                </c:pt>
                <c:pt idx="38">
                  <c:v>4.0768684000000004</c:v>
                </c:pt>
                <c:pt idx="39">
                  <c:v>4.2208410000000001</c:v>
                </c:pt>
                <c:pt idx="40">
                  <c:v>4.3790900000000006</c:v>
                </c:pt>
                <c:pt idx="41">
                  <c:v>4.5373390000000002</c:v>
                </c:pt>
                <c:pt idx="42">
                  <c:v>4.6955880000000008</c:v>
                </c:pt>
                <c:pt idx="43">
                  <c:v>4.8119708000000001</c:v>
                </c:pt>
                <c:pt idx="44">
                  <c:v>4.9097464000000004</c:v>
                </c:pt>
                <c:pt idx="45">
                  <c:v>5.0075219999999998</c:v>
                </c:pt>
                <c:pt idx="46">
                  <c:v>5.1052976000000001</c:v>
                </c:pt>
                <c:pt idx="47">
                  <c:v>5.1421486000000014</c:v>
                </c:pt>
                <c:pt idx="48">
                  <c:v>5.1679224000000001</c:v>
                </c:pt>
                <c:pt idx="49">
                  <c:v>5.1936962000000007</c:v>
                </c:pt>
                <c:pt idx="50">
                  <c:v>5.2194700000000003</c:v>
                </c:pt>
                <c:pt idx="51">
                  <c:v>5.2126527999999999</c:v>
                </c:pt>
                <c:pt idx="52">
                  <c:v>5.2058356000000003</c:v>
                </c:pt>
                <c:pt idx="53">
                  <c:v>5.1990183999999999</c:v>
                </c:pt>
                <c:pt idx="54">
                  <c:v>5.1879647999999996</c:v>
                </c:pt>
                <c:pt idx="55">
                  <c:v>5.1536109999999997</c:v>
                </c:pt>
                <c:pt idx="56">
                  <c:v>5.1192571999999998</c:v>
                </c:pt>
                <c:pt idx="57">
                  <c:v>5.0849034</c:v>
                </c:pt>
                <c:pt idx="58">
                  <c:v>5.0350671999999994</c:v>
                </c:pt>
                <c:pt idx="59">
                  <c:v>4.9503956000000002</c:v>
                </c:pt>
                <c:pt idx="60">
                  <c:v>4.8657239999999993</c:v>
                </c:pt>
                <c:pt idx="61">
                  <c:v>4.7810523999999992</c:v>
                </c:pt>
                <c:pt idx="62">
                  <c:v>4.6609951999999986</c:v>
                </c:pt>
                <c:pt idx="63">
                  <c:v>4.4996547999999992</c:v>
                </c:pt>
                <c:pt idx="64">
                  <c:v>4.3383143999999989</c:v>
                </c:pt>
                <c:pt idx="65">
                  <c:v>4.1769740000000004</c:v>
                </c:pt>
                <c:pt idx="66">
                  <c:v>3.972686399999998</c:v>
                </c:pt>
                <c:pt idx="67">
                  <c:v>3.7415567999999988</c:v>
                </c:pt>
                <c:pt idx="68">
                  <c:v>3.510427200000001</c:v>
                </c:pt>
                <c:pt idx="69">
                  <c:v>3.2792975999999978</c:v>
                </c:pt>
                <c:pt idx="70">
                  <c:v>3.017809999999999</c:v>
                </c:pt>
                <c:pt idx="71">
                  <c:v>2.7472149999999971</c:v>
                </c:pt>
                <c:pt idx="72">
                  <c:v>2.4766199999999978</c:v>
                </c:pt>
                <c:pt idx="73">
                  <c:v>2.206024999999999</c:v>
                </c:pt>
                <c:pt idx="74">
                  <c:v>1.9598235999999969</c:v>
                </c:pt>
                <c:pt idx="75">
                  <c:v>1.7156549999999979</c:v>
                </c:pt>
                <c:pt idx="76">
                  <c:v>1.471486399999999</c:v>
                </c:pt>
                <c:pt idx="77">
                  <c:v>1.2317780599999979</c:v>
                </c:pt>
                <c:pt idx="78">
                  <c:v>1.045592839999999</c:v>
                </c:pt>
                <c:pt idx="79">
                  <c:v>0.85940761999999959</c:v>
                </c:pt>
                <c:pt idx="80">
                  <c:v>0.67322239999999789</c:v>
                </c:pt>
                <c:pt idx="81">
                  <c:v>0.5196677599999997</c:v>
                </c:pt>
                <c:pt idx="82">
                  <c:v>0.47488172000000001</c:v>
                </c:pt>
                <c:pt idx="83">
                  <c:v>0.43009567999999948</c:v>
                </c:pt>
                <c:pt idx="84">
                  <c:v>0.38530963999999979</c:v>
                </c:pt>
                <c:pt idx="85">
                  <c:v>0.35984070000000012</c:v>
                </c:pt>
                <c:pt idx="86">
                  <c:v>0.36527912000000012</c:v>
                </c:pt>
                <c:pt idx="87">
                  <c:v>0.37071754000000012</c:v>
                </c:pt>
                <c:pt idx="88">
                  <c:v>0.37615596000000012</c:v>
                </c:pt>
                <c:pt idx="89">
                  <c:v>0.34387753999999943</c:v>
                </c:pt>
                <c:pt idx="90">
                  <c:v>0.27927039999999997</c:v>
                </c:pt>
                <c:pt idx="91">
                  <c:v>0.21466325999999961</c:v>
                </c:pt>
                <c:pt idx="92">
                  <c:v>0.15005612000000021</c:v>
                </c:pt>
                <c:pt idx="93">
                  <c:v>5.9898700000000901E-2</c:v>
                </c:pt>
                <c:pt idx="94">
                  <c:v>-4.1614400000000051E-2</c:v>
                </c:pt>
                <c:pt idx="95">
                  <c:v>-0.14312749999999949</c:v>
                </c:pt>
                <c:pt idx="96">
                  <c:v>-0.24464059999999899</c:v>
                </c:pt>
                <c:pt idx="97">
                  <c:v>-0.30094633999999998</c:v>
                </c:pt>
                <c:pt idx="98">
                  <c:v>-0.34903255999999983</c:v>
                </c:pt>
                <c:pt idx="99">
                  <c:v>-0.39711878000000023</c:v>
                </c:pt>
                <c:pt idx="100">
                  <c:v>-0.44520500000000002</c:v>
                </c:pt>
              </c:numCache>
            </c:numRef>
          </c:yVal>
          <c:smooth val="1"/>
          <c:extLst>
            <c:ext xmlns:c16="http://schemas.microsoft.com/office/drawing/2014/chart" uri="{C3380CC4-5D6E-409C-BE32-E72D297353CC}">
              <c16:uniqueId val="{00000004-F58A-448E-8C6A-427457472903}"/>
            </c:ext>
          </c:extLst>
        </c:ser>
        <c:ser>
          <c:idx val="5"/>
          <c:order val="2"/>
          <c:tx>
            <c:v>Right 2</c:v>
          </c:tx>
          <c:spPr>
            <a:ln w="19050">
              <a:solidFill>
                <a:srgbClr val="00B050"/>
              </a:solidFill>
            </a:ln>
          </c:spPr>
          <c:marker>
            <c:symbol val="none"/>
          </c:marker>
          <c:xVal>
            <c:numRef>
              <c:f>'Right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2 Kin'!$AM$2:$AM$102</c:f>
              <c:numCache>
                <c:formatCode>General</c:formatCode>
                <c:ptCount val="101"/>
                <c:pt idx="0">
                  <c:v>-1.0666800000000001</c:v>
                </c:pt>
                <c:pt idx="1">
                  <c:v>-0.74225421000000003</c:v>
                </c:pt>
                <c:pt idx="2">
                  <c:v>-0.41782841999999992</c:v>
                </c:pt>
                <c:pt idx="3">
                  <c:v>-9.340262999999982E-2</c:v>
                </c:pt>
                <c:pt idx="4">
                  <c:v>0.14871876000000001</c:v>
                </c:pt>
                <c:pt idx="5">
                  <c:v>0.19536719999999999</c:v>
                </c:pt>
                <c:pt idx="6">
                  <c:v>0.24201564</c:v>
                </c:pt>
                <c:pt idx="7">
                  <c:v>0.28866407999999999</c:v>
                </c:pt>
                <c:pt idx="8">
                  <c:v>0.14640163999999969</c:v>
                </c:pt>
                <c:pt idx="9">
                  <c:v>-0.12573703000000019</c:v>
                </c:pt>
                <c:pt idx="10">
                  <c:v>-0.39787570000000022</c:v>
                </c:pt>
                <c:pt idx="11">
                  <c:v>-0.67001437000000019</c:v>
                </c:pt>
                <c:pt idx="12">
                  <c:v>-0.64078840000000004</c:v>
                </c:pt>
                <c:pt idx="13">
                  <c:v>-0.57389185000000009</c:v>
                </c:pt>
                <c:pt idx="14">
                  <c:v>-0.50699530000000004</c:v>
                </c:pt>
                <c:pt idx="15">
                  <c:v>-0.39113320000000001</c:v>
                </c:pt>
                <c:pt idx="16">
                  <c:v>-5.9822679999999788E-2</c:v>
                </c:pt>
                <c:pt idx="17">
                  <c:v>0.27148783999999981</c:v>
                </c:pt>
                <c:pt idx="18">
                  <c:v>0.60279836000000042</c:v>
                </c:pt>
                <c:pt idx="19">
                  <c:v>0.88010363000000003</c:v>
                </c:pt>
                <c:pt idx="20">
                  <c:v>1.0992493999999999</c:v>
                </c:pt>
                <c:pt idx="21">
                  <c:v>1.3183951700000001</c:v>
                </c:pt>
                <c:pt idx="22">
                  <c:v>1.53754094</c:v>
                </c:pt>
                <c:pt idx="23">
                  <c:v>1.8031531999999999</c:v>
                </c:pt>
                <c:pt idx="24">
                  <c:v>2.0820416000000002</c:v>
                </c:pt>
                <c:pt idx="25">
                  <c:v>2.3609300000000011</c:v>
                </c:pt>
                <c:pt idx="26">
                  <c:v>2.6382848000000001</c:v>
                </c:pt>
                <c:pt idx="27">
                  <c:v>2.896469600000001</c:v>
                </c:pt>
                <c:pt idx="28">
                  <c:v>3.1546544000000001</c:v>
                </c:pt>
                <c:pt idx="29">
                  <c:v>3.412839200000001</c:v>
                </c:pt>
                <c:pt idx="30">
                  <c:v>3.6207009999999999</c:v>
                </c:pt>
                <c:pt idx="31">
                  <c:v>3.743013700000001</c:v>
                </c:pt>
                <c:pt idx="32">
                  <c:v>3.8653263999999998</c:v>
                </c:pt>
                <c:pt idx="33">
                  <c:v>3.9876391</c:v>
                </c:pt>
                <c:pt idx="34">
                  <c:v>4.0828150000000001</c:v>
                </c:pt>
                <c:pt idx="35">
                  <c:v>4.1644224999999997</c:v>
                </c:pt>
                <c:pt idx="36">
                  <c:v>4.2460300000000002</c:v>
                </c:pt>
                <c:pt idx="37">
                  <c:v>4.3276375000000007</c:v>
                </c:pt>
                <c:pt idx="38">
                  <c:v>4.4546722000000001</c:v>
                </c:pt>
                <c:pt idx="39">
                  <c:v>4.5834541000000009</c:v>
                </c:pt>
                <c:pt idx="40">
                  <c:v>4.7122360000000008</c:v>
                </c:pt>
                <c:pt idx="41">
                  <c:v>4.8412034000000004</c:v>
                </c:pt>
                <c:pt idx="42">
                  <c:v>4.9707008000000004</c:v>
                </c:pt>
                <c:pt idx="43">
                  <c:v>5.1001982000000003</c:v>
                </c:pt>
                <c:pt idx="44">
                  <c:v>5.2296956000000003</c:v>
                </c:pt>
                <c:pt idx="45">
                  <c:v>5.3223710000000004</c:v>
                </c:pt>
                <c:pt idx="46">
                  <c:v>5.3855887999999998</c:v>
                </c:pt>
                <c:pt idx="47">
                  <c:v>5.4488066000000002</c:v>
                </c:pt>
                <c:pt idx="48">
                  <c:v>5.5120243999999996</c:v>
                </c:pt>
                <c:pt idx="49">
                  <c:v>5.5466807999999999</c:v>
                </c:pt>
                <c:pt idx="50">
                  <c:v>5.5763700000000007</c:v>
                </c:pt>
                <c:pt idx="51">
                  <c:v>5.6060592000000007</c:v>
                </c:pt>
                <c:pt idx="52">
                  <c:v>5.6334248000000002</c:v>
                </c:pt>
                <c:pt idx="53">
                  <c:v>5.6474297</c:v>
                </c:pt>
                <c:pt idx="54">
                  <c:v>5.6614346000000006</c:v>
                </c:pt>
                <c:pt idx="55">
                  <c:v>5.6754395000000004</c:v>
                </c:pt>
                <c:pt idx="56">
                  <c:v>5.6780624</c:v>
                </c:pt>
                <c:pt idx="57">
                  <c:v>5.6664577999999999</c:v>
                </c:pt>
                <c:pt idx="58">
                  <c:v>5.6548531999999998</c:v>
                </c:pt>
                <c:pt idx="59">
                  <c:v>5.6432485999999997</c:v>
                </c:pt>
                <c:pt idx="60">
                  <c:v>5.5880699999999992</c:v>
                </c:pt>
                <c:pt idx="61">
                  <c:v>5.5176404999999997</c:v>
                </c:pt>
                <c:pt idx="62">
                  <c:v>5.4472109999999994</c:v>
                </c:pt>
                <c:pt idx="63">
                  <c:v>5.3731445000000004</c:v>
                </c:pt>
                <c:pt idx="64">
                  <c:v>5.204515999999999</c:v>
                </c:pt>
                <c:pt idx="65">
                  <c:v>5.0358875000000003</c:v>
                </c:pt>
                <c:pt idx="66">
                  <c:v>4.8672589999999989</c:v>
                </c:pt>
                <c:pt idx="67">
                  <c:v>4.6873364000000004</c:v>
                </c:pt>
                <c:pt idx="68">
                  <c:v>4.4848256000000006</c:v>
                </c:pt>
                <c:pt idx="69">
                  <c:v>4.2823147999999982</c:v>
                </c:pt>
                <c:pt idx="70">
                  <c:v>4.0798039999999993</c:v>
                </c:pt>
                <c:pt idx="71">
                  <c:v>3.8610921999999972</c:v>
                </c:pt>
                <c:pt idx="72">
                  <c:v>3.6328503999999979</c:v>
                </c:pt>
                <c:pt idx="73">
                  <c:v>3.4046086</c:v>
                </c:pt>
                <c:pt idx="74">
                  <c:v>3.176366799999998</c:v>
                </c:pt>
                <c:pt idx="75">
                  <c:v>2.9046149999999988</c:v>
                </c:pt>
                <c:pt idx="76">
                  <c:v>2.6293824000000008</c:v>
                </c:pt>
                <c:pt idx="77">
                  <c:v>2.3541497999999978</c:v>
                </c:pt>
                <c:pt idx="78">
                  <c:v>2.0818872000000002</c:v>
                </c:pt>
                <c:pt idx="79">
                  <c:v>1.8200196000000011</c:v>
                </c:pt>
                <c:pt idx="80">
                  <c:v>1.558151999999998</c:v>
                </c:pt>
                <c:pt idx="81">
                  <c:v>1.296284399999998</c:v>
                </c:pt>
                <c:pt idx="82">
                  <c:v>1.09978</c:v>
                </c:pt>
                <c:pt idx="83">
                  <c:v>0.96396999999999877</c:v>
                </c:pt>
                <c:pt idx="84">
                  <c:v>0.82815999999999956</c:v>
                </c:pt>
                <c:pt idx="85">
                  <c:v>0.69234999999999847</c:v>
                </c:pt>
                <c:pt idx="86">
                  <c:v>0.65182067999999993</c:v>
                </c:pt>
                <c:pt idx="87">
                  <c:v>0.63294606000000009</c:v>
                </c:pt>
                <c:pt idx="88">
                  <c:v>0.61407143999999991</c:v>
                </c:pt>
                <c:pt idx="89">
                  <c:v>0.58887027000000003</c:v>
                </c:pt>
                <c:pt idx="90">
                  <c:v>0.51305670000000025</c:v>
                </c:pt>
                <c:pt idx="91">
                  <c:v>0.43724312999999931</c:v>
                </c:pt>
                <c:pt idx="92">
                  <c:v>0.36142955999999948</c:v>
                </c:pt>
                <c:pt idx="93">
                  <c:v>0.28247712789999979</c:v>
                </c:pt>
                <c:pt idx="94">
                  <c:v>0.19895907819999911</c:v>
                </c:pt>
                <c:pt idx="95">
                  <c:v>0.1154410284999997</c:v>
                </c:pt>
                <c:pt idx="96">
                  <c:v>3.1922978800000217E-2</c:v>
                </c:pt>
                <c:pt idx="97">
                  <c:v>-2.632483910000024E-2</c:v>
                </c:pt>
                <c:pt idx="98">
                  <c:v>-7.3932559399999931E-2</c:v>
                </c:pt>
                <c:pt idx="99">
                  <c:v>-0.12154027970000029</c:v>
                </c:pt>
                <c:pt idx="100">
                  <c:v>-0.16914799999999999</c:v>
                </c:pt>
              </c:numCache>
            </c:numRef>
          </c:yVal>
          <c:smooth val="1"/>
          <c:extLst>
            <c:ext xmlns:c16="http://schemas.microsoft.com/office/drawing/2014/chart" uri="{C3380CC4-5D6E-409C-BE32-E72D297353CC}">
              <c16:uniqueId val="{00000003-F58A-448E-8C6A-427457472903}"/>
            </c:ext>
          </c:extLst>
        </c:ser>
        <c:ser>
          <c:idx val="4"/>
          <c:order val="3"/>
          <c:tx>
            <c:v>Right 1</c:v>
          </c:tx>
          <c:spPr>
            <a:ln w="19050">
              <a:solidFill>
                <a:srgbClr val="00B050"/>
              </a:solidFill>
            </a:ln>
          </c:spPr>
          <c:marker>
            <c:symbol val="none"/>
          </c:marker>
          <c:xVal>
            <c:numRef>
              <c:f>'Right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1 Kin'!$AM$2:$AM$102</c:f>
              <c:numCache>
                <c:formatCode>General</c:formatCode>
                <c:ptCount val="101"/>
                <c:pt idx="0">
                  <c:v>-1.3977599999999999</c:v>
                </c:pt>
                <c:pt idx="1">
                  <c:v>-1.0602017399999999</c:v>
                </c:pt>
                <c:pt idx="2">
                  <c:v>-0.72264347999999989</c:v>
                </c:pt>
                <c:pt idx="3">
                  <c:v>-0.38508522000000012</c:v>
                </c:pt>
                <c:pt idx="4">
                  <c:v>-0.27940408</c:v>
                </c:pt>
                <c:pt idx="5">
                  <c:v>-0.36212309999999998</c:v>
                </c:pt>
                <c:pt idx="6">
                  <c:v>-0.44484212000000001</c:v>
                </c:pt>
                <c:pt idx="7">
                  <c:v>-0.53503078000000004</c:v>
                </c:pt>
                <c:pt idx="8">
                  <c:v>-0.68995632000000007</c:v>
                </c:pt>
                <c:pt idx="9">
                  <c:v>-0.8448818600000001</c:v>
                </c:pt>
                <c:pt idx="10">
                  <c:v>-0.99980740000000012</c:v>
                </c:pt>
                <c:pt idx="11">
                  <c:v>-0.88266870999999991</c:v>
                </c:pt>
                <c:pt idx="12">
                  <c:v>-0.62233832000000033</c:v>
                </c:pt>
                <c:pt idx="13">
                  <c:v>-0.3620079300000002</c:v>
                </c:pt>
                <c:pt idx="14">
                  <c:v>-8.797954000000012E-2</c:v>
                </c:pt>
                <c:pt idx="15">
                  <c:v>0.23855784999999979</c:v>
                </c:pt>
                <c:pt idx="16">
                  <c:v>0.56509523999999967</c:v>
                </c:pt>
                <c:pt idx="17">
                  <c:v>0.89163262999999893</c:v>
                </c:pt>
                <c:pt idx="18">
                  <c:v>1.15817536</c:v>
                </c:pt>
                <c:pt idx="19">
                  <c:v>1.4056288800000001</c:v>
                </c:pt>
                <c:pt idx="20">
                  <c:v>1.6530824</c:v>
                </c:pt>
                <c:pt idx="21">
                  <c:v>1.9073374000000001</c:v>
                </c:pt>
                <c:pt idx="22">
                  <c:v>2.1767067999999998</c:v>
                </c:pt>
                <c:pt idx="23">
                  <c:v>2.4460761999999998</c:v>
                </c:pt>
                <c:pt idx="24">
                  <c:v>2.7154455999999998</c:v>
                </c:pt>
                <c:pt idx="25">
                  <c:v>2.9016950000000001</c:v>
                </c:pt>
                <c:pt idx="26">
                  <c:v>3.0746452</c:v>
                </c:pt>
                <c:pt idx="27">
                  <c:v>3.2475953999999998</c:v>
                </c:pt>
                <c:pt idx="28">
                  <c:v>3.3855932000000002</c:v>
                </c:pt>
                <c:pt idx="29">
                  <c:v>3.4740750999999999</c:v>
                </c:pt>
                <c:pt idx="30">
                  <c:v>3.562557</c:v>
                </c:pt>
                <c:pt idx="31">
                  <c:v>3.6510389000000001</c:v>
                </c:pt>
                <c:pt idx="32">
                  <c:v>3.7144944</c:v>
                </c:pt>
                <c:pt idx="33">
                  <c:v>3.7770560999999998</c:v>
                </c:pt>
                <c:pt idx="34">
                  <c:v>3.8396178000000001</c:v>
                </c:pt>
                <c:pt idx="35">
                  <c:v>3.9283215</c:v>
                </c:pt>
                <c:pt idx="36">
                  <c:v>4.0414244000000004</c:v>
                </c:pt>
                <c:pt idx="37">
                  <c:v>4.1545273000000007</c:v>
                </c:pt>
                <c:pt idx="38">
                  <c:v>4.2667767999999997</c:v>
                </c:pt>
                <c:pt idx="39">
                  <c:v>4.3675053999999998</c:v>
                </c:pt>
                <c:pt idx="40">
                  <c:v>4.4682340000000007</c:v>
                </c:pt>
                <c:pt idx="41">
                  <c:v>4.5689625999999999</c:v>
                </c:pt>
                <c:pt idx="42">
                  <c:v>4.6409506</c:v>
                </c:pt>
                <c:pt idx="43">
                  <c:v>4.6953749</c:v>
                </c:pt>
                <c:pt idx="44">
                  <c:v>4.7497992</c:v>
                </c:pt>
                <c:pt idx="45">
                  <c:v>4.8034564999999994</c:v>
                </c:pt>
                <c:pt idx="46">
                  <c:v>4.8534322000000003</c:v>
                </c:pt>
                <c:pt idx="47">
                  <c:v>4.9034079000000004</c:v>
                </c:pt>
                <c:pt idx="48">
                  <c:v>4.9533836000000004</c:v>
                </c:pt>
                <c:pt idx="49">
                  <c:v>4.9981429000000004</c:v>
                </c:pt>
                <c:pt idx="50">
                  <c:v>5.040915</c:v>
                </c:pt>
                <c:pt idx="51">
                  <c:v>5.0836870999999997</c:v>
                </c:pt>
                <c:pt idx="52">
                  <c:v>5.1228151999999998</c:v>
                </c:pt>
                <c:pt idx="53">
                  <c:v>5.1523778</c:v>
                </c:pt>
                <c:pt idx="54">
                  <c:v>5.1819404000000002</c:v>
                </c:pt>
                <c:pt idx="55">
                  <c:v>5.2115030000000004</c:v>
                </c:pt>
                <c:pt idx="56">
                  <c:v>5.2010696000000003</c:v>
                </c:pt>
                <c:pt idx="57">
                  <c:v>5.1823037000000003</c:v>
                </c:pt>
                <c:pt idx="58">
                  <c:v>5.1635378000000003</c:v>
                </c:pt>
                <c:pt idx="59">
                  <c:v>5.1194466000000007</c:v>
                </c:pt>
                <c:pt idx="60">
                  <c:v>5.0339140000000002</c:v>
                </c:pt>
                <c:pt idx="61">
                  <c:v>4.9483813999999997</c:v>
                </c:pt>
                <c:pt idx="62">
                  <c:v>4.8628487999999992</c:v>
                </c:pt>
                <c:pt idx="63">
                  <c:v>4.7290348</c:v>
                </c:pt>
                <c:pt idx="64">
                  <c:v>4.5916443999999998</c:v>
                </c:pt>
                <c:pt idx="65">
                  <c:v>4.4542540000000006</c:v>
                </c:pt>
                <c:pt idx="66">
                  <c:v>4.293003399999999</c:v>
                </c:pt>
                <c:pt idx="67">
                  <c:v>4.1061883000000003</c:v>
                </c:pt>
                <c:pt idx="68">
                  <c:v>3.9193732000000021</c:v>
                </c:pt>
                <c:pt idx="69">
                  <c:v>3.7309173000000011</c:v>
                </c:pt>
                <c:pt idx="70">
                  <c:v>3.496519000000001</c:v>
                </c:pt>
                <c:pt idx="71">
                  <c:v>3.2621206999999992</c:v>
                </c:pt>
                <c:pt idx="72">
                  <c:v>3.0277224</c:v>
                </c:pt>
                <c:pt idx="73">
                  <c:v>2.785609500000001</c:v>
                </c:pt>
                <c:pt idx="74">
                  <c:v>2.5380509999999989</c:v>
                </c:pt>
                <c:pt idx="75">
                  <c:v>2.2904924999999992</c:v>
                </c:pt>
                <c:pt idx="76">
                  <c:v>2.0438356</c:v>
                </c:pt>
                <c:pt idx="77">
                  <c:v>1.8028136999999991</c:v>
                </c:pt>
                <c:pt idx="78">
                  <c:v>1.5617918</c:v>
                </c:pt>
                <c:pt idx="79">
                  <c:v>1.3207699000000019</c:v>
                </c:pt>
                <c:pt idx="80">
                  <c:v>1.1073734</c:v>
                </c:pt>
                <c:pt idx="81">
                  <c:v>0.90640833000000076</c:v>
                </c:pt>
                <c:pt idx="82">
                  <c:v>0.70544326000000146</c:v>
                </c:pt>
                <c:pt idx="83">
                  <c:v>0.53075254999999966</c:v>
                </c:pt>
                <c:pt idx="84">
                  <c:v>0.43863839999999998</c:v>
                </c:pt>
                <c:pt idx="85">
                  <c:v>0.34652424999999898</c:v>
                </c:pt>
                <c:pt idx="86">
                  <c:v>0.25441009999999942</c:v>
                </c:pt>
                <c:pt idx="87">
                  <c:v>0.191875882</c:v>
                </c:pt>
                <c:pt idx="88">
                  <c:v>0.13705816799999959</c:v>
                </c:pt>
                <c:pt idx="89">
                  <c:v>8.2240454000000074E-2</c:v>
                </c:pt>
                <c:pt idx="90">
                  <c:v>2.632166000000042E-2</c:v>
                </c:pt>
                <c:pt idx="91">
                  <c:v>-3.1689186000000188E-2</c:v>
                </c:pt>
                <c:pt idx="92">
                  <c:v>-8.9700031999999971E-2</c:v>
                </c:pt>
                <c:pt idx="93">
                  <c:v>-0.1477108779999998</c:v>
                </c:pt>
                <c:pt idx="94">
                  <c:v>-0.2285956400000006</c:v>
                </c:pt>
                <c:pt idx="95">
                  <c:v>-0.31211970000000028</c:v>
                </c:pt>
                <c:pt idx="96">
                  <c:v>-0.39564376000000001</c:v>
                </c:pt>
                <c:pt idx="97">
                  <c:v>-0.47907214000000081</c:v>
                </c:pt>
                <c:pt idx="98">
                  <c:v>-0.56238276000000009</c:v>
                </c:pt>
                <c:pt idx="99">
                  <c:v>-0.64569338000000065</c:v>
                </c:pt>
                <c:pt idx="100">
                  <c:v>-0.72900399999999999</c:v>
                </c:pt>
              </c:numCache>
            </c:numRef>
          </c:yVal>
          <c:smooth val="1"/>
          <c:extLst>
            <c:ext xmlns:c16="http://schemas.microsoft.com/office/drawing/2014/chart" uri="{C3380CC4-5D6E-409C-BE32-E72D297353CC}">
              <c16:uniqueId val="{00000002-F58A-448E-8C6A-427457472903}"/>
            </c:ext>
          </c:extLst>
        </c:ser>
        <c:ser>
          <c:idx val="3"/>
          <c:order val="4"/>
          <c:tx>
            <c:v>Left 3</c:v>
          </c:tx>
          <c:spPr>
            <a:ln w="19050">
              <a:solidFill>
                <a:srgbClr val="FF0000"/>
              </a:solidFill>
            </a:ln>
          </c:spPr>
          <c:marker>
            <c:symbol val="none"/>
          </c:marker>
          <c:xVal>
            <c:numRef>
              <c:f>'Left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3 Kin'!$AM$2:$AM$102</c:f>
              <c:numCache>
                <c:formatCode>General</c:formatCode>
                <c:ptCount val="101"/>
                <c:pt idx="0">
                  <c:v>-1.89228</c:v>
                </c:pt>
                <c:pt idx="1">
                  <c:v>-1.22489614</c:v>
                </c:pt>
                <c:pt idx="2">
                  <c:v>-0.55751228000000008</c:v>
                </c:pt>
                <c:pt idx="3">
                  <c:v>0.10987157999999959</c:v>
                </c:pt>
                <c:pt idx="4">
                  <c:v>0.69442336000000005</c:v>
                </c:pt>
                <c:pt idx="5">
                  <c:v>0.82339870000000004</c:v>
                </c:pt>
                <c:pt idx="6">
                  <c:v>0.95237404000000003</c:v>
                </c:pt>
                <c:pt idx="7">
                  <c:v>1.08134938</c:v>
                </c:pt>
                <c:pt idx="8">
                  <c:v>1.05476104</c:v>
                </c:pt>
                <c:pt idx="9">
                  <c:v>0.67815442000000004</c:v>
                </c:pt>
                <c:pt idx="10">
                  <c:v>0.30154779999999992</c:v>
                </c:pt>
                <c:pt idx="11">
                  <c:v>-7.5058820000000193E-2</c:v>
                </c:pt>
                <c:pt idx="12">
                  <c:v>-0.20441960000000009</c:v>
                </c:pt>
                <c:pt idx="13">
                  <c:v>-4.5326900000000059E-2</c:v>
                </c:pt>
                <c:pt idx="14">
                  <c:v>0.1137658</c:v>
                </c:pt>
                <c:pt idx="15">
                  <c:v>0.27285850000000011</c:v>
                </c:pt>
                <c:pt idx="16">
                  <c:v>0.6200627200000004</c:v>
                </c:pt>
                <c:pt idx="17">
                  <c:v>1.08483664</c:v>
                </c:pt>
                <c:pt idx="18">
                  <c:v>1.549610560000001</c:v>
                </c:pt>
                <c:pt idx="19">
                  <c:v>2.0143844799999999</c:v>
                </c:pt>
                <c:pt idx="20">
                  <c:v>2.2691680000000001</c:v>
                </c:pt>
                <c:pt idx="21">
                  <c:v>2.4609543999999999</c:v>
                </c:pt>
                <c:pt idx="22">
                  <c:v>2.6527408000000001</c:v>
                </c:pt>
                <c:pt idx="23">
                  <c:v>2.8445271999999999</c:v>
                </c:pt>
                <c:pt idx="24">
                  <c:v>3.0564832000000002</c:v>
                </c:pt>
                <c:pt idx="25">
                  <c:v>3.2701199999999999</c:v>
                </c:pt>
                <c:pt idx="26">
                  <c:v>3.4837568000000001</c:v>
                </c:pt>
                <c:pt idx="27">
                  <c:v>3.693585000000001</c:v>
                </c:pt>
                <c:pt idx="28">
                  <c:v>3.85771</c:v>
                </c:pt>
                <c:pt idx="29">
                  <c:v>4.0218350000000003</c:v>
                </c:pt>
                <c:pt idx="30">
                  <c:v>4.1859600000000006</c:v>
                </c:pt>
                <c:pt idx="31">
                  <c:v>4.2992302000000002</c:v>
                </c:pt>
                <c:pt idx="32">
                  <c:v>4.2429844000000001</c:v>
                </c:pt>
                <c:pt idx="33">
                  <c:v>4.1867386</c:v>
                </c:pt>
                <c:pt idx="34">
                  <c:v>4.1304927999999999</c:v>
                </c:pt>
                <c:pt idx="35">
                  <c:v>4.0922210000000003</c:v>
                </c:pt>
                <c:pt idx="36">
                  <c:v>4.0827076</c:v>
                </c:pt>
                <c:pt idx="37">
                  <c:v>4.0731941999999997</c:v>
                </c:pt>
                <c:pt idx="38">
                  <c:v>4.0636808000000002</c:v>
                </c:pt>
                <c:pt idx="39">
                  <c:v>4.0967960000000003</c:v>
                </c:pt>
                <c:pt idx="40">
                  <c:v>4.1664500000000002</c:v>
                </c:pt>
                <c:pt idx="41">
                  <c:v>4.2361040000000001</c:v>
                </c:pt>
                <c:pt idx="42">
                  <c:v>4.305758</c:v>
                </c:pt>
                <c:pt idx="43">
                  <c:v>4.3243982000000001</c:v>
                </c:pt>
                <c:pt idx="44">
                  <c:v>4.3203655999999997</c:v>
                </c:pt>
                <c:pt idx="45">
                  <c:v>4.3163330000000002</c:v>
                </c:pt>
                <c:pt idx="46">
                  <c:v>4.3123003999999998</c:v>
                </c:pt>
                <c:pt idx="47">
                  <c:v>4.2667032000000003</c:v>
                </c:pt>
                <c:pt idx="48">
                  <c:v>4.2135487999999999</c:v>
                </c:pt>
                <c:pt idx="49">
                  <c:v>4.1603944000000004</c:v>
                </c:pt>
                <c:pt idx="50">
                  <c:v>4.10724</c:v>
                </c:pt>
                <c:pt idx="51">
                  <c:v>4.0453834000000004</c:v>
                </c:pt>
                <c:pt idx="52">
                  <c:v>3.9835267999999999</c:v>
                </c:pt>
                <c:pt idx="53">
                  <c:v>3.9216701999999999</c:v>
                </c:pt>
                <c:pt idx="54">
                  <c:v>3.857643599999999</c:v>
                </c:pt>
                <c:pt idx="55">
                  <c:v>3.781682</c:v>
                </c:pt>
                <c:pt idx="56">
                  <c:v>3.7057204000000001</c:v>
                </c:pt>
                <c:pt idx="57">
                  <c:v>3.6297587999999998</c:v>
                </c:pt>
                <c:pt idx="58">
                  <c:v>3.5459252000000001</c:v>
                </c:pt>
                <c:pt idx="59">
                  <c:v>3.4443796</c:v>
                </c:pt>
                <c:pt idx="60">
                  <c:v>3.3428339999999999</c:v>
                </c:pt>
                <c:pt idx="61">
                  <c:v>3.2412884000000002</c:v>
                </c:pt>
                <c:pt idx="62">
                  <c:v>3.115629999999999</c:v>
                </c:pt>
                <c:pt idx="63">
                  <c:v>2.96184</c:v>
                </c:pt>
                <c:pt idx="64">
                  <c:v>2.8080500000000002</c:v>
                </c:pt>
                <c:pt idx="65">
                  <c:v>2.6542599999999998</c:v>
                </c:pt>
                <c:pt idx="66">
                  <c:v>2.4764123999999978</c:v>
                </c:pt>
                <c:pt idx="67">
                  <c:v>2.2835288</c:v>
                </c:pt>
                <c:pt idx="68">
                  <c:v>2.0906452</c:v>
                </c:pt>
                <c:pt idx="69">
                  <c:v>1.897761599999999</c:v>
                </c:pt>
                <c:pt idx="70">
                  <c:v>1.676041399999999</c:v>
                </c:pt>
                <c:pt idx="71">
                  <c:v>1.4456702199999969</c:v>
                </c:pt>
                <c:pt idx="72">
                  <c:v>1.2152990399999981</c:v>
                </c:pt>
                <c:pt idx="73">
                  <c:v>0.98492785999999943</c:v>
                </c:pt>
                <c:pt idx="74">
                  <c:v>0.75336404799999723</c:v>
                </c:pt>
                <c:pt idx="75">
                  <c:v>0.52170084999999833</c:v>
                </c:pt>
                <c:pt idx="76">
                  <c:v>0.29003765199999942</c:v>
                </c:pt>
                <c:pt idx="77">
                  <c:v>6.5070845999998295E-2</c:v>
                </c:pt>
                <c:pt idx="78">
                  <c:v>-7.9539256000001002E-2</c:v>
                </c:pt>
                <c:pt idx="79">
                  <c:v>-0.2241493580000003</c:v>
                </c:pt>
                <c:pt idx="80">
                  <c:v>-0.36875946000000159</c:v>
                </c:pt>
                <c:pt idx="81">
                  <c:v>-0.47912956000000001</c:v>
                </c:pt>
                <c:pt idx="82">
                  <c:v>-0.47536632000000001</c:v>
                </c:pt>
                <c:pt idx="83">
                  <c:v>-0.47160308000000001</c:v>
                </c:pt>
                <c:pt idx="84">
                  <c:v>-0.46783984000000001</c:v>
                </c:pt>
                <c:pt idx="85">
                  <c:v>-0.44510019999999922</c:v>
                </c:pt>
                <c:pt idx="86">
                  <c:v>-0.3919983199999994</c:v>
                </c:pt>
                <c:pt idx="87">
                  <c:v>-0.33889643999999969</c:v>
                </c:pt>
                <c:pt idx="88">
                  <c:v>-0.28579455999999909</c:v>
                </c:pt>
                <c:pt idx="89">
                  <c:v>-0.25095763999999993</c:v>
                </c:pt>
                <c:pt idx="90">
                  <c:v>-0.23177639999999999</c:v>
                </c:pt>
                <c:pt idx="91">
                  <c:v>-0.21259515999999989</c:v>
                </c:pt>
                <c:pt idx="92">
                  <c:v>-0.1934139200000001</c:v>
                </c:pt>
                <c:pt idx="93">
                  <c:v>-0.21830009999999961</c:v>
                </c:pt>
                <c:pt idx="94">
                  <c:v>-0.2627718</c:v>
                </c:pt>
                <c:pt idx="95">
                  <c:v>-0.30724349999999978</c:v>
                </c:pt>
                <c:pt idx="96">
                  <c:v>-0.35171519999999962</c:v>
                </c:pt>
                <c:pt idx="97">
                  <c:v>-0.40396675999999998</c:v>
                </c:pt>
                <c:pt idx="98">
                  <c:v>-0.45763283999999982</c:v>
                </c:pt>
                <c:pt idx="99">
                  <c:v>-0.51129892000000032</c:v>
                </c:pt>
                <c:pt idx="100">
                  <c:v>-0.56496500000000005</c:v>
                </c:pt>
              </c:numCache>
            </c:numRef>
          </c:yVal>
          <c:smooth val="1"/>
          <c:extLst>
            <c:ext xmlns:c16="http://schemas.microsoft.com/office/drawing/2014/chart" uri="{C3380CC4-5D6E-409C-BE32-E72D297353CC}">
              <c16:uniqueId val="{00000001-F58A-448E-8C6A-427457472903}"/>
            </c:ext>
          </c:extLst>
        </c:ser>
        <c:ser>
          <c:idx val="2"/>
          <c:order val="5"/>
          <c:tx>
            <c:v>Left 2</c:v>
          </c:tx>
          <c:spPr>
            <a:ln w="19050">
              <a:solidFill>
                <a:srgbClr val="FF0000"/>
              </a:solidFill>
            </a:ln>
          </c:spPr>
          <c:marker>
            <c:symbol val="none"/>
          </c:marker>
          <c:xVal>
            <c:numRef>
              <c:f>'Left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2 Kin'!$AM$2:$AM$102</c:f>
              <c:numCache>
                <c:formatCode>General</c:formatCode>
                <c:ptCount val="101"/>
                <c:pt idx="0">
                  <c:v>1.8220000000000001</c:v>
                </c:pt>
                <c:pt idx="1">
                  <c:v>1.5198779200000001</c:v>
                </c:pt>
                <c:pt idx="2">
                  <c:v>1.2177558399999999</c:v>
                </c:pt>
                <c:pt idx="3">
                  <c:v>0.91563376000000007</c:v>
                </c:pt>
                <c:pt idx="4">
                  <c:v>0.61351168</c:v>
                </c:pt>
                <c:pt idx="5">
                  <c:v>0.35176220000000002</c:v>
                </c:pt>
                <c:pt idx="6">
                  <c:v>9.8087240000000131E-2</c:v>
                </c:pt>
                <c:pt idx="7">
                  <c:v>-0.15558772000000001</c:v>
                </c:pt>
                <c:pt idx="8">
                  <c:v>-0.4092626800000001</c:v>
                </c:pt>
                <c:pt idx="9">
                  <c:v>-0.30226115999999992</c:v>
                </c:pt>
                <c:pt idx="10">
                  <c:v>-1.4921399999999861E-2</c:v>
                </c:pt>
                <c:pt idx="11">
                  <c:v>0.27241836000000019</c:v>
                </c:pt>
                <c:pt idx="12">
                  <c:v>0.55975811999999969</c:v>
                </c:pt>
                <c:pt idx="13">
                  <c:v>0.84426383999999977</c:v>
                </c:pt>
                <c:pt idx="14">
                  <c:v>1.1259355200000001</c:v>
                </c:pt>
                <c:pt idx="15">
                  <c:v>1.4076071999999999</c:v>
                </c:pt>
                <c:pt idx="16">
                  <c:v>1.68927888</c:v>
                </c:pt>
                <c:pt idx="17">
                  <c:v>1.9388744</c:v>
                </c:pt>
                <c:pt idx="18">
                  <c:v>2.1243175999999999</c:v>
                </c:pt>
                <c:pt idx="19">
                  <c:v>2.3097607999999998</c:v>
                </c:pt>
                <c:pt idx="20">
                  <c:v>2.4952040000000002</c:v>
                </c:pt>
                <c:pt idx="21">
                  <c:v>2.6956524000000002</c:v>
                </c:pt>
                <c:pt idx="22">
                  <c:v>2.9711268</c:v>
                </c:pt>
                <c:pt idx="23">
                  <c:v>3.2466012000000002</c:v>
                </c:pt>
                <c:pt idx="24">
                  <c:v>3.5220756</c:v>
                </c:pt>
                <c:pt idx="25">
                  <c:v>3.7975500000000002</c:v>
                </c:pt>
                <c:pt idx="26">
                  <c:v>3.9222443999999999</c:v>
                </c:pt>
                <c:pt idx="27">
                  <c:v>4.0469388000000004</c:v>
                </c:pt>
                <c:pt idx="28">
                  <c:v>4.1716331999999996</c:v>
                </c:pt>
                <c:pt idx="29">
                  <c:v>4.2963275999999997</c:v>
                </c:pt>
                <c:pt idx="30">
                  <c:v>4.3165819999999986</c:v>
                </c:pt>
                <c:pt idx="31">
                  <c:v>4.3159483999999999</c:v>
                </c:pt>
                <c:pt idx="32">
                  <c:v>4.3153147999999986</c:v>
                </c:pt>
                <c:pt idx="33">
                  <c:v>4.3146811999999999</c:v>
                </c:pt>
                <c:pt idx="34">
                  <c:v>4.3517787999999999</c:v>
                </c:pt>
                <c:pt idx="35">
                  <c:v>4.4077419999999998</c:v>
                </c:pt>
                <c:pt idx="36">
                  <c:v>4.4637051999999997</c:v>
                </c:pt>
                <c:pt idx="37">
                  <c:v>4.5196683999999996</c:v>
                </c:pt>
                <c:pt idx="38">
                  <c:v>4.5760204</c:v>
                </c:pt>
                <c:pt idx="39">
                  <c:v>4.6327612</c:v>
                </c:pt>
                <c:pt idx="40">
                  <c:v>4.6895020000000001</c:v>
                </c:pt>
                <c:pt idx="41">
                  <c:v>4.7462427999999992</c:v>
                </c:pt>
                <c:pt idx="42">
                  <c:v>4.7746332000000002</c:v>
                </c:pt>
                <c:pt idx="43">
                  <c:v>4.7463227999999997</c:v>
                </c:pt>
                <c:pt idx="44">
                  <c:v>4.7180124000000001</c:v>
                </c:pt>
                <c:pt idx="45">
                  <c:v>4.6897019999999996</c:v>
                </c:pt>
                <c:pt idx="46">
                  <c:v>4.6559119999999998</c:v>
                </c:pt>
                <c:pt idx="47">
                  <c:v>4.5947239999999994</c:v>
                </c:pt>
                <c:pt idx="48">
                  <c:v>4.5335359999999998</c:v>
                </c:pt>
                <c:pt idx="49">
                  <c:v>4.4723480000000002</c:v>
                </c:pt>
                <c:pt idx="50">
                  <c:v>4.4111599999999997</c:v>
                </c:pt>
                <c:pt idx="51">
                  <c:v>4.3201231999999994</c:v>
                </c:pt>
                <c:pt idx="52">
                  <c:v>4.2290863999999999</c:v>
                </c:pt>
                <c:pt idx="53">
                  <c:v>4.1380496000000004</c:v>
                </c:pt>
                <c:pt idx="54">
                  <c:v>4.0470128000000001</c:v>
                </c:pt>
                <c:pt idx="55">
                  <c:v>3.9253999999999989</c:v>
                </c:pt>
                <c:pt idx="56">
                  <c:v>3.7976719999999999</c:v>
                </c:pt>
                <c:pt idx="57">
                  <c:v>3.6699440000000001</c:v>
                </c:pt>
                <c:pt idx="58">
                  <c:v>3.5422159999999998</c:v>
                </c:pt>
                <c:pt idx="59">
                  <c:v>3.388393600000001</c:v>
                </c:pt>
                <c:pt idx="60">
                  <c:v>3.2215240000000001</c:v>
                </c:pt>
                <c:pt idx="61">
                  <c:v>3.0546544</c:v>
                </c:pt>
                <c:pt idx="62">
                  <c:v>2.887784799999999</c:v>
                </c:pt>
                <c:pt idx="63">
                  <c:v>2.7005884</c:v>
                </c:pt>
                <c:pt idx="64">
                  <c:v>2.4930652000000002</c:v>
                </c:pt>
                <c:pt idx="65">
                  <c:v>2.2855420000000009</c:v>
                </c:pt>
                <c:pt idx="66">
                  <c:v>2.0780187999999988</c:v>
                </c:pt>
                <c:pt idx="67">
                  <c:v>1.8701220000000001</c:v>
                </c:pt>
                <c:pt idx="68">
                  <c:v>1.661478000000002</c:v>
                </c:pt>
                <c:pt idx="69">
                  <c:v>1.452834</c:v>
                </c:pt>
                <c:pt idx="70">
                  <c:v>1.244190000000001</c:v>
                </c:pt>
                <c:pt idx="71">
                  <c:v>1.0433591999999989</c:v>
                </c:pt>
                <c:pt idx="72">
                  <c:v>0.88159439999999978</c:v>
                </c:pt>
                <c:pt idx="73">
                  <c:v>0.71982960000000062</c:v>
                </c:pt>
                <c:pt idx="74">
                  <c:v>0.55806479999999914</c:v>
                </c:pt>
                <c:pt idx="75">
                  <c:v>0.39629999999999999</c:v>
                </c:pt>
                <c:pt idx="76">
                  <c:v>0.2709556800000007</c:v>
                </c:pt>
                <c:pt idx="77">
                  <c:v>0.1456113599999995</c:v>
                </c:pt>
                <c:pt idx="78">
                  <c:v>2.026704000000018E-2</c:v>
                </c:pt>
                <c:pt idx="79">
                  <c:v>-0.1050772799999992</c:v>
                </c:pt>
                <c:pt idx="80">
                  <c:v>-0.1770158000000002</c:v>
                </c:pt>
                <c:pt idx="81">
                  <c:v>-0.23827315999999979</c:v>
                </c:pt>
                <c:pt idx="82">
                  <c:v>-0.29953051999999952</c:v>
                </c:pt>
                <c:pt idx="83">
                  <c:v>-0.36078788000000012</c:v>
                </c:pt>
                <c:pt idx="84">
                  <c:v>-0.37462444000000011</c:v>
                </c:pt>
                <c:pt idx="85">
                  <c:v>-0.36475059999999992</c:v>
                </c:pt>
                <c:pt idx="86">
                  <c:v>-0.35487676000000001</c:v>
                </c:pt>
                <c:pt idx="87">
                  <c:v>-0.34500291999999999</c:v>
                </c:pt>
                <c:pt idx="88">
                  <c:v>-0.33369639999999989</c:v>
                </c:pt>
                <c:pt idx="89">
                  <c:v>-0.3209572</c:v>
                </c:pt>
                <c:pt idx="90">
                  <c:v>-0.30821799999999999</c:v>
                </c:pt>
                <c:pt idx="91">
                  <c:v>-0.29547879999999987</c:v>
                </c:pt>
                <c:pt idx="92">
                  <c:v>-0.28780287999999998</c:v>
                </c:pt>
                <c:pt idx="93">
                  <c:v>-0.29025351999999988</c:v>
                </c:pt>
                <c:pt idx="94">
                  <c:v>-0.29270415999999999</c:v>
                </c:pt>
                <c:pt idx="95">
                  <c:v>-0.29515479999999999</c:v>
                </c:pt>
                <c:pt idx="96">
                  <c:v>-0.30006855999999987</c:v>
                </c:pt>
                <c:pt idx="97">
                  <c:v>-0.31729792000000001</c:v>
                </c:pt>
                <c:pt idx="98">
                  <c:v>-0.33452727999999993</c:v>
                </c:pt>
                <c:pt idx="99">
                  <c:v>-0.35175664000000012</c:v>
                </c:pt>
                <c:pt idx="100">
                  <c:v>-0.36898599999999998</c:v>
                </c:pt>
              </c:numCache>
            </c:numRef>
          </c:yVal>
          <c:smooth val="1"/>
          <c:extLst>
            <c:ext xmlns:c16="http://schemas.microsoft.com/office/drawing/2014/chart" uri="{C3380CC4-5D6E-409C-BE32-E72D297353CC}">
              <c16:uniqueId val="{00000000-F58A-448E-8C6A-427457472903}"/>
            </c:ext>
          </c:extLst>
        </c:ser>
        <c:ser>
          <c:idx val="0"/>
          <c:order val="6"/>
          <c:tx>
            <c:v>Left 1</c:v>
          </c:tx>
          <c:spPr>
            <a:ln w="19050">
              <a:solidFill>
                <a:srgbClr val="FF0000"/>
              </a:solidFill>
            </a:ln>
          </c:spPr>
          <c:marker>
            <c:symbol val="none"/>
          </c:marker>
          <c:xVal>
            <c:numRef>
              <c:f>'Left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1 Kin'!$AM$2:$AM$102</c:f>
              <c:numCache>
                <c:formatCode>General</c:formatCode>
                <c:ptCount val="101"/>
                <c:pt idx="0">
                  <c:v>-1.36293</c:v>
                </c:pt>
                <c:pt idx="1">
                  <c:v>-1.2992999999999999</c:v>
                </c:pt>
                <c:pt idx="2">
                  <c:v>-1.23567</c:v>
                </c:pt>
                <c:pt idx="3">
                  <c:v>-1.17204</c:v>
                </c:pt>
                <c:pt idx="4">
                  <c:v>-1.1084099999999999</c:v>
                </c:pt>
                <c:pt idx="5">
                  <c:v>-1.0727964999999999</c:v>
                </c:pt>
                <c:pt idx="6">
                  <c:v>-1.037183</c:v>
                </c:pt>
                <c:pt idx="7">
                  <c:v>-1.0015695</c:v>
                </c:pt>
                <c:pt idx="8">
                  <c:v>-0.96595600000000004</c:v>
                </c:pt>
                <c:pt idx="9">
                  <c:v>-0.72446699999999997</c:v>
                </c:pt>
                <c:pt idx="10">
                  <c:v>-0.48297799999999991</c:v>
                </c:pt>
                <c:pt idx="11">
                  <c:v>-0.2414889999999997</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-0.14105125000000099</c:v>
                </c:pt>
                <c:pt idx="78">
                  <c:v>-0.28210249999999998</c:v>
                </c:pt>
                <c:pt idx="79">
                  <c:v>-0.423153749999999</c:v>
                </c:pt>
                <c:pt idx="80">
                  <c:v>-0.56420500000000007</c:v>
                </c:pt>
                <c:pt idx="81">
                  <c:v>-0.55933200000000005</c:v>
                </c:pt>
                <c:pt idx="82">
                  <c:v>-0.55445900000000004</c:v>
                </c:pt>
                <c:pt idx="83">
                  <c:v>-0.54958600000000002</c:v>
                </c:pt>
                <c:pt idx="84">
                  <c:v>-0.544713</c:v>
                </c:pt>
                <c:pt idx="85">
                  <c:v>-0.40853474999999911</c:v>
                </c:pt>
                <c:pt idx="86">
                  <c:v>-0.2723565</c:v>
                </c:pt>
                <c:pt idx="87">
                  <c:v>-0.13617825000000089</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1"/>
          <c:extLst>
            <c:ext xmlns:c16="http://schemas.microsoft.com/office/drawing/2014/chart" uri="{C3380CC4-5D6E-409C-BE32-E72D297353CC}">
              <c16:uniqueId val="{00000000-925C-434F-BCE2-B99708CA24F9}"/>
            </c:ext>
          </c:extLst>
        </c:ser>
        <c:dLbls>
          <c:showLegendKey val="0"/>
          <c:showVal val="0"/>
          <c:showCatName val="0"/>
          <c:showSerName val="0"/>
          <c:showPercent val="0"/>
          <c:showBubbleSize val="0"/>
        </c:dLbls>
        <c:axId val="90982272"/>
        <c:axId val="90983808"/>
      </c:scatterChart>
      <c:valAx>
        <c:axId val="90982272"/>
        <c:scaling>
          <c:orientation val="minMax"/>
          <c:max val="100"/>
        </c:scaling>
        <c:delete val="0"/>
        <c:axPos val="b"/>
        <c:numFmt formatCode="General" sourceLinked="1"/>
        <c:majorTickMark val="out"/>
        <c:minorTickMark val="none"/>
        <c:tickLblPos val="nextTo"/>
        <c:txPr>
          <a:bodyPr/>
          <a:lstStyle/>
          <a:p>
            <a:pPr>
              <a:defRPr lang="en-US" sz="800"/>
            </a:pPr>
            <a:endParaRPr lang="en-US"/>
          </a:p>
        </c:txPr>
        <c:crossAx val="90983808"/>
        <c:crosses val="autoZero"/>
        <c:crossBetween val="midCat"/>
        <c:majorUnit val="20"/>
      </c:valAx>
      <c:valAx>
        <c:axId val="90983808"/>
        <c:scaling>
          <c:orientation val="minMax"/>
        </c:scaling>
        <c:delete val="0"/>
        <c:axPos val="l"/>
        <c:title>
          <c:tx>
            <c:rich>
              <a:bodyPr rot="-5400000" vert="horz"/>
              <a:lstStyle/>
              <a:p>
                <a:pPr>
                  <a:defRPr lang="en-AU" sz="900"/>
                </a:pPr>
                <a:r>
                  <a:rPr lang="en-US" sz="900"/>
                  <a:t>Moment (Nm/kg)</a:t>
                </a:r>
              </a:p>
            </c:rich>
          </c:tx>
          <c:layout>
            <c:manualLayout>
              <c:xMode val="edge"/>
              <c:yMode val="edge"/>
              <c:x val="6.1702551325188921E-3"/>
              <c:y val="0.32694305948250502"/>
            </c:manualLayout>
          </c:layout>
          <c:overlay val="0"/>
        </c:title>
        <c:numFmt formatCode="0" sourceLinked="0"/>
        <c:majorTickMark val="out"/>
        <c:minorTickMark val="none"/>
        <c:tickLblPos val="nextTo"/>
        <c:txPr>
          <a:bodyPr/>
          <a:lstStyle/>
          <a:p>
            <a:pPr>
              <a:defRPr lang="en-US" sz="800"/>
            </a:pPr>
            <a:endParaRPr lang="en-US"/>
          </a:p>
        </c:txPr>
        <c:crossAx val="90982272"/>
        <c:crosses val="autoZero"/>
        <c:crossBetween val="midCat"/>
      </c:valAx>
    </c:plotArea>
    <c:plotVisOnly val="1"/>
    <c:dispBlanksAs val="gap"/>
    <c:showDLblsOverMax val="0"/>
  </c:chart>
  <c:printSettings>
    <c:headerFooter/>
    <c:pageMargins b="0.75000000000001421" l="0.70000000000000095" r="0.70000000000000095" t="0.75000000000001421" header="0.3000000000000001" footer="0.3000000000000001"/>
    <c:pageSetup/>
  </c:printSettings>
  <c:userShapes r:id="rId1"/>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US" sz="1200"/>
            </a:pPr>
            <a:r>
              <a:rPr lang="en-US" sz="1200"/>
              <a:t>Hip Moment</a:t>
            </a:r>
          </a:p>
        </c:rich>
      </c:tx>
      <c:overlay val="0"/>
    </c:title>
    <c:autoTitleDeleted val="0"/>
    <c:plotArea>
      <c:layout>
        <c:manualLayout>
          <c:layoutTarget val="inner"/>
          <c:xMode val="edge"/>
          <c:yMode val="edge"/>
          <c:x val="9.8600682161106679E-2"/>
          <c:y val="3.646286149715159E-2"/>
          <c:w val="0.86187683061356446"/>
          <c:h val="0.92583910882107479"/>
        </c:manualLayout>
      </c:layout>
      <c:scatterChart>
        <c:scatterStyle val="smoothMarker"/>
        <c:varyColors val="0"/>
        <c:ser>
          <c:idx val="1"/>
          <c:order val="0"/>
          <c:tx>
            <c:v>Normative</c:v>
          </c:tx>
          <c:spPr>
            <a:ln>
              <a:solidFill>
                <a:schemeClr val="tx1"/>
              </a:solidFill>
            </a:ln>
          </c:spPr>
          <c:marker>
            <c:symbol val="none"/>
          </c:marker>
          <c:xVal>
            <c:numRef>
              <c:f>Normative!$A$2:$A$102</c:f>
              <c:numCache>
                <c:formatCode>General</c:formatCode>
                <c:ptCount val="101"/>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numCache>
            </c:numRef>
          </c:xVal>
          <c:yVal>
            <c:numRef>
              <c:f>Normative!$AI$2:$AI$102</c:f>
              <c:numCache>
                <c:formatCode>General</c:formatCode>
                <c:ptCount val="101"/>
                <c:pt idx="0">
                  <c:v>3.4685938026066663</c:v>
                </c:pt>
                <c:pt idx="1">
                  <c:v>3.4685938026066663</c:v>
                </c:pt>
                <c:pt idx="2">
                  <c:v>3.3119882808099996</c:v>
                </c:pt>
                <c:pt idx="3">
                  <c:v>3.19206254841</c:v>
                </c:pt>
                <c:pt idx="4">
                  <c:v>1.7266380085033335</c:v>
                </c:pt>
                <c:pt idx="5">
                  <c:v>1.4566759724033331</c:v>
                </c:pt>
                <c:pt idx="6">
                  <c:v>0.34064676978666658</c:v>
                </c:pt>
                <c:pt idx="7">
                  <c:v>0.12853859017000005</c:v>
                </c:pt>
                <c:pt idx="8">
                  <c:v>0.50944135807666668</c:v>
                </c:pt>
                <c:pt idx="9">
                  <c:v>0.70732794074666683</c:v>
                </c:pt>
                <c:pt idx="10">
                  <c:v>1.0105615619866668</c:v>
                </c:pt>
                <c:pt idx="11">
                  <c:v>1.2057994893033335</c:v>
                </c:pt>
                <c:pt idx="12">
                  <c:v>1.3677623922400002</c:v>
                </c:pt>
                <c:pt idx="13">
                  <c:v>1.1800261067133333</c:v>
                </c:pt>
                <c:pt idx="14">
                  <c:v>1.3805304195599999</c:v>
                </c:pt>
                <c:pt idx="15">
                  <c:v>1.0495875776666668</c:v>
                </c:pt>
                <c:pt idx="16">
                  <c:v>1.1682508223499999</c:v>
                </c:pt>
                <c:pt idx="17">
                  <c:v>1.0732317148533335</c:v>
                </c:pt>
                <c:pt idx="18">
                  <c:v>1.1971020293166668</c:v>
                </c:pt>
                <c:pt idx="19">
                  <c:v>1.3635704968966669</c:v>
                </c:pt>
                <c:pt idx="20">
                  <c:v>1.3213570404033332</c:v>
                </c:pt>
                <c:pt idx="21">
                  <c:v>1.3632583729100001</c:v>
                </c:pt>
                <c:pt idx="22">
                  <c:v>1.2125460131533334</c:v>
                </c:pt>
                <c:pt idx="23">
                  <c:v>1.01917194148</c:v>
                </c:pt>
                <c:pt idx="24">
                  <c:v>0.78354279065666677</c:v>
                </c:pt>
                <c:pt idx="25">
                  <c:v>0.24978549807</c:v>
                </c:pt>
                <c:pt idx="26">
                  <c:v>-0.21160936372333336</c:v>
                </c:pt>
                <c:pt idx="27">
                  <c:v>-0.48823605501666661</c:v>
                </c:pt>
                <c:pt idx="28">
                  <c:v>-0.73155458185</c:v>
                </c:pt>
                <c:pt idx="29">
                  <c:v>-1.1655173890799999</c:v>
                </c:pt>
                <c:pt idx="30">
                  <c:v>-1.3765684466499999</c:v>
                </c:pt>
                <c:pt idx="31">
                  <c:v>-1.7926385411666665</c:v>
                </c:pt>
                <c:pt idx="32">
                  <c:v>-1.9273951617933334</c:v>
                </c:pt>
                <c:pt idx="33">
                  <c:v>-2.2020555336000003</c:v>
                </c:pt>
                <c:pt idx="34">
                  <c:v>-2.3226850621200001</c:v>
                </c:pt>
                <c:pt idx="35">
                  <c:v>-2.2904609452566667</c:v>
                </c:pt>
                <c:pt idx="36">
                  <c:v>-2.351773724753333</c:v>
                </c:pt>
                <c:pt idx="37">
                  <c:v>-2.1671665400666664</c:v>
                </c:pt>
                <c:pt idx="38">
                  <c:v>-2.1530069038333335</c:v>
                </c:pt>
                <c:pt idx="39">
                  <c:v>-2.0565683552533334</c:v>
                </c:pt>
                <c:pt idx="40">
                  <c:v>-1.9523945170700001</c:v>
                </c:pt>
                <c:pt idx="41">
                  <c:v>-1.9270081332666664</c:v>
                </c:pt>
                <c:pt idx="42">
                  <c:v>-1.8465552681233335</c:v>
                </c:pt>
                <c:pt idx="43">
                  <c:v>-1.8171621849299997</c:v>
                </c:pt>
                <c:pt idx="44">
                  <c:v>-1.7729776503133332</c:v>
                </c:pt>
                <c:pt idx="45">
                  <c:v>-1.7987191233466666</c:v>
                </c:pt>
                <c:pt idx="46">
                  <c:v>-1.8212943482266668</c:v>
                </c:pt>
                <c:pt idx="47">
                  <c:v>-1.9032409533200001</c:v>
                </c:pt>
                <c:pt idx="48">
                  <c:v>-1.95557367122</c:v>
                </c:pt>
                <c:pt idx="49">
                  <c:v>-1.9910514071733334</c:v>
                </c:pt>
                <c:pt idx="50">
                  <c:v>-2.7847505807500004</c:v>
                </c:pt>
              </c:numCache>
            </c:numRef>
          </c:yVal>
          <c:smooth val="1"/>
          <c:extLst>
            <c:ext xmlns:c16="http://schemas.microsoft.com/office/drawing/2014/chart" uri="{C3380CC4-5D6E-409C-BE32-E72D297353CC}">
              <c16:uniqueId val="{00000000-337B-4DFE-9131-7D6741A0595B}"/>
            </c:ext>
          </c:extLst>
        </c:ser>
        <c:ser>
          <c:idx val="6"/>
          <c:order val="1"/>
          <c:tx>
            <c:v>Right 3</c:v>
          </c:tx>
          <c:spPr>
            <a:ln w="19050">
              <a:solidFill>
                <a:srgbClr val="00B050"/>
              </a:solidFill>
            </a:ln>
          </c:spPr>
          <c:marker>
            <c:symbol val="none"/>
          </c:marker>
          <c:xVal>
            <c:numRef>
              <c:f>'Right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3 Kin'!$AI$2:$AI$102</c:f>
              <c:numCache>
                <c:formatCode>General</c:formatCode>
                <c:ptCount val="101"/>
                <c:pt idx="0">
                  <c:v>5.4448800000000004</c:v>
                </c:pt>
                <c:pt idx="1">
                  <c:v>5.0265660000000008</c:v>
                </c:pt>
                <c:pt idx="2">
                  <c:v>4.6082520000000002</c:v>
                </c:pt>
                <c:pt idx="3">
                  <c:v>4.1899380000000006</c:v>
                </c:pt>
                <c:pt idx="4">
                  <c:v>3.8821704000000001</c:v>
                </c:pt>
                <c:pt idx="5">
                  <c:v>4.1824080000000006</c:v>
                </c:pt>
                <c:pt idx="6">
                  <c:v>4.4826455999999997</c:v>
                </c:pt>
                <c:pt idx="7">
                  <c:v>4.7828831999999997</c:v>
                </c:pt>
                <c:pt idx="8">
                  <c:v>5.0110239999999999</c:v>
                </c:pt>
                <c:pt idx="9">
                  <c:v>5.0769469999999997</c:v>
                </c:pt>
                <c:pt idx="10">
                  <c:v>5.1428700000000003</c:v>
                </c:pt>
                <c:pt idx="11">
                  <c:v>5.208793</c:v>
                </c:pt>
                <c:pt idx="12">
                  <c:v>5.1281648000000004</c:v>
                </c:pt>
                <c:pt idx="13">
                  <c:v>4.8765602000000001</c:v>
                </c:pt>
                <c:pt idx="14">
                  <c:v>4.6249555999999998</c:v>
                </c:pt>
                <c:pt idx="15">
                  <c:v>4.3733510000000004</c:v>
                </c:pt>
                <c:pt idx="16">
                  <c:v>4.2597943999999996</c:v>
                </c:pt>
                <c:pt idx="17">
                  <c:v>4.2325178000000001</c:v>
                </c:pt>
                <c:pt idx="18">
                  <c:v>4.2052411999999997</c:v>
                </c:pt>
                <c:pt idx="19">
                  <c:v>4.1779646000000001</c:v>
                </c:pt>
                <c:pt idx="20">
                  <c:v>4.1057419999999993</c:v>
                </c:pt>
                <c:pt idx="21">
                  <c:v>4.0200355999999999</c:v>
                </c:pt>
                <c:pt idx="22">
                  <c:v>3.9343292000000001</c:v>
                </c:pt>
                <c:pt idx="23">
                  <c:v>3.8486227999999998</c:v>
                </c:pt>
                <c:pt idx="24">
                  <c:v>3.6142892000000009</c:v>
                </c:pt>
                <c:pt idx="25">
                  <c:v>3.3675700000000002</c:v>
                </c:pt>
                <c:pt idx="26">
                  <c:v>3.1208507999999999</c:v>
                </c:pt>
                <c:pt idx="27">
                  <c:v>2.8792111999999999</c:v>
                </c:pt>
                <c:pt idx="28">
                  <c:v>2.6985267999999998</c:v>
                </c:pt>
                <c:pt idx="29">
                  <c:v>2.5178424000000001</c:v>
                </c:pt>
                <c:pt idx="30">
                  <c:v>2.3371580000000001</c:v>
                </c:pt>
                <c:pt idx="31">
                  <c:v>2.1485872000000001</c:v>
                </c:pt>
                <c:pt idx="32">
                  <c:v>1.9337283999999999</c:v>
                </c:pt>
                <c:pt idx="33">
                  <c:v>1.718869599999999</c:v>
                </c:pt>
                <c:pt idx="34">
                  <c:v>1.5040108000000001</c:v>
                </c:pt>
                <c:pt idx="35">
                  <c:v>1.2455754999999999</c:v>
                </c:pt>
                <c:pt idx="36">
                  <c:v>0.91741779999999884</c:v>
                </c:pt>
                <c:pt idx="37">
                  <c:v>0.58926009999999807</c:v>
                </c:pt>
                <c:pt idx="38">
                  <c:v>0.26110239999999968</c:v>
                </c:pt>
                <c:pt idx="39">
                  <c:v>-0.10977630000000139</c:v>
                </c:pt>
                <c:pt idx="40">
                  <c:v>-0.51727300000000231</c:v>
                </c:pt>
                <c:pt idx="41">
                  <c:v>-0.92476970000000036</c:v>
                </c:pt>
                <c:pt idx="42">
                  <c:v>-1.3322664000000011</c:v>
                </c:pt>
                <c:pt idx="43">
                  <c:v>-1.672753600000001</c:v>
                </c:pt>
                <c:pt idx="44">
                  <c:v>-1.983458800000002</c:v>
                </c:pt>
                <c:pt idx="45">
                  <c:v>-2.294163999999999</c:v>
                </c:pt>
                <c:pt idx="46">
                  <c:v>-2.6048692</c:v>
                </c:pt>
                <c:pt idx="47">
                  <c:v>-2.8111206000000002</c:v>
                </c:pt>
                <c:pt idx="48">
                  <c:v>-2.9983803999999989</c:v>
                </c:pt>
                <c:pt idx="49">
                  <c:v>-3.185640199999999</c:v>
                </c:pt>
                <c:pt idx="50">
                  <c:v>-3.3729</c:v>
                </c:pt>
                <c:pt idx="51">
                  <c:v>-3.5153748</c:v>
                </c:pt>
                <c:pt idx="52">
                  <c:v>-3.6578496</c:v>
                </c:pt>
                <c:pt idx="53">
                  <c:v>-3.8003244</c:v>
                </c:pt>
                <c:pt idx="54">
                  <c:v>-3.9396892000000001</c:v>
                </c:pt>
                <c:pt idx="55">
                  <c:v>-4.0619490000000003</c:v>
                </c:pt>
                <c:pt idx="56">
                  <c:v>-4.1842088000000004</c:v>
                </c:pt>
                <c:pt idx="57">
                  <c:v>-4.3064685999999996</c:v>
                </c:pt>
                <c:pt idx="58">
                  <c:v>-4.4170812000000002</c:v>
                </c:pt>
                <c:pt idx="59">
                  <c:v>-4.5014875999999999</c:v>
                </c:pt>
                <c:pt idx="60">
                  <c:v>-4.5858939999999997</c:v>
                </c:pt>
                <c:pt idx="61">
                  <c:v>-4.6703004000000004</c:v>
                </c:pt>
                <c:pt idx="62">
                  <c:v>-4.7170171999999999</c:v>
                </c:pt>
                <c:pt idx="63">
                  <c:v>-4.7197627999999998</c:v>
                </c:pt>
                <c:pt idx="64">
                  <c:v>-4.7225084000000006</c:v>
                </c:pt>
                <c:pt idx="65">
                  <c:v>-4.7252540000000014</c:v>
                </c:pt>
                <c:pt idx="66">
                  <c:v>-4.6802891999999998</c:v>
                </c:pt>
                <c:pt idx="67">
                  <c:v>-4.6055054000000002</c:v>
                </c:pt>
                <c:pt idx="68">
                  <c:v>-4.5307216000000006</c:v>
                </c:pt>
                <c:pt idx="69">
                  <c:v>-4.4559378000000001</c:v>
                </c:pt>
                <c:pt idx="70">
                  <c:v>-4.3411040000000014</c:v>
                </c:pt>
                <c:pt idx="71">
                  <c:v>-4.2142551999999984</c:v>
                </c:pt>
                <c:pt idx="72">
                  <c:v>-4.087406399999999</c:v>
                </c:pt>
                <c:pt idx="73">
                  <c:v>-3.9605576</c:v>
                </c:pt>
                <c:pt idx="74">
                  <c:v>-3.8689599999999991</c:v>
                </c:pt>
                <c:pt idx="75">
                  <c:v>-3.7803</c:v>
                </c:pt>
                <c:pt idx="76">
                  <c:v>-3.69164</c:v>
                </c:pt>
                <c:pt idx="77">
                  <c:v>-3.6087462000000001</c:v>
                </c:pt>
                <c:pt idx="78">
                  <c:v>-3.5950468</c:v>
                </c:pt>
                <c:pt idx="79">
                  <c:v>-3.5813473999999998</c:v>
                </c:pt>
                <c:pt idx="80">
                  <c:v>-3.5676480000000002</c:v>
                </c:pt>
                <c:pt idx="81">
                  <c:v>-3.598666000000001</c:v>
                </c:pt>
                <c:pt idx="82">
                  <c:v>-3.7787420000000012</c:v>
                </c:pt>
                <c:pt idx="83">
                  <c:v>-3.9588180000000022</c:v>
                </c:pt>
                <c:pt idx="84">
                  <c:v>-4.1388940000000014</c:v>
                </c:pt>
                <c:pt idx="85">
                  <c:v>-4.316715000000003</c:v>
                </c:pt>
                <c:pt idx="86">
                  <c:v>-4.490928000000002</c:v>
                </c:pt>
                <c:pt idx="87">
                  <c:v>-4.6651410000000011</c:v>
                </c:pt>
                <c:pt idx="88">
                  <c:v>-4.8393540000000028</c:v>
                </c:pt>
                <c:pt idx="89">
                  <c:v>-4.9029123999999999</c:v>
                </c:pt>
                <c:pt idx="90">
                  <c:v>-4.8716240000000006</c:v>
                </c:pt>
                <c:pt idx="91">
                  <c:v>-4.8403356000000004</c:v>
                </c:pt>
                <c:pt idx="92">
                  <c:v>-4.8090472000000002</c:v>
                </c:pt>
                <c:pt idx="93">
                  <c:v>-4.6848338000000016</c:v>
                </c:pt>
                <c:pt idx="94">
                  <c:v>-4.5193203999999998</c:v>
                </c:pt>
                <c:pt idx="95">
                  <c:v>-4.3538070000000006</c:v>
                </c:pt>
                <c:pt idx="96">
                  <c:v>-4.1882936000000024</c:v>
                </c:pt>
                <c:pt idx="97">
                  <c:v>-4.0455524</c:v>
                </c:pt>
                <c:pt idx="98">
                  <c:v>-3.9069516000000002</c:v>
                </c:pt>
                <c:pt idx="99">
                  <c:v>-3.768350799999999</c:v>
                </c:pt>
                <c:pt idx="100">
                  <c:v>-3.62975</c:v>
                </c:pt>
              </c:numCache>
            </c:numRef>
          </c:yVal>
          <c:smooth val="1"/>
          <c:extLst>
            <c:ext xmlns:c16="http://schemas.microsoft.com/office/drawing/2014/chart" uri="{C3380CC4-5D6E-409C-BE32-E72D297353CC}">
              <c16:uniqueId val="{00000004-E2A3-4605-B66A-F47BB04DD9B9}"/>
            </c:ext>
          </c:extLst>
        </c:ser>
        <c:ser>
          <c:idx val="5"/>
          <c:order val="2"/>
          <c:tx>
            <c:v>Right 2</c:v>
          </c:tx>
          <c:spPr>
            <a:ln w="19050">
              <a:solidFill>
                <a:srgbClr val="00B050"/>
              </a:solidFill>
            </a:ln>
          </c:spPr>
          <c:marker>
            <c:symbol val="none"/>
          </c:marker>
          <c:xVal>
            <c:numRef>
              <c:f>'Right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2 Kin'!$AI$2:$AI$102</c:f>
              <c:numCache>
                <c:formatCode>General</c:formatCode>
                <c:ptCount val="101"/>
                <c:pt idx="0">
                  <c:v>3.9012600000000002</c:v>
                </c:pt>
                <c:pt idx="1">
                  <c:v>3.6929118000000001</c:v>
                </c:pt>
                <c:pt idx="2">
                  <c:v>3.4845636</c:v>
                </c:pt>
                <c:pt idx="3">
                  <c:v>3.2762153999999999</c:v>
                </c:pt>
                <c:pt idx="4">
                  <c:v>3.1913727999999999</c:v>
                </c:pt>
                <c:pt idx="5">
                  <c:v>3.3998560000000002</c:v>
                </c:pt>
                <c:pt idx="6">
                  <c:v>3.608339200000001</c:v>
                </c:pt>
                <c:pt idx="7">
                  <c:v>3.8168223999999999</c:v>
                </c:pt>
                <c:pt idx="8">
                  <c:v>4.2792944000000013</c:v>
                </c:pt>
                <c:pt idx="9">
                  <c:v>4.9163837000000008</c:v>
                </c:pt>
                <c:pt idx="10">
                  <c:v>5.5534730000000003</c:v>
                </c:pt>
                <c:pt idx="11">
                  <c:v>6.1905622999999999</c:v>
                </c:pt>
                <c:pt idx="12">
                  <c:v>6.3260779999999999</c:v>
                </c:pt>
                <c:pt idx="13">
                  <c:v>6.3988970000000007</c:v>
                </c:pt>
                <c:pt idx="14">
                  <c:v>6.4717160000000007</c:v>
                </c:pt>
                <c:pt idx="15">
                  <c:v>6.4703175000000002</c:v>
                </c:pt>
                <c:pt idx="16">
                  <c:v>6.1423620000000003</c:v>
                </c:pt>
                <c:pt idx="17">
                  <c:v>5.8144064999999996</c:v>
                </c:pt>
                <c:pt idx="18">
                  <c:v>5.4864509999999989</c:v>
                </c:pt>
                <c:pt idx="19">
                  <c:v>5.2275203000000001</c:v>
                </c:pt>
                <c:pt idx="20">
                  <c:v>5.0429239999999993</c:v>
                </c:pt>
                <c:pt idx="21">
                  <c:v>4.8583277000000002</c:v>
                </c:pt>
                <c:pt idx="22">
                  <c:v>4.6737314000000003</c:v>
                </c:pt>
                <c:pt idx="23">
                  <c:v>4.3570577000000004</c:v>
                </c:pt>
                <c:pt idx="24">
                  <c:v>4.0026476000000004</c:v>
                </c:pt>
                <c:pt idx="25">
                  <c:v>3.6482375</c:v>
                </c:pt>
                <c:pt idx="26">
                  <c:v>3.2908550000000001</c:v>
                </c:pt>
                <c:pt idx="27">
                  <c:v>2.896317499999999</c:v>
                </c:pt>
                <c:pt idx="28">
                  <c:v>2.5017800000000001</c:v>
                </c:pt>
                <c:pt idx="29">
                  <c:v>2.107242499999999</c:v>
                </c:pt>
                <c:pt idx="30">
                  <c:v>1.776886</c:v>
                </c:pt>
                <c:pt idx="31">
                  <c:v>1.5556372000000001</c:v>
                </c:pt>
                <c:pt idx="32">
                  <c:v>1.3343883999999999</c:v>
                </c:pt>
                <c:pt idx="33">
                  <c:v>1.1131396</c:v>
                </c:pt>
                <c:pt idx="34">
                  <c:v>0.90496870000000063</c:v>
                </c:pt>
                <c:pt idx="35">
                  <c:v>0.70333675000000007</c:v>
                </c:pt>
                <c:pt idx="36">
                  <c:v>0.50170479999999962</c:v>
                </c:pt>
                <c:pt idx="37">
                  <c:v>0.30007284999999911</c:v>
                </c:pt>
                <c:pt idx="38">
                  <c:v>-1.9390320000000131E-2</c:v>
                </c:pt>
                <c:pt idx="39">
                  <c:v>-0.34338546000000092</c:v>
                </c:pt>
                <c:pt idx="40">
                  <c:v>-0.66738060000000188</c:v>
                </c:pt>
                <c:pt idx="41">
                  <c:v>-0.99658731000000023</c:v>
                </c:pt>
                <c:pt idx="42">
                  <c:v>-1.34068422</c:v>
                </c:pt>
                <c:pt idx="43">
                  <c:v>-1.6847811300000011</c:v>
                </c:pt>
                <c:pt idx="44">
                  <c:v>-2.0288780400000008</c:v>
                </c:pt>
                <c:pt idx="45">
                  <c:v>-2.317073999999999</c:v>
                </c:pt>
                <c:pt idx="46">
                  <c:v>-2.5605492000000001</c:v>
                </c:pt>
                <c:pt idx="47">
                  <c:v>-2.8040244000000012</c:v>
                </c:pt>
                <c:pt idx="48">
                  <c:v>-3.0474996000000001</c:v>
                </c:pt>
                <c:pt idx="49">
                  <c:v>-3.2498163</c:v>
                </c:pt>
                <c:pt idx="50">
                  <c:v>-3.4449750000000008</c:v>
                </c:pt>
                <c:pt idx="51">
                  <c:v>-3.640133700000002</c:v>
                </c:pt>
                <c:pt idx="52">
                  <c:v>-3.8330952000000011</c:v>
                </c:pt>
                <c:pt idx="53">
                  <c:v>-4.0134228000000007</c:v>
                </c:pt>
                <c:pt idx="54">
                  <c:v>-4.1937504000000008</c:v>
                </c:pt>
                <c:pt idx="55">
                  <c:v>-4.3740780000000008</c:v>
                </c:pt>
                <c:pt idx="56">
                  <c:v>-4.5414180000000002</c:v>
                </c:pt>
                <c:pt idx="57">
                  <c:v>-4.6925235000000001</c:v>
                </c:pt>
                <c:pt idx="58">
                  <c:v>-4.843629</c:v>
                </c:pt>
                <c:pt idx="59">
                  <c:v>-4.9947344999999999</c:v>
                </c:pt>
                <c:pt idx="60">
                  <c:v>-5.0827419999999996</c:v>
                </c:pt>
                <c:pt idx="61">
                  <c:v>-5.1486651999999999</c:v>
                </c:pt>
                <c:pt idx="62">
                  <c:v>-5.2145884000000002</c:v>
                </c:pt>
                <c:pt idx="63">
                  <c:v>-5.275743499999999</c:v>
                </c:pt>
                <c:pt idx="64">
                  <c:v>-5.2129279999999998</c:v>
                </c:pt>
                <c:pt idx="65">
                  <c:v>-5.1501124999999996</c:v>
                </c:pt>
                <c:pt idx="66">
                  <c:v>-5.0872970000000004</c:v>
                </c:pt>
                <c:pt idx="67">
                  <c:v>-5.0167486999999999</c:v>
                </c:pt>
                <c:pt idx="68">
                  <c:v>-4.9307348000000006</c:v>
                </c:pt>
                <c:pt idx="69">
                  <c:v>-4.8447209000000004</c:v>
                </c:pt>
                <c:pt idx="70">
                  <c:v>-4.7587070000000002</c:v>
                </c:pt>
                <c:pt idx="71">
                  <c:v>-4.6664591999999994</c:v>
                </c:pt>
                <c:pt idx="72">
                  <c:v>-4.5705443999999993</c:v>
                </c:pt>
                <c:pt idx="73">
                  <c:v>-4.4746296000000001</c:v>
                </c:pt>
                <c:pt idx="74">
                  <c:v>-4.3787147999999982</c:v>
                </c:pt>
                <c:pt idx="75">
                  <c:v>-4.2258974999999994</c:v>
                </c:pt>
                <c:pt idx="76">
                  <c:v>-4.0685280000000006</c:v>
                </c:pt>
                <c:pt idx="77">
                  <c:v>-3.9111585</c:v>
                </c:pt>
                <c:pt idx="78">
                  <c:v>-3.755770800000001</c:v>
                </c:pt>
                <c:pt idx="79">
                  <c:v>-3.6073194000000011</c:v>
                </c:pt>
                <c:pt idx="80">
                  <c:v>-3.4588679999999989</c:v>
                </c:pt>
                <c:pt idx="81">
                  <c:v>-3.310416599999999</c:v>
                </c:pt>
                <c:pt idx="82">
                  <c:v>-3.2486951999999998</c:v>
                </c:pt>
                <c:pt idx="83">
                  <c:v>-3.2675087999999999</c:v>
                </c:pt>
                <c:pt idx="84">
                  <c:v>-3.2863224</c:v>
                </c:pt>
                <c:pt idx="85">
                  <c:v>-3.3051360000000001</c:v>
                </c:pt>
                <c:pt idx="86">
                  <c:v>-3.4159800000000011</c:v>
                </c:pt>
                <c:pt idx="87">
                  <c:v>-3.5477400000000001</c:v>
                </c:pt>
                <c:pt idx="88">
                  <c:v>-3.6795000000000009</c:v>
                </c:pt>
                <c:pt idx="89">
                  <c:v>-3.7925754</c:v>
                </c:pt>
                <c:pt idx="90">
                  <c:v>-3.7561740000000001</c:v>
                </c:pt>
                <c:pt idx="91">
                  <c:v>-3.7197726000000002</c:v>
                </c:pt>
                <c:pt idx="92">
                  <c:v>-3.6833711999999998</c:v>
                </c:pt>
                <c:pt idx="93">
                  <c:v>-3.6332285999999998</c:v>
                </c:pt>
                <c:pt idx="94">
                  <c:v>-3.5630988000000001</c:v>
                </c:pt>
                <c:pt idx="95">
                  <c:v>-3.492969</c:v>
                </c:pt>
                <c:pt idx="96">
                  <c:v>-3.4228391999999999</c:v>
                </c:pt>
                <c:pt idx="97">
                  <c:v>-3.3713541</c:v>
                </c:pt>
                <c:pt idx="98">
                  <c:v>-3.3277193999999999</c:v>
                </c:pt>
                <c:pt idx="99">
                  <c:v>-3.2840846999999989</c:v>
                </c:pt>
                <c:pt idx="100">
                  <c:v>-3.2404500000000001</c:v>
                </c:pt>
              </c:numCache>
            </c:numRef>
          </c:yVal>
          <c:smooth val="1"/>
          <c:extLst>
            <c:ext xmlns:c16="http://schemas.microsoft.com/office/drawing/2014/chart" uri="{C3380CC4-5D6E-409C-BE32-E72D297353CC}">
              <c16:uniqueId val="{00000003-E2A3-4605-B66A-F47BB04DD9B9}"/>
            </c:ext>
          </c:extLst>
        </c:ser>
        <c:ser>
          <c:idx val="4"/>
          <c:order val="3"/>
          <c:tx>
            <c:v>Right 1</c:v>
          </c:tx>
          <c:spPr>
            <a:ln w="19050">
              <a:solidFill>
                <a:srgbClr val="00B050"/>
              </a:solidFill>
            </a:ln>
          </c:spPr>
          <c:marker>
            <c:symbol val="none"/>
          </c:marker>
          <c:xVal>
            <c:numRef>
              <c:f>'Right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1 Kin'!$AI$2:$AI$102</c:f>
              <c:numCache>
                <c:formatCode>General</c:formatCode>
                <c:ptCount val="101"/>
                <c:pt idx="0">
                  <c:v>4.3820699999999997</c:v>
                </c:pt>
                <c:pt idx="1">
                  <c:v>4.0515163999999997</c:v>
                </c:pt>
                <c:pt idx="2">
                  <c:v>3.7209628000000001</c:v>
                </c:pt>
                <c:pt idx="3">
                  <c:v>3.3904092000000001</c:v>
                </c:pt>
                <c:pt idx="4">
                  <c:v>3.4740924</c:v>
                </c:pt>
                <c:pt idx="5">
                  <c:v>3.8943430000000001</c:v>
                </c:pt>
                <c:pt idx="6">
                  <c:v>4.3145936000000003</c:v>
                </c:pt>
                <c:pt idx="7">
                  <c:v>4.7391642000000003</c:v>
                </c:pt>
                <c:pt idx="8">
                  <c:v>5.2011748000000004</c:v>
                </c:pt>
                <c:pt idx="9">
                  <c:v>5.6631853999999997</c:v>
                </c:pt>
                <c:pt idx="10">
                  <c:v>6.1251960000000008</c:v>
                </c:pt>
                <c:pt idx="11">
                  <c:v>6.1727197</c:v>
                </c:pt>
                <c:pt idx="12">
                  <c:v>6.0020924000000004</c:v>
                </c:pt>
                <c:pt idx="13">
                  <c:v>5.8314651000000008</c:v>
                </c:pt>
                <c:pt idx="14">
                  <c:v>5.6448322000000006</c:v>
                </c:pt>
                <c:pt idx="15">
                  <c:v>5.3968445000000003</c:v>
                </c:pt>
                <c:pt idx="16">
                  <c:v>5.1488568000000008</c:v>
                </c:pt>
                <c:pt idx="17">
                  <c:v>4.9008691000000004</c:v>
                </c:pt>
                <c:pt idx="18">
                  <c:v>4.7420781999999999</c:v>
                </c:pt>
                <c:pt idx="19">
                  <c:v>4.6116681000000002</c:v>
                </c:pt>
                <c:pt idx="20">
                  <c:v>4.4812580000000004</c:v>
                </c:pt>
                <c:pt idx="21">
                  <c:v>4.2832542999999994</c:v>
                </c:pt>
                <c:pt idx="22">
                  <c:v>3.9350425999999992</c:v>
                </c:pt>
                <c:pt idx="23">
                  <c:v>3.5868308999999989</c:v>
                </c:pt>
                <c:pt idx="24">
                  <c:v>3.2386192</c:v>
                </c:pt>
                <c:pt idx="25">
                  <c:v>2.9407575000000001</c:v>
                </c:pt>
                <c:pt idx="26">
                  <c:v>2.650951800000001</c:v>
                </c:pt>
                <c:pt idx="27">
                  <c:v>2.3611461</c:v>
                </c:pt>
                <c:pt idx="28">
                  <c:v>2.1371351999999999</c:v>
                </c:pt>
                <c:pt idx="29">
                  <c:v>2.0063336000000001</c:v>
                </c:pt>
                <c:pt idx="30">
                  <c:v>1.875532</c:v>
                </c:pt>
                <c:pt idx="31">
                  <c:v>1.7447303999999999</c:v>
                </c:pt>
                <c:pt idx="32">
                  <c:v>1.6340496</c:v>
                </c:pt>
                <c:pt idx="33">
                  <c:v>1.5240874</c:v>
                </c:pt>
                <c:pt idx="34">
                  <c:v>1.4141252000000011</c:v>
                </c:pt>
                <c:pt idx="35">
                  <c:v>1.244049750000001</c:v>
                </c:pt>
                <c:pt idx="36">
                  <c:v>1.0178685999999999</c:v>
                </c:pt>
                <c:pt idx="37">
                  <c:v>0.79168744999999918</c:v>
                </c:pt>
                <c:pt idx="38">
                  <c:v>0.56532536</c:v>
                </c:pt>
                <c:pt idx="39">
                  <c:v>0.33652057999999968</c:v>
                </c:pt>
                <c:pt idx="40">
                  <c:v>0.1077157999999994</c:v>
                </c:pt>
                <c:pt idx="41">
                  <c:v>-0.1210889799999993</c:v>
                </c:pt>
                <c:pt idx="42">
                  <c:v>-0.31698453999999981</c:v>
                </c:pt>
                <c:pt idx="43">
                  <c:v>-0.49276891</c:v>
                </c:pt>
                <c:pt idx="44">
                  <c:v>-0.66855328000000025</c:v>
                </c:pt>
                <c:pt idx="45">
                  <c:v>-0.84869999999999923</c:v>
                </c:pt>
                <c:pt idx="46">
                  <c:v>-1.0497860000000001</c:v>
                </c:pt>
                <c:pt idx="47">
                  <c:v>-1.2508720000000011</c:v>
                </c:pt>
                <c:pt idx="48">
                  <c:v>-1.4519580000000001</c:v>
                </c:pt>
                <c:pt idx="49">
                  <c:v>-1.663716200000001</c:v>
                </c:pt>
                <c:pt idx="50">
                  <c:v>-1.8795400000000011</c:v>
                </c:pt>
                <c:pt idx="51">
                  <c:v>-2.0953638000000012</c:v>
                </c:pt>
                <c:pt idx="52">
                  <c:v>-2.3140692</c:v>
                </c:pt>
                <c:pt idx="53">
                  <c:v>-2.5403387999999998</c:v>
                </c:pt>
                <c:pt idx="54">
                  <c:v>-2.7666084</c:v>
                </c:pt>
                <c:pt idx="55">
                  <c:v>-2.992878000000001</c:v>
                </c:pt>
                <c:pt idx="56">
                  <c:v>-3.1822859999999999</c:v>
                </c:pt>
                <c:pt idx="57">
                  <c:v>-3.3640145000000001</c:v>
                </c:pt>
                <c:pt idx="58">
                  <c:v>-3.5457429999999999</c:v>
                </c:pt>
                <c:pt idx="59">
                  <c:v>-3.700946099999999</c:v>
                </c:pt>
                <c:pt idx="60">
                  <c:v>-3.8127439999999999</c:v>
                </c:pt>
                <c:pt idx="61">
                  <c:v>-3.9245418999999999</c:v>
                </c:pt>
                <c:pt idx="62">
                  <c:v>-4.0363398000000004</c:v>
                </c:pt>
                <c:pt idx="63">
                  <c:v>-4.0972588999999999</c:v>
                </c:pt>
                <c:pt idx="64">
                  <c:v>-4.1544091999999999</c:v>
                </c:pt>
                <c:pt idx="65">
                  <c:v>-4.2115594999999999</c:v>
                </c:pt>
                <c:pt idx="66">
                  <c:v>-4.241981</c:v>
                </c:pt>
                <c:pt idx="67">
                  <c:v>-4.2437645000000002</c:v>
                </c:pt>
                <c:pt idx="68">
                  <c:v>-4.2455480000000003</c:v>
                </c:pt>
                <c:pt idx="69">
                  <c:v>-4.2453267000000006</c:v>
                </c:pt>
                <c:pt idx="70">
                  <c:v>-4.1889710000000004</c:v>
                </c:pt>
                <c:pt idx="71">
                  <c:v>-4.1326153000000003</c:v>
                </c:pt>
                <c:pt idx="72">
                  <c:v>-4.0762596000000002</c:v>
                </c:pt>
                <c:pt idx="73">
                  <c:v>-4.0060727000000007</c:v>
                </c:pt>
                <c:pt idx="74">
                  <c:v>-3.9261225999999998</c:v>
                </c:pt>
                <c:pt idx="75">
                  <c:v>-3.8461725000000002</c:v>
                </c:pt>
                <c:pt idx="76">
                  <c:v>-3.7620779999999998</c:v>
                </c:pt>
                <c:pt idx="77">
                  <c:v>-3.652080999999999</c:v>
                </c:pt>
                <c:pt idx="78">
                  <c:v>-3.542084</c:v>
                </c:pt>
                <c:pt idx="79">
                  <c:v>-3.432087000000001</c:v>
                </c:pt>
                <c:pt idx="80">
                  <c:v>-3.3346939999999998</c:v>
                </c:pt>
                <c:pt idx="81">
                  <c:v>-3.2429728</c:v>
                </c:pt>
                <c:pt idx="82">
                  <c:v>-3.151251600000001</c:v>
                </c:pt>
                <c:pt idx="83">
                  <c:v>-3.0906615</c:v>
                </c:pt>
                <c:pt idx="84">
                  <c:v>-3.1279119999999998</c:v>
                </c:pt>
                <c:pt idx="85">
                  <c:v>-3.1651625000000001</c:v>
                </c:pt>
                <c:pt idx="86">
                  <c:v>-3.202413</c:v>
                </c:pt>
                <c:pt idx="87">
                  <c:v>-3.2199387000000002</c:v>
                </c:pt>
                <c:pt idx="88">
                  <c:v>-3.2323187999999998</c:v>
                </c:pt>
                <c:pt idx="89">
                  <c:v>-3.2446988999999999</c:v>
                </c:pt>
                <c:pt idx="90">
                  <c:v>-3.2377509999999998</c:v>
                </c:pt>
                <c:pt idx="91">
                  <c:v>-3.1940799000000002</c:v>
                </c:pt>
                <c:pt idx="92">
                  <c:v>-3.1504088000000001</c:v>
                </c:pt>
                <c:pt idx="93">
                  <c:v>-3.1067377</c:v>
                </c:pt>
                <c:pt idx="94">
                  <c:v>-2.993365799999999</c:v>
                </c:pt>
                <c:pt idx="95">
                  <c:v>-2.8719515000000002</c:v>
                </c:pt>
                <c:pt idx="96">
                  <c:v>-2.7505372000000001</c:v>
                </c:pt>
                <c:pt idx="97">
                  <c:v>-2.6195587999999992</c:v>
                </c:pt>
                <c:pt idx="98">
                  <c:v>-2.4768091999999999</c:v>
                </c:pt>
                <c:pt idx="99">
                  <c:v>-2.3340595999999989</c:v>
                </c:pt>
                <c:pt idx="100">
                  <c:v>-2.1913100000000001</c:v>
                </c:pt>
              </c:numCache>
            </c:numRef>
          </c:yVal>
          <c:smooth val="1"/>
          <c:extLst>
            <c:ext xmlns:c16="http://schemas.microsoft.com/office/drawing/2014/chart" uri="{C3380CC4-5D6E-409C-BE32-E72D297353CC}">
              <c16:uniqueId val="{00000002-E2A3-4605-B66A-F47BB04DD9B9}"/>
            </c:ext>
          </c:extLst>
        </c:ser>
        <c:ser>
          <c:idx val="3"/>
          <c:order val="4"/>
          <c:tx>
            <c:v>Left 3</c:v>
          </c:tx>
          <c:spPr>
            <a:ln w="19050">
              <a:solidFill>
                <a:srgbClr val="FF0000"/>
              </a:solidFill>
            </a:ln>
          </c:spPr>
          <c:marker>
            <c:symbol val="none"/>
          </c:marker>
          <c:xVal>
            <c:numRef>
              <c:f>'Left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3 Kin'!$AI$2:$AI$102</c:f>
              <c:numCache>
                <c:formatCode>General</c:formatCode>
                <c:ptCount val="101"/>
                <c:pt idx="0">
                  <c:v>6.3328800000000003</c:v>
                </c:pt>
                <c:pt idx="1">
                  <c:v>5.5320410000000004</c:v>
                </c:pt>
                <c:pt idx="2">
                  <c:v>4.7312019999999997</c:v>
                </c:pt>
                <c:pt idx="3">
                  <c:v>3.9303629999999998</c:v>
                </c:pt>
                <c:pt idx="4">
                  <c:v>3.2494200000000002</c:v>
                </c:pt>
                <c:pt idx="5">
                  <c:v>3.2279049999999998</c:v>
                </c:pt>
                <c:pt idx="6">
                  <c:v>3.2063899999999999</c:v>
                </c:pt>
                <c:pt idx="7">
                  <c:v>3.1848749999999999</c:v>
                </c:pt>
                <c:pt idx="8">
                  <c:v>3.3483056000000002</c:v>
                </c:pt>
                <c:pt idx="9">
                  <c:v>3.9278637999999999</c:v>
                </c:pt>
                <c:pt idx="10">
                  <c:v>4.507422</c:v>
                </c:pt>
                <c:pt idx="11">
                  <c:v>5.0869802000000002</c:v>
                </c:pt>
                <c:pt idx="12">
                  <c:v>5.3259256000000006</c:v>
                </c:pt>
                <c:pt idx="13">
                  <c:v>5.1674894</c:v>
                </c:pt>
                <c:pt idx="14">
                  <c:v>5.0090532000000003</c:v>
                </c:pt>
                <c:pt idx="15">
                  <c:v>4.8506170000000006</c:v>
                </c:pt>
                <c:pt idx="16">
                  <c:v>4.4443359999999998</c:v>
                </c:pt>
                <c:pt idx="17">
                  <c:v>3.8831520000000008</c:v>
                </c:pt>
                <c:pt idx="18">
                  <c:v>3.3219679999999991</c:v>
                </c:pt>
                <c:pt idx="19">
                  <c:v>2.7607840000000001</c:v>
                </c:pt>
                <c:pt idx="20">
                  <c:v>2.5267460000000002</c:v>
                </c:pt>
                <c:pt idx="21">
                  <c:v>2.3908518000000001</c:v>
                </c:pt>
                <c:pt idx="22">
                  <c:v>2.2549576</c:v>
                </c:pt>
                <c:pt idx="23">
                  <c:v>2.1190633999999999</c:v>
                </c:pt>
                <c:pt idx="24">
                  <c:v>1.938531600000001</c:v>
                </c:pt>
                <c:pt idx="25">
                  <c:v>1.7542800000000001</c:v>
                </c:pt>
                <c:pt idx="26">
                  <c:v>1.5700284</c:v>
                </c:pt>
                <c:pt idx="27">
                  <c:v>1.3870959</c:v>
                </c:pt>
                <c:pt idx="28">
                  <c:v>1.2199926000000001</c:v>
                </c:pt>
                <c:pt idx="29">
                  <c:v>1.0528892999999999</c:v>
                </c:pt>
                <c:pt idx="30">
                  <c:v>0.88578599999999985</c:v>
                </c:pt>
                <c:pt idx="31">
                  <c:v>0.78647730000000049</c:v>
                </c:pt>
                <c:pt idx="32">
                  <c:v>0.91315060000000026</c:v>
                </c:pt>
                <c:pt idx="33">
                  <c:v>1.0398239</c:v>
                </c:pt>
                <c:pt idx="34">
                  <c:v>1.1664972</c:v>
                </c:pt>
                <c:pt idx="35">
                  <c:v>1.2528440000000001</c:v>
                </c:pt>
                <c:pt idx="36">
                  <c:v>1.2746683999999999</c:v>
                </c:pt>
                <c:pt idx="37">
                  <c:v>1.2964928</c:v>
                </c:pt>
                <c:pt idx="38">
                  <c:v>1.3183172000000001</c:v>
                </c:pt>
                <c:pt idx="39">
                  <c:v>1.2583531800000001</c:v>
                </c:pt>
                <c:pt idx="40">
                  <c:v>1.128284799999999</c:v>
                </c:pt>
                <c:pt idx="41">
                  <c:v>0.99821641999999988</c:v>
                </c:pt>
                <c:pt idx="42">
                  <c:v>0.86814803999999957</c:v>
                </c:pt>
                <c:pt idx="43">
                  <c:v>0.78997185999999975</c:v>
                </c:pt>
                <c:pt idx="44">
                  <c:v>0.73485887999999966</c:v>
                </c:pt>
                <c:pt idx="45">
                  <c:v>0.67974590000000013</c:v>
                </c:pt>
                <c:pt idx="46">
                  <c:v>0.62463292000000004</c:v>
                </c:pt>
                <c:pt idx="47">
                  <c:v>0.60080966000000002</c:v>
                </c:pt>
                <c:pt idx="48">
                  <c:v>0.58267544000000016</c:v>
                </c:pt>
                <c:pt idx="49">
                  <c:v>0.56454122000000007</c:v>
                </c:pt>
                <c:pt idx="50">
                  <c:v>0.54640700000000009</c:v>
                </c:pt>
                <c:pt idx="51">
                  <c:v>0.50854865999999999</c:v>
                </c:pt>
                <c:pt idx="52">
                  <c:v>0.47069032000000011</c:v>
                </c:pt>
                <c:pt idx="53">
                  <c:v>0.43283198000000001</c:v>
                </c:pt>
                <c:pt idx="54">
                  <c:v>0.39113943999999978</c:v>
                </c:pt>
                <c:pt idx="55">
                  <c:v>0.32835879999999967</c:v>
                </c:pt>
                <c:pt idx="56">
                  <c:v>0.26557816000000001</c:v>
                </c:pt>
                <c:pt idx="57">
                  <c:v>0.2027975199999999</c:v>
                </c:pt>
                <c:pt idx="58">
                  <c:v>0.1355317599999997</c:v>
                </c:pt>
                <c:pt idx="59">
                  <c:v>5.817448000000007E-2</c:v>
                </c:pt>
                <c:pt idx="60">
                  <c:v>-1.9182800000000111E-2</c:v>
                </c:pt>
                <c:pt idx="61">
                  <c:v>-9.6540080000000278E-2</c:v>
                </c:pt>
                <c:pt idx="62">
                  <c:v>-0.16256564000000029</c:v>
                </c:pt>
                <c:pt idx="63">
                  <c:v>-0.21537086000000011</c:v>
                </c:pt>
                <c:pt idx="64">
                  <c:v>-0.26817608000000009</c:v>
                </c:pt>
                <c:pt idx="65">
                  <c:v>-0.32098129999999991</c:v>
                </c:pt>
                <c:pt idx="66">
                  <c:v>-0.36180812000000029</c:v>
                </c:pt>
                <c:pt idx="67">
                  <c:v>-0.3951484400000001</c:v>
                </c:pt>
                <c:pt idx="68">
                  <c:v>-0.42848876000000002</c:v>
                </c:pt>
                <c:pt idx="69">
                  <c:v>-0.46182908000000028</c:v>
                </c:pt>
                <c:pt idx="70">
                  <c:v>-0.4651402</c:v>
                </c:pt>
                <c:pt idx="71">
                  <c:v>-0.45944255999999989</c:v>
                </c:pt>
                <c:pt idx="72">
                  <c:v>-0.45374491999999989</c:v>
                </c:pt>
                <c:pt idx="73">
                  <c:v>-0.44804727999999988</c:v>
                </c:pt>
                <c:pt idx="74">
                  <c:v>-0.43722923999999991</c:v>
                </c:pt>
                <c:pt idx="75">
                  <c:v>-0.42598449999999988</c:v>
                </c:pt>
                <c:pt idx="76">
                  <c:v>-0.41473976000000001</c:v>
                </c:pt>
                <c:pt idx="77">
                  <c:v>-0.41310660000000132</c:v>
                </c:pt>
                <c:pt idx="78">
                  <c:v>-0.52681240000000074</c:v>
                </c:pt>
                <c:pt idx="79">
                  <c:v>-0.64051820000000026</c:v>
                </c:pt>
                <c:pt idx="80">
                  <c:v>-0.75422400000000134</c:v>
                </c:pt>
                <c:pt idx="81">
                  <c:v>-0.91482820000000209</c:v>
                </c:pt>
                <c:pt idx="82">
                  <c:v>-1.2317604000000011</c:v>
                </c:pt>
                <c:pt idx="83">
                  <c:v>-1.548692600000003</c:v>
                </c:pt>
                <c:pt idx="84">
                  <c:v>-1.865624800000002</c:v>
                </c:pt>
                <c:pt idx="85">
                  <c:v>-2.1825950000000049</c:v>
                </c:pt>
                <c:pt idx="86">
                  <c:v>-2.4996260000000041</c:v>
                </c:pt>
                <c:pt idx="87">
                  <c:v>-2.816657000000002</c:v>
                </c:pt>
                <c:pt idx="88">
                  <c:v>-3.1336880000000051</c:v>
                </c:pt>
                <c:pt idx="89">
                  <c:v>-3.3705172000000019</c:v>
                </c:pt>
                <c:pt idx="90">
                  <c:v>-3.538602</c:v>
                </c:pt>
                <c:pt idx="91">
                  <c:v>-3.7066868000000008</c:v>
                </c:pt>
                <c:pt idx="92">
                  <c:v>-3.874771599999999</c:v>
                </c:pt>
                <c:pt idx="93">
                  <c:v>-3.915969</c:v>
                </c:pt>
                <c:pt idx="94">
                  <c:v>-3.9007719999999999</c:v>
                </c:pt>
                <c:pt idx="95">
                  <c:v>-3.8855749999999998</c:v>
                </c:pt>
                <c:pt idx="96">
                  <c:v>-3.8703780000000001</c:v>
                </c:pt>
                <c:pt idx="97">
                  <c:v>-3.783604</c:v>
                </c:pt>
                <c:pt idx="98">
                  <c:v>-3.6838160000000002</c:v>
                </c:pt>
                <c:pt idx="99">
                  <c:v>-3.584028</c:v>
                </c:pt>
                <c:pt idx="100">
                  <c:v>-3.4842399999999998</c:v>
                </c:pt>
              </c:numCache>
            </c:numRef>
          </c:yVal>
          <c:smooth val="1"/>
          <c:extLst>
            <c:ext xmlns:c16="http://schemas.microsoft.com/office/drawing/2014/chart" uri="{C3380CC4-5D6E-409C-BE32-E72D297353CC}">
              <c16:uniqueId val="{00000001-E2A3-4605-B66A-F47BB04DD9B9}"/>
            </c:ext>
          </c:extLst>
        </c:ser>
        <c:ser>
          <c:idx val="2"/>
          <c:order val="5"/>
          <c:tx>
            <c:v>Left 2</c:v>
          </c:tx>
          <c:spPr>
            <a:ln w="19050">
              <a:solidFill>
                <a:srgbClr val="FF0000"/>
              </a:solidFill>
            </a:ln>
          </c:spPr>
          <c:marker>
            <c:symbol val="none"/>
          </c:marker>
          <c:xVal>
            <c:numRef>
              <c:f>'Left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2 Kin'!$AI$2:$AI$102</c:f>
              <c:numCache>
                <c:formatCode>General</c:formatCode>
                <c:ptCount val="101"/>
                <c:pt idx="0">
                  <c:v>1.3956299999999999</c:v>
                </c:pt>
                <c:pt idx="1">
                  <c:v>2.0947787999999998</c:v>
                </c:pt>
                <c:pt idx="2">
                  <c:v>2.7939276</c:v>
                </c:pt>
                <c:pt idx="3">
                  <c:v>3.4930764000000001</c:v>
                </c:pt>
                <c:pt idx="4">
                  <c:v>4.1922251999999993</c:v>
                </c:pt>
                <c:pt idx="5">
                  <c:v>4.6962060000000001</c:v>
                </c:pt>
                <c:pt idx="6">
                  <c:v>5.1611531999999993</c:v>
                </c:pt>
                <c:pt idx="7">
                  <c:v>5.6261003999999986</c:v>
                </c:pt>
                <c:pt idx="8">
                  <c:v>6.0910475999999996</c:v>
                </c:pt>
                <c:pt idx="9">
                  <c:v>6.0906283999999991</c:v>
                </c:pt>
                <c:pt idx="10">
                  <c:v>5.857526</c:v>
                </c:pt>
                <c:pt idx="11">
                  <c:v>5.6244236000000001</c:v>
                </c:pt>
                <c:pt idx="12">
                  <c:v>5.3913212000000001</c:v>
                </c:pt>
                <c:pt idx="13">
                  <c:v>5.1569744000000002</c:v>
                </c:pt>
                <c:pt idx="14">
                  <c:v>4.9213832000000002</c:v>
                </c:pt>
                <c:pt idx="15">
                  <c:v>4.6857920000000002</c:v>
                </c:pt>
                <c:pt idx="16">
                  <c:v>4.4502008000000002</c:v>
                </c:pt>
                <c:pt idx="17">
                  <c:v>4.2517360000000002</c:v>
                </c:pt>
                <c:pt idx="18">
                  <c:v>4.1275240000000002</c:v>
                </c:pt>
                <c:pt idx="19">
                  <c:v>4.0033120000000002</c:v>
                </c:pt>
                <c:pt idx="20">
                  <c:v>3.8791000000000002</c:v>
                </c:pt>
                <c:pt idx="21">
                  <c:v>3.7228188000000011</c:v>
                </c:pt>
                <c:pt idx="22">
                  <c:v>3.4061916000000001</c:v>
                </c:pt>
                <c:pt idx="23">
                  <c:v>3.0895644</c:v>
                </c:pt>
                <c:pt idx="24">
                  <c:v>2.7729371999999999</c:v>
                </c:pt>
                <c:pt idx="25">
                  <c:v>2.4563100000000002</c:v>
                </c:pt>
                <c:pt idx="26">
                  <c:v>2.2716251999999999</c:v>
                </c:pt>
                <c:pt idx="27">
                  <c:v>2.0869404</c:v>
                </c:pt>
                <c:pt idx="28">
                  <c:v>1.9022555999999999</c:v>
                </c:pt>
                <c:pt idx="29">
                  <c:v>1.7175708000000001</c:v>
                </c:pt>
                <c:pt idx="30">
                  <c:v>1.64114</c:v>
                </c:pt>
                <c:pt idx="31">
                  <c:v>1.58636</c:v>
                </c:pt>
                <c:pt idx="32">
                  <c:v>1.5315799999999999</c:v>
                </c:pt>
                <c:pt idx="33">
                  <c:v>1.4767999999999999</c:v>
                </c:pt>
                <c:pt idx="34">
                  <c:v>1.3391699200000009</c:v>
                </c:pt>
                <c:pt idx="35">
                  <c:v>1.1601147999999999</c:v>
                </c:pt>
                <c:pt idx="36">
                  <c:v>0.98105967999999988</c:v>
                </c:pt>
                <c:pt idx="37">
                  <c:v>0.80200455999999953</c:v>
                </c:pt>
                <c:pt idx="38">
                  <c:v>0.60829756000000057</c:v>
                </c:pt>
                <c:pt idx="39">
                  <c:v>0.39993868000000021</c:v>
                </c:pt>
                <c:pt idx="40">
                  <c:v>0.19157979999999969</c:v>
                </c:pt>
                <c:pt idx="41">
                  <c:v>-1.6779079999999169E-2</c:v>
                </c:pt>
                <c:pt idx="42">
                  <c:v>-0.19500315999999979</c:v>
                </c:pt>
                <c:pt idx="43">
                  <c:v>-0.31295763999999998</c:v>
                </c:pt>
                <c:pt idx="44">
                  <c:v>-0.43091212000000018</c:v>
                </c:pt>
                <c:pt idx="45">
                  <c:v>-0.54886659999999965</c:v>
                </c:pt>
                <c:pt idx="46">
                  <c:v>-0.66088895999999997</c:v>
                </c:pt>
                <c:pt idx="47">
                  <c:v>-0.74325072000000014</c:v>
                </c:pt>
                <c:pt idx="48">
                  <c:v>-0.82561247999999965</c:v>
                </c:pt>
                <c:pt idx="49">
                  <c:v>-0.90797423999999982</c:v>
                </c:pt>
                <c:pt idx="50">
                  <c:v>-0.99033599999999999</c:v>
                </c:pt>
                <c:pt idx="51">
                  <c:v>-1.03454256</c:v>
                </c:pt>
                <c:pt idx="52">
                  <c:v>-1.0787491199999999</c:v>
                </c:pt>
                <c:pt idx="53">
                  <c:v>-1.12295568</c:v>
                </c:pt>
                <c:pt idx="54">
                  <c:v>-1.1671622399999999</c:v>
                </c:pt>
                <c:pt idx="55">
                  <c:v>-1.180626</c:v>
                </c:pt>
                <c:pt idx="56">
                  <c:v>-1.1879412</c:v>
                </c:pt>
                <c:pt idx="57">
                  <c:v>-1.1952564000000001</c:v>
                </c:pt>
                <c:pt idx="58">
                  <c:v>-1.2025716</c:v>
                </c:pt>
                <c:pt idx="59">
                  <c:v>-1.1848483999999999</c:v>
                </c:pt>
                <c:pt idx="60">
                  <c:v>-1.154606</c:v>
                </c:pt>
                <c:pt idx="61">
                  <c:v>-1.1243635999999999</c:v>
                </c:pt>
                <c:pt idx="62">
                  <c:v>-1.0941212</c:v>
                </c:pt>
                <c:pt idx="63">
                  <c:v>-1.0443621199999999</c:v>
                </c:pt>
                <c:pt idx="64">
                  <c:v>-0.97508636000000004</c:v>
                </c:pt>
                <c:pt idx="65">
                  <c:v>-0.90581060000000035</c:v>
                </c:pt>
                <c:pt idx="66">
                  <c:v>-0.83653483999999978</c:v>
                </c:pt>
                <c:pt idx="67">
                  <c:v>-0.76842764000000019</c:v>
                </c:pt>
                <c:pt idx="68">
                  <c:v>-0.70265756000000046</c:v>
                </c:pt>
                <c:pt idx="69">
                  <c:v>-0.63688747999999995</c:v>
                </c:pt>
                <c:pt idx="70">
                  <c:v>-0.57111740000000022</c:v>
                </c:pt>
                <c:pt idx="71">
                  <c:v>-0.51572923999999998</c:v>
                </c:pt>
                <c:pt idx="72">
                  <c:v>-0.51225067999999996</c:v>
                </c:pt>
                <c:pt idx="73">
                  <c:v>-0.50877212000000005</c:v>
                </c:pt>
                <c:pt idx="74">
                  <c:v>-0.50529356000000003</c:v>
                </c:pt>
                <c:pt idx="75">
                  <c:v>-0.50181500000000001</c:v>
                </c:pt>
                <c:pt idx="76">
                  <c:v>-0.54074131999999986</c:v>
                </c:pt>
                <c:pt idx="77">
                  <c:v>-0.57966764000000015</c:v>
                </c:pt>
                <c:pt idx="78">
                  <c:v>-0.61859396</c:v>
                </c:pt>
                <c:pt idx="79">
                  <c:v>-0.65752027999999973</c:v>
                </c:pt>
                <c:pt idx="80">
                  <c:v>-0.76156040000000036</c:v>
                </c:pt>
                <c:pt idx="81">
                  <c:v>-0.87862327999999978</c:v>
                </c:pt>
                <c:pt idx="82">
                  <c:v>-0.9956861599999991</c:v>
                </c:pt>
                <c:pt idx="83">
                  <c:v>-1.11274904</c:v>
                </c:pt>
                <c:pt idx="84">
                  <c:v>-1.276171599999999</c:v>
                </c:pt>
                <c:pt idx="85">
                  <c:v>-1.4627740000000009</c:v>
                </c:pt>
                <c:pt idx="86">
                  <c:v>-1.6493764</c:v>
                </c:pt>
                <c:pt idx="87">
                  <c:v>-1.835978799999999</c:v>
                </c:pt>
                <c:pt idx="88">
                  <c:v>-1.9982476</c:v>
                </c:pt>
                <c:pt idx="89">
                  <c:v>-2.1361827999999998</c:v>
                </c:pt>
                <c:pt idx="90">
                  <c:v>-2.2741179999999992</c:v>
                </c:pt>
                <c:pt idx="91">
                  <c:v>-2.4120531999999999</c:v>
                </c:pt>
                <c:pt idx="92">
                  <c:v>-2.5299868000000001</c:v>
                </c:pt>
                <c:pt idx="93">
                  <c:v>-2.6079171999999988</c:v>
                </c:pt>
                <c:pt idx="94">
                  <c:v>-2.6858475999999998</c:v>
                </c:pt>
                <c:pt idx="95">
                  <c:v>-2.763777999999999</c:v>
                </c:pt>
                <c:pt idx="96">
                  <c:v>-2.832394799999999</c:v>
                </c:pt>
                <c:pt idx="97">
                  <c:v>-2.8544436000000002</c:v>
                </c:pt>
                <c:pt idx="98">
                  <c:v>-2.8764924000000001</c:v>
                </c:pt>
                <c:pt idx="99">
                  <c:v>-2.8985411999999999</c:v>
                </c:pt>
                <c:pt idx="100">
                  <c:v>-2.9205899999999998</c:v>
                </c:pt>
              </c:numCache>
            </c:numRef>
          </c:yVal>
          <c:smooth val="1"/>
          <c:extLst>
            <c:ext xmlns:c16="http://schemas.microsoft.com/office/drawing/2014/chart" uri="{C3380CC4-5D6E-409C-BE32-E72D297353CC}">
              <c16:uniqueId val="{00000000-E2A3-4605-B66A-F47BB04DD9B9}"/>
            </c:ext>
          </c:extLst>
        </c:ser>
        <c:ser>
          <c:idx val="0"/>
          <c:order val="6"/>
          <c:tx>
            <c:v>Left 1</c:v>
          </c:tx>
          <c:spPr>
            <a:ln w="19050">
              <a:solidFill>
                <a:srgbClr val="FF0000"/>
              </a:solidFill>
            </a:ln>
          </c:spPr>
          <c:marker>
            <c:symbol val="none"/>
          </c:marker>
          <c:xVal>
            <c:numRef>
              <c:f>'Left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1 Kin'!$AI$2:$AI$102</c:f>
              <c:numCache>
                <c:formatCode>General</c:formatCode>
                <c:ptCount val="101"/>
                <c:pt idx="0">
                  <c:v>3.36205</c:v>
                </c:pt>
                <c:pt idx="1">
                  <c:v>3.1469749999999999</c:v>
                </c:pt>
                <c:pt idx="2">
                  <c:v>2.9319000000000002</c:v>
                </c:pt>
                <c:pt idx="3">
                  <c:v>2.716825</c:v>
                </c:pt>
                <c:pt idx="4">
                  <c:v>2.5017499999999999</c:v>
                </c:pt>
                <c:pt idx="5">
                  <c:v>2.3157174999999999</c:v>
                </c:pt>
                <c:pt idx="6">
                  <c:v>2.1296849999999998</c:v>
                </c:pt>
                <c:pt idx="7">
                  <c:v>1.9436525</c:v>
                </c:pt>
                <c:pt idx="8">
                  <c:v>1.75762</c:v>
                </c:pt>
                <c:pt idx="9">
                  <c:v>1.3182149999999999</c:v>
                </c:pt>
                <c:pt idx="10">
                  <c:v>0.87880999999999965</c:v>
                </c:pt>
                <c:pt idx="11">
                  <c:v>0.43940499999999938</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-0.29126750000000212</c:v>
                </c:pt>
                <c:pt idx="78">
                  <c:v>-0.58253499999999991</c:v>
                </c:pt>
                <c:pt idx="79">
                  <c:v>-0.87380249999999782</c:v>
                </c:pt>
                <c:pt idx="80">
                  <c:v>-1.1650700000000001</c:v>
                </c:pt>
                <c:pt idx="81">
                  <c:v>-1.3475874999999991</c:v>
                </c:pt>
                <c:pt idx="82">
                  <c:v>-1.530104999999998</c:v>
                </c:pt>
                <c:pt idx="83">
                  <c:v>-1.712622500000001</c:v>
                </c:pt>
                <c:pt idx="84">
                  <c:v>-1.89514</c:v>
                </c:pt>
                <c:pt idx="85">
                  <c:v>-1.421354999999997</c:v>
                </c:pt>
                <c:pt idx="86">
                  <c:v>-0.94757000000000002</c:v>
                </c:pt>
                <c:pt idx="87">
                  <c:v>-0.47378500000000318</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1"/>
          <c:extLst>
            <c:ext xmlns:c16="http://schemas.microsoft.com/office/drawing/2014/chart" uri="{C3380CC4-5D6E-409C-BE32-E72D297353CC}">
              <c16:uniqueId val="{00000000-D565-4B69-AB99-793D58D52EB3}"/>
            </c:ext>
          </c:extLst>
        </c:ser>
        <c:dLbls>
          <c:showLegendKey val="0"/>
          <c:showVal val="0"/>
          <c:showCatName val="0"/>
          <c:showSerName val="0"/>
          <c:showPercent val="0"/>
          <c:showBubbleSize val="0"/>
        </c:dLbls>
        <c:axId val="90982272"/>
        <c:axId val="90983808"/>
      </c:scatterChart>
      <c:valAx>
        <c:axId val="90982272"/>
        <c:scaling>
          <c:orientation val="minMax"/>
          <c:max val="100"/>
        </c:scaling>
        <c:delete val="0"/>
        <c:axPos val="b"/>
        <c:numFmt formatCode="General" sourceLinked="1"/>
        <c:majorTickMark val="out"/>
        <c:minorTickMark val="none"/>
        <c:tickLblPos val="nextTo"/>
        <c:txPr>
          <a:bodyPr/>
          <a:lstStyle/>
          <a:p>
            <a:pPr>
              <a:defRPr lang="en-US" sz="800"/>
            </a:pPr>
            <a:endParaRPr lang="en-US"/>
          </a:p>
        </c:txPr>
        <c:crossAx val="90983808"/>
        <c:crosses val="autoZero"/>
        <c:crossBetween val="midCat"/>
        <c:majorUnit val="20"/>
      </c:valAx>
      <c:valAx>
        <c:axId val="90983808"/>
        <c:scaling>
          <c:orientation val="minMax"/>
        </c:scaling>
        <c:delete val="0"/>
        <c:axPos val="l"/>
        <c:title>
          <c:tx>
            <c:rich>
              <a:bodyPr rot="-5400000" vert="horz"/>
              <a:lstStyle/>
              <a:p>
                <a:pPr>
                  <a:defRPr lang="en-AU" sz="900"/>
                </a:pPr>
                <a:r>
                  <a:rPr lang="en-US" sz="900"/>
                  <a:t>Moment (Nm/kg)</a:t>
                </a:r>
              </a:p>
            </c:rich>
          </c:tx>
          <c:layout>
            <c:manualLayout>
              <c:xMode val="edge"/>
              <c:yMode val="edge"/>
              <c:x val="6.1702551325188921E-3"/>
              <c:y val="0.32694305948250502"/>
            </c:manualLayout>
          </c:layout>
          <c:overlay val="0"/>
        </c:title>
        <c:numFmt formatCode="0" sourceLinked="0"/>
        <c:majorTickMark val="out"/>
        <c:minorTickMark val="none"/>
        <c:tickLblPos val="nextTo"/>
        <c:txPr>
          <a:bodyPr/>
          <a:lstStyle/>
          <a:p>
            <a:pPr>
              <a:defRPr lang="en-US" sz="800"/>
            </a:pPr>
            <a:endParaRPr lang="en-US"/>
          </a:p>
        </c:txPr>
        <c:crossAx val="90982272"/>
        <c:crosses val="autoZero"/>
        <c:crossBetween val="midCat"/>
      </c:valAx>
    </c:plotArea>
    <c:plotVisOnly val="1"/>
    <c:dispBlanksAs val="gap"/>
    <c:showDLblsOverMax val="0"/>
  </c:chart>
  <c:printSettings>
    <c:headerFooter/>
    <c:pageMargins b="0.75000000000001421" l="0.70000000000000095" r="0.70000000000000095" t="0.75000000000001421" header="0.3000000000000001" footer="0.3000000000000001"/>
    <c:pageSetup/>
  </c:printSettings>
  <c:userShapes r:id="rId1"/>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US" sz="1200"/>
            </a:pPr>
            <a:r>
              <a:rPr lang="en-US" sz="1200"/>
              <a:t>Ankle Power</a:t>
            </a:r>
          </a:p>
        </c:rich>
      </c:tx>
      <c:overlay val="0"/>
    </c:title>
    <c:autoTitleDeleted val="0"/>
    <c:plotArea>
      <c:layout>
        <c:manualLayout>
          <c:layoutTarget val="inner"/>
          <c:xMode val="edge"/>
          <c:yMode val="edge"/>
          <c:x val="0.11601024812232601"/>
          <c:y val="3.8694597137621939E-2"/>
          <c:w val="0.84554100188550418"/>
          <c:h val="0.92360719061060759"/>
        </c:manualLayout>
      </c:layout>
      <c:scatterChart>
        <c:scatterStyle val="smoothMarker"/>
        <c:varyColors val="0"/>
        <c:ser>
          <c:idx val="1"/>
          <c:order val="0"/>
          <c:tx>
            <c:v>Normative</c:v>
          </c:tx>
          <c:spPr>
            <a:ln>
              <a:solidFill>
                <a:schemeClr val="tx1"/>
              </a:solidFill>
            </a:ln>
          </c:spPr>
          <c:marker>
            <c:symbol val="none"/>
          </c:marker>
          <c:xVal>
            <c:numRef>
              <c:f>Normative!$A$2:$A$102</c:f>
              <c:numCache>
                <c:formatCode>General</c:formatCode>
                <c:ptCount val="101"/>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numCache>
            </c:numRef>
          </c:xVal>
          <c:yVal>
            <c:numRef>
              <c:f>Normative!$AT$2:$AT$102</c:f>
              <c:numCache>
                <c:formatCode>General</c:formatCode>
                <c:ptCount val="101"/>
                <c:pt idx="0">
                  <c:v>-5.7400717933333336</c:v>
                </c:pt>
                <c:pt idx="1">
                  <c:v>-5.7400717933333336</c:v>
                </c:pt>
                <c:pt idx="2">
                  <c:v>-11.422094513333334</c:v>
                </c:pt>
                <c:pt idx="3">
                  <c:v>-12.180401313333334</c:v>
                </c:pt>
                <c:pt idx="4">
                  <c:v>-19.669084393333332</c:v>
                </c:pt>
                <c:pt idx="5">
                  <c:v>-20.450735173333335</c:v>
                </c:pt>
                <c:pt idx="6">
                  <c:v>-28.154369206666665</c:v>
                </c:pt>
                <c:pt idx="7">
                  <c:v>-30.305256256666659</c:v>
                </c:pt>
                <c:pt idx="8">
                  <c:v>-36.60075032333333</c:v>
                </c:pt>
                <c:pt idx="9">
                  <c:v>-39.07509378333333</c:v>
                </c:pt>
                <c:pt idx="10">
                  <c:v>-42.239119153333334</c:v>
                </c:pt>
                <c:pt idx="11">
                  <c:v>-42.894433769999999</c:v>
                </c:pt>
                <c:pt idx="12">
                  <c:v>-43.985544246666663</c:v>
                </c:pt>
                <c:pt idx="13">
                  <c:v>-42.979916069999994</c:v>
                </c:pt>
                <c:pt idx="14">
                  <c:v>-40.911932856666667</c:v>
                </c:pt>
                <c:pt idx="15">
                  <c:v>-38.877215753333331</c:v>
                </c:pt>
                <c:pt idx="16">
                  <c:v>-34.459267473333327</c:v>
                </c:pt>
                <c:pt idx="17">
                  <c:v>-31.841678736666665</c:v>
                </c:pt>
                <c:pt idx="18">
                  <c:v>-24.455385113333335</c:v>
                </c:pt>
                <c:pt idx="19">
                  <c:v>-21.612000333333331</c:v>
                </c:pt>
                <c:pt idx="20">
                  <c:v>-14.476427606666666</c:v>
                </c:pt>
                <c:pt idx="21">
                  <c:v>-11.418233166666663</c:v>
                </c:pt>
                <c:pt idx="22">
                  <c:v>-3.8569932366666664</c:v>
                </c:pt>
                <c:pt idx="23">
                  <c:v>-0.66806922333333341</c:v>
                </c:pt>
                <c:pt idx="24">
                  <c:v>6.8868483733333337</c:v>
                </c:pt>
                <c:pt idx="25">
                  <c:v>14.047906280000001</c:v>
                </c:pt>
                <c:pt idx="26">
                  <c:v>19.263959443333334</c:v>
                </c:pt>
                <c:pt idx="27">
                  <c:v>25.377433076666666</c:v>
                </c:pt>
                <c:pt idx="28">
                  <c:v>28.289614816666671</c:v>
                </c:pt>
                <c:pt idx="29">
                  <c:v>33.668381050000008</c:v>
                </c:pt>
                <c:pt idx="30">
                  <c:v>36.482849093333336</c:v>
                </c:pt>
                <c:pt idx="31">
                  <c:v>39.717216323333332</c:v>
                </c:pt>
                <c:pt idx="32">
                  <c:v>41.699569083333337</c:v>
                </c:pt>
                <c:pt idx="33">
                  <c:v>43.623320986666663</c:v>
                </c:pt>
                <c:pt idx="34">
                  <c:v>43.867291093333336</c:v>
                </c:pt>
                <c:pt idx="35">
                  <c:v>42.976690816666668</c:v>
                </c:pt>
                <c:pt idx="36">
                  <c:v>41.899375546666661</c:v>
                </c:pt>
                <c:pt idx="37">
                  <c:v>38.974178396666666</c:v>
                </c:pt>
                <c:pt idx="38">
                  <c:v>35.696781063333333</c:v>
                </c:pt>
                <c:pt idx="39">
                  <c:v>31.821713713333331</c:v>
                </c:pt>
                <c:pt idx="40">
                  <c:v>27.662955380000007</c:v>
                </c:pt>
                <c:pt idx="41">
                  <c:v>23.474247483333333</c:v>
                </c:pt>
                <c:pt idx="42">
                  <c:v>18.997187243333332</c:v>
                </c:pt>
                <c:pt idx="43">
                  <c:v>13.78296789</c:v>
                </c:pt>
                <c:pt idx="44">
                  <c:v>11.24544629</c:v>
                </c:pt>
                <c:pt idx="45">
                  <c:v>6.2647680866666668</c:v>
                </c:pt>
                <c:pt idx="46">
                  <c:v>5.4433764166666672</c:v>
                </c:pt>
                <c:pt idx="47">
                  <c:v>2.4094532166666669</c:v>
                </c:pt>
                <c:pt idx="48">
                  <c:v>1.8996384666666668</c:v>
                </c:pt>
                <c:pt idx="49">
                  <c:v>0.56845605666666676</c:v>
                </c:pt>
                <c:pt idx="50">
                  <c:v>-2.21691635</c:v>
                </c:pt>
              </c:numCache>
            </c:numRef>
          </c:yVal>
          <c:smooth val="1"/>
          <c:extLst>
            <c:ext xmlns:c16="http://schemas.microsoft.com/office/drawing/2014/chart" uri="{C3380CC4-5D6E-409C-BE32-E72D297353CC}">
              <c16:uniqueId val="{00000002-4A10-43CF-A98A-1618EFC4316D}"/>
            </c:ext>
          </c:extLst>
        </c:ser>
        <c:ser>
          <c:idx val="6"/>
          <c:order val="1"/>
          <c:tx>
            <c:v>Right 3</c:v>
          </c:tx>
          <c:spPr>
            <a:ln w="19050">
              <a:solidFill>
                <a:srgbClr val="00B050"/>
              </a:solidFill>
            </a:ln>
          </c:spPr>
          <c:marker>
            <c:symbol val="none"/>
          </c:marker>
          <c:xVal>
            <c:numRef>
              <c:f>'Right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3 Kin'!$AT$2:$AT$102</c:f>
              <c:numCache>
                <c:formatCode>General</c:formatCode>
                <c:ptCount val="101"/>
                <c:pt idx="0">
                  <c:v>-10.484299999999999</c:v>
                </c:pt>
                <c:pt idx="1">
                  <c:v>-12.621188</c:v>
                </c:pt>
                <c:pt idx="2">
                  <c:v>-14.758076000000001</c:v>
                </c:pt>
                <c:pt idx="3">
                  <c:v>-16.894964000000002</c:v>
                </c:pt>
                <c:pt idx="4">
                  <c:v>-18.986348</c:v>
                </c:pt>
                <c:pt idx="5">
                  <c:v>-20.827459999999999</c:v>
                </c:pt>
                <c:pt idx="6">
                  <c:v>-22.668572000000001</c:v>
                </c:pt>
                <c:pt idx="7">
                  <c:v>-24.509684</c:v>
                </c:pt>
                <c:pt idx="8">
                  <c:v>-26.145612</c:v>
                </c:pt>
                <c:pt idx="9">
                  <c:v>-27.319876000000001</c:v>
                </c:pt>
                <c:pt idx="10">
                  <c:v>-28.494140000000002</c:v>
                </c:pt>
                <c:pt idx="11">
                  <c:v>-29.668403999999999</c:v>
                </c:pt>
                <c:pt idx="12">
                  <c:v>-30.901479999999999</c:v>
                </c:pt>
                <c:pt idx="13">
                  <c:v>-32.20317</c:v>
                </c:pt>
                <c:pt idx="14">
                  <c:v>-33.504860000000001</c:v>
                </c:pt>
                <c:pt idx="15">
                  <c:v>-34.806550000000001</c:v>
                </c:pt>
                <c:pt idx="16">
                  <c:v>-35.632863999999998</c:v>
                </c:pt>
                <c:pt idx="17">
                  <c:v>-36.162067999999998</c:v>
                </c:pt>
                <c:pt idx="18">
                  <c:v>-36.691271999999998</c:v>
                </c:pt>
                <c:pt idx="19">
                  <c:v>-37.220475999999998</c:v>
                </c:pt>
                <c:pt idx="20">
                  <c:v>-37.08802</c:v>
                </c:pt>
                <c:pt idx="21">
                  <c:v>-36.757065999999988</c:v>
                </c:pt>
                <c:pt idx="22">
                  <c:v>-36.426112000000003</c:v>
                </c:pt>
                <c:pt idx="23">
                  <c:v>-36.095157999999998</c:v>
                </c:pt>
                <c:pt idx="24">
                  <c:v>-35.177067999999998</c:v>
                </c:pt>
                <c:pt idx="25">
                  <c:v>-34.210050000000003</c:v>
                </c:pt>
                <c:pt idx="26">
                  <c:v>-33.243031999999999</c:v>
                </c:pt>
                <c:pt idx="27">
                  <c:v>-32.227038</c:v>
                </c:pt>
                <c:pt idx="28">
                  <c:v>-30.623332000000001</c:v>
                </c:pt>
                <c:pt idx="29">
                  <c:v>-29.019625999999999</c:v>
                </c:pt>
                <c:pt idx="30">
                  <c:v>-27.41592</c:v>
                </c:pt>
                <c:pt idx="31">
                  <c:v>-25.715152</c:v>
                </c:pt>
                <c:pt idx="32">
                  <c:v>-23.690843999999998</c:v>
                </c:pt>
                <c:pt idx="33">
                  <c:v>-21.66653599999999</c:v>
                </c:pt>
                <c:pt idx="34">
                  <c:v>-19.642227999999999</c:v>
                </c:pt>
                <c:pt idx="35">
                  <c:v>-17.504670000000001</c:v>
                </c:pt>
                <c:pt idx="36">
                  <c:v>-15.185911999999989</c:v>
                </c:pt>
                <c:pt idx="37">
                  <c:v>-12.86715399999999</c:v>
                </c:pt>
                <c:pt idx="38">
                  <c:v>-10.548396</c:v>
                </c:pt>
                <c:pt idx="39">
                  <c:v>-8.0647066599999899</c:v>
                </c:pt>
                <c:pt idx="40">
                  <c:v>-5.4396475999999847</c:v>
                </c:pt>
                <c:pt idx="41">
                  <c:v>-2.8145885399999968</c:v>
                </c:pt>
                <c:pt idx="42">
                  <c:v>-0.18952947999999201</c:v>
                </c:pt>
                <c:pt idx="43">
                  <c:v>2.594404420000012</c:v>
                </c:pt>
                <c:pt idx="44">
                  <c:v>5.4489493600000136</c:v>
                </c:pt>
                <c:pt idx="45">
                  <c:v>8.3034942999999952</c:v>
                </c:pt>
                <c:pt idx="46">
                  <c:v>11.158039240000001</c:v>
                </c:pt>
                <c:pt idx="47">
                  <c:v>13.98728</c:v>
                </c:pt>
                <c:pt idx="48">
                  <c:v>16.81191999999999</c:v>
                </c:pt>
                <c:pt idx="49">
                  <c:v>19.636559999999999</c:v>
                </c:pt>
                <c:pt idx="50">
                  <c:v>22.461200000000002</c:v>
                </c:pt>
                <c:pt idx="51">
                  <c:v>24.968978000000011</c:v>
                </c:pt>
                <c:pt idx="52">
                  <c:v>27.476755999999991</c:v>
                </c:pt>
                <c:pt idx="53">
                  <c:v>29.984534</c:v>
                </c:pt>
                <c:pt idx="54">
                  <c:v>32.395091999999998</c:v>
                </c:pt>
                <c:pt idx="55">
                  <c:v>34.270940000000003</c:v>
                </c:pt>
                <c:pt idx="56">
                  <c:v>36.146788000000001</c:v>
                </c:pt>
                <c:pt idx="57">
                  <c:v>38.022636000000013</c:v>
                </c:pt>
                <c:pt idx="58">
                  <c:v>39.603555999999998</c:v>
                </c:pt>
                <c:pt idx="59">
                  <c:v>40.520887999999999</c:v>
                </c:pt>
                <c:pt idx="60">
                  <c:v>41.438220000000001</c:v>
                </c:pt>
                <c:pt idx="61">
                  <c:v>42.355552000000003</c:v>
                </c:pt>
                <c:pt idx="62">
                  <c:v>42.749996000000003</c:v>
                </c:pt>
                <c:pt idx="63">
                  <c:v>42.534404000000002</c:v>
                </c:pt>
                <c:pt idx="64">
                  <c:v>42.318812000000001</c:v>
                </c:pt>
                <c:pt idx="65">
                  <c:v>42.10322</c:v>
                </c:pt>
                <c:pt idx="66">
                  <c:v>41.122539999999987</c:v>
                </c:pt>
                <c:pt idx="67">
                  <c:v>39.663679999999992</c:v>
                </c:pt>
                <c:pt idx="68">
                  <c:v>38.204820000000012</c:v>
                </c:pt>
                <c:pt idx="69">
                  <c:v>36.74595999999999</c:v>
                </c:pt>
                <c:pt idx="70">
                  <c:v>34.569439999999993</c:v>
                </c:pt>
                <c:pt idx="71">
                  <c:v>32.177621999999971</c:v>
                </c:pt>
                <c:pt idx="72">
                  <c:v>29.785803999999981</c:v>
                </c:pt>
                <c:pt idx="73">
                  <c:v>27.393985999999991</c:v>
                </c:pt>
                <c:pt idx="74">
                  <c:v>24.656231999999971</c:v>
                </c:pt>
                <c:pt idx="75">
                  <c:v>21.889649999999978</c:v>
                </c:pt>
                <c:pt idx="76">
                  <c:v>19.123067999999989</c:v>
                </c:pt>
                <c:pt idx="77">
                  <c:v>16.37810379999997</c:v>
                </c:pt>
                <c:pt idx="78">
                  <c:v>13.892553199999981</c:v>
                </c:pt>
                <c:pt idx="79">
                  <c:v>11.40700259999999</c:v>
                </c:pt>
                <c:pt idx="80">
                  <c:v>8.9214519999999702</c:v>
                </c:pt>
                <c:pt idx="81">
                  <c:v>6.5698970599999882</c:v>
                </c:pt>
                <c:pt idx="82">
                  <c:v>4.6649943199999973</c:v>
                </c:pt>
                <c:pt idx="83">
                  <c:v>2.7600915799999788</c:v>
                </c:pt>
                <c:pt idx="84">
                  <c:v>0.85518883999998874</c:v>
                </c:pt>
                <c:pt idx="85">
                  <c:v>-0.66239710000001417</c:v>
                </c:pt>
                <c:pt idx="86">
                  <c:v>-1.5602761600000099</c:v>
                </c:pt>
                <c:pt idx="87">
                  <c:v>-2.458155220000005</c:v>
                </c:pt>
                <c:pt idx="88">
                  <c:v>-3.356034280000014</c:v>
                </c:pt>
                <c:pt idx="89">
                  <c:v>-3.849892800000001</c:v>
                </c:pt>
                <c:pt idx="90">
                  <c:v>-3.9974479999999999</c:v>
                </c:pt>
                <c:pt idx="91">
                  <c:v>-4.1450032000000014</c:v>
                </c:pt>
                <c:pt idx="92">
                  <c:v>-4.292558399999999</c:v>
                </c:pt>
                <c:pt idx="93">
                  <c:v>-4.1067860000000032</c:v>
                </c:pt>
                <c:pt idx="94">
                  <c:v>-3.772867999999999</c:v>
                </c:pt>
                <c:pt idx="95">
                  <c:v>-3.4389500000000011</c:v>
                </c:pt>
                <c:pt idx="96">
                  <c:v>-3.1050320000000031</c:v>
                </c:pt>
                <c:pt idx="97">
                  <c:v>-2.8370568</c:v>
                </c:pt>
                <c:pt idx="98">
                  <c:v>-2.5810712000000011</c:v>
                </c:pt>
                <c:pt idx="99">
                  <c:v>-2.3250855999999991</c:v>
                </c:pt>
                <c:pt idx="100">
                  <c:v>-2.0691000000000002</c:v>
                </c:pt>
              </c:numCache>
            </c:numRef>
          </c:yVal>
          <c:smooth val="1"/>
          <c:extLst>
            <c:ext xmlns:c16="http://schemas.microsoft.com/office/drawing/2014/chart" uri="{C3380CC4-5D6E-409C-BE32-E72D297353CC}">
              <c16:uniqueId val="{00000004-2AF0-4312-BFF7-581F0B1689FE}"/>
            </c:ext>
          </c:extLst>
        </c:ser>
        <c:ser>
          <c:idx val="5"/>
          <c:order val="2"/>
          <c:tx>
            <c:v>Right 2</c:v>
          </c:tx>
          <c:spPr>
            <a:ln w="19050">
              <a:solidFill>
                <a:srgbClr val="00B050"/>
              </a:solidFill>
            </a:ln>
          </c:spPr>
          <c:marker>
            <c:symbol val="none"/>
          </c:marker>
          <c:xVal>
            <c:numRef>
              <c:f>'Right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2 Kin'!$AT$2:$AT$102</c:f>
              <c:numCache>
                <c:formatCode>General</c:formatCode>
                <c:ptCount val="101"/>
                <c:pt idx="0">
                  <c:v>-3.9088799999999999</c:v>
                </c:pt>
                <c:pt idx="1">
                  <c:v>-6.4637873999999993</c:v>
                </c:pt>
                <c:pt idx="2">
                  <c:v>-9.0186947999999987</c:v>
                </c:pt>
                <c:pt idx="3">
                  <c:v>-11.5736022</c:v>
                </c:pt>
                <c:pt idx="4">
                  <c:v>-14.430628</c:v>
                </c:pt>
                <c:pt idx="5">
                  <c:v>-18.005185000000001</c:v>
                </c:pt>
                <c:pt idx="6">
                  <c:v>-21.579742</c:v>
                </c:pt>
                <c:pt idx="7">
                  <c:v>-25.154299000000002</c:v>
                </c:pt>
                <c:pt idx="8">
                  <c:v>-27.446248000000001</c:v>
                </c:pt>
                <c:pt idx="9">
                  <c:v>-28.856404000000001</c:v>
                </c:pt>
                <c:pt idx="10">
                  <c:v>-30.266559999999998</c:v>
                </c:pt>
                <c:pt idx="11">
                  <c:v>-31.676715999999999</c:v>
                </c:pt>
                <c:pt idx="12">
                  <c:v>-33.039352000000001</c:v>
                </c:pt>
                <c:pt idx="13">
                  <c:v>-34.396048</c:v>
                </c:pt>
                <c:pt idx="14">
                  <c:v>-35.752744</c:v>
                </c:pt>
                <c:pt idx="15">
                  <c:v>-37.126649999999998</c:v>
                </c:pt>
                <c:pt idx="16">
                  <c:v>-38.576279999999997</c:v>
                </c:pt>
                <c:pt idx="17">
                  <c:v>-40.025910000000003</c:v>
                </c:pt>
                <c:pt idx="18">
                  <c:v>-41.475540000000002</c:v>
                </c:pt>
                <c:pt idx="19">
                  <c:v>-42.484197000000002</c:v>
                </c:pt>
                <c:pt idx="20">
                  <c:v>-43.017960000000002</c:v>
                </c:pt>
                <c:pt idx="21">
                  <c:v>-43.551723000000003</c:v>
                </c:pt>
                <c:pt idx="22">
                  <c:v>-44.085486000000003</c:v>
                </c:pt>
                <c:pt idx="23">
                  <c:v>-44.027342999999988</c:v>
                </c:pt>
                <c:pt idx="24">
                  <c:v>-43.800083999999998</c:v>
                </c:pt>
                <c:pt idx="25">
                  <c:v>-43.572825000000002</c:v>
                </c:pt>
                <c:pt idx="26">
                  <c:v>-43.283329999999999</c:v>
                </c:pt>
                <c:pt idx="27">
                  <c:v>-42.215885</c:v>
                </c:pt>
                <c:pt idx="28">
                  <c:v>-41.148440000000001</c:v>
                </c:pt>
                <c:pt idx="29">
                  <c:v>-40.080995000000001</c:v>
                </c:pt>
                <c:pt idx="30">
                  <c:v>-38.677990000000001</c:v>
                </c:pt>
                <c:pt idx="31">
                  <c:v>-36.704532999999998</c:v>
                </c:pt>
                <c:pt idx="32">
                  <c:v>-34.731076000000002</c:v>
                </c:pt>
                <c:pt idx="33">
                  <c:v>-32.757618999999998</c:v>
                </c:pt>
                <c:pt idx="34">
                  <c:v>-30.34998400000001</c:v>
                </c:pt>
                <c:pt idx="35">
                  <c:v>-27.725259999999999</c:v>
                </c:pt>
                <c:pt idx="36">
                  <c:v>-25.100535999999991</c:v>
                </c:pt>
                <c:pt idx="37">
                  <c:v>-22.47581199999998</c:v>
                </c:pt>
                <c:pt idx="38">
                  <c:v>-19.432539999999999</c:v>
                </c:pt>
                <c:pt idx="39">
                  <c:v>-16.373169999999991</c:v>
                </c:pt>
                <c:pt idx="40">
                  <c:v>-13.313799999999979</c:v>
                </c:pt>
                <c:pt idx="41">
                  <c:v>-10.1766586</c:v>
                </c:pt>
                <c:pt idx="42">
                  <c:v>-6.8173131999999947</c:v>
                </c:pt>
                <c:pt idx="43">
                  <c:v>-3.457967799999992</c:v>
                </c:pt>
                <c:pt idx="44">
                  <c:v>-9.8622399999989341E-2</c:v>
                </c:pt>
                <c:pt idx="45">
                  <c:v>3.2671069999999909</c:v>
                </c:pt>
                <c:pt idx="46">
                  <c:v>6.6379436000000007</c:v>
                </c:pt>
                <c:pt idx="47">
                  <c:v>10.008780200000009</c:v>
                </c:pt>
                <c:pt idx="48">
                  <c:v>13.37961679999999</c:v>
                </c:pt>
                <c:pt idx="49">
                  <c:v>16.489661000000002</c:v>
                </c:pt>
                <c:pt idx="50">
                  <c:v>19.55435000000001</c:v>
                </c:pt>
                <c:pt idx="51">
                  <c:v>22.619039000000019</c:v>
                </c:pt>
                <c:pt idx="52">
                  <c:v>25.591191999999999</c:v>
                </c:pt>
                <c:pt idx="53">
                  <c:v>28.03126300000001</c:v>
                </c:pt>
                <c:pt idx="54">
                  <c:v>30.471334000000009</c:v>
                </c:pt>
                <c:pt idx="55">
                  <c:v>32.911405000000009</c:v>
                </c:pt>
                <c:pt idx="56">
                  <c:v>34.973199999999999</c:v>
                </c:pt>
                <c:pt idx="57">
                  <c:v>36.562150000000003</c:v>
                </c:pt>
                <c:pt idx="58">
                  <c:v>38.151100000000007</c:v>
                </c:pt>
                <c:pt idx="59">
                  <c:v>39.740049999999997</c:v>
                </c:pt>
                <c:pt idx="60">
                  <c:v>40.524740000000001</c:v>
                </c:pt>
                <c:pt idx="61">
                  <c:v>41.027939000000003</c:v>
                </c:pt>
                <c:pt idx="62">
                  <c:v>41.531138000000013</c:v>
                </c:pt>
                <c:pt idx="63">
                  <c:v>41.991562000000002</c:v>
                </c:pt>
                <c:pt idx="64">
                  <c:v>41.339835999999998</c:v>
                </c:pt>
                <c:pt idx="65">
                  <c:v>40.688110000000002</c:v>
                </c:pt>
                <c:pt idx="66">
                  <c:v>40.036383999999998</c:v>
                </c:pt>
                <c:pt idx="67">
                  <c:v>39.060172000000001</c:v>
                </c:pt>
                <c:pt idx="68">
                  <c:v>37.434987999999997</c:v>
                </c:pt>
                <c:pt idx="69">
                  <c:v>35.809803999999993</c:v>
                </c:pt>
                <c:pt idx="70">
                  <c:v>34.184620000000002</c:v>
                </c:pt>
                <c:pt idx="71">
                  <c:v>32.079474999999967</c:v>
                </c:pt>
                <c:pt idx="72">
                  <c:v>29.691999999999979</c:v>
                </c:pt>
                <c:pt idx="73">
                  <c:v>27.304525000000002</c:v>
                </c:pt>
                <c:pt idx="74">
                  <c:v>24.917049999999971</c:v>
                </c:pt>
                <c:pt idx="75">
                  <c:v>22.409549999999989</c:v>
                </c:pt>
                <c:pt idx="76">
                  <c:v>19.892448000000009</c:v>
                </c:pt>
                <c:pt idx="77">
                  <c:v>17.37534599999999</c:v>
                </c:pt>
                <c:pt idx="78">
                  <c:v>14.9313252</c:v>
                </c:pt>
                <c:pt idx="79">
                  <c:v>12.743088600000011</c:v>
                </c:pt>
                <c:pt idx="80">
                  <c:v>10.554851999999981</c:v>
                </c:pt>
                <c:pt idx="81">
                  <c:v>8.3666153999999864</c:v>
                </c:pt>
                <c:pt idx="82">
                  <c:v>6.4103984199999973</c:v>
                </c:pt>
                <c:pt idx="83">
                  <c:v>4.6696282299999838</c:v>
                </c:pt>
                <c:pt idx="84">
                  <c:v>2.9288580399999948</c:v>
                </c:pt>
                <c:pt idx="85">
                  <c:v>1.188087849999981</c:v>
                </c:pt>
                <c:pt idx="86">
                  <c:v>-3.6579060000004993E-2</c:v>
                </c:pt>
                <c:pt idx="87">
                  <c:v>-1.1439497699999981</c:v>
                </c:pt>
                <c:pt idx="88">
                  <c:v>-2.2513204800000071</c:v>
                </c:pt>
                <c:pt idx="89">
                  <c:v>-3.2755515000000002</c:v>
                </c:pt>
                <c:pt idx="90">
                  <c:v>-3.6346649999999991</c:v>
                </c:pt>
                <c:pt idx="91">
                  <c:v>-3.993778500000003</c:v>
                </c:pt>
                <c:pt idx="92">
                  <c:v>-4.3528920000000024</c:v>
                </c:pt>
                <c:pt idx="93">
                  <c:v>-4.5295110999999997</c:v>
                </c:pt>
                <c:pt idx="94">
                  <c:v>-4.4406837999999986</c:v>
                </c:pt>
                <c:pt idx="95">
                  <c:v>-4.3518565000000002</c:v>
                </c:pt>
                <c:pt idx="96">
                  <c:v>-4.263029200000001</c:v>
                </c:pt>
                <c:pt idx="97">
                  <c:v>-4.0800682999999989</c:v>
                </c:pt>
                <c:pt idx="98">
                  <c:v>-3.857472200000001</c:v>
                </c:pt>
                <c:pt idx="99">
                  <c:v>-3.6348760999999992</c:v>
                </c:pt>
                <c:pt idx="100">
                  <c:v>-3.41228</c:v>
                </c:pt>
              </c:numCache>
            </c:numRef>
          </c:yVal>
          <c:smooth val="1"/>
          <c:extLst>
            <c:ext xmlns:c16="http://schemas.microsoft.com/office/drawing/2014/chart" uri="{C3380CC4-5D6E-409C-BE32-E72D297353CC}">
              <c16:uniqueId val="{00000003-2AF0-4312-BFF7-581F0B1689FE}"/>
            </c:ext>
          </c:extLst>
        </c:ser>
        <c:ser>
          <c:idx val="4"/>
          <c:order val="3"/>
          <c:tx>
            <c:v>Right 1</c:v>
          </c:tx>
          <c:spPr>
            <a:ln w="19050">
              <a:solidFill>
                <a:srgbClr val="00B050"/>
              </a:solidFill>
            </a:ln>
          </c:spPr>
          <c:marker>
            <c:symbol val="none"/>
          </c:marker>
          <c:xVal>
            <c:numRef>
              <c:f>'Right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1 Kin'!$AT$2:$AT$102</c:f>
              <c:numCache>
                <c:formatCode>General</c:formatCode>
                <c:ptCount val="101"/>
                <c:pt idx="0">
                  <c:v>-7.3780000000000001</c:v>
                </c:pt>
                <c:pt idx="1">
                  <c:v>-9.7974409999999992</c:v>
                </c:pt>
                <c:pt idx="2">
                  <c:v>-12.216882</c:v>
                </c:pt>
                <c:pt idx="3">
                  <c:v>-14.636323000000001</c:v>
                </c:pt>
                <c:pt idx="4">
                  <c:v>-17.337028</c:v>
                </c:pt>
                <c:pt idx="5">
                  <c:v>-20.266259999999999</c:v>
                </c:pt>
                <c:pt idx="6">
                  <c:v>-23.195492000000002</c:v>
                </c:pt>
                <c:pt idx="7">
                  <c:v>-25.951711</c:v>
                </c:pt>
                <c:pt idx="8">
                  <c:v>-27.208483999999999</c:v>
                </c:pt>
                <c:pt idx="9">
                  <c:v>-28.465257000000001</c:v>
                </c:pt>
                <c:pt idx="10">
                  <c:v>-29.72203</c:v>
                </c:pt>
                <c:pt idx="11">
                  <c:v>-31.191469999999999</c:v>
                </c:pt>
                <c:pt idx="12">
                  <c:v>-32.772840000000002</c:v>
                </c:pt>
                <c:pt idx="13">
                  <c:v>-34.354210000000002</c:v>
                </c:pt>
                <c:pt idx="14">
                  <c:v>-35.837594000000003</c:v>
                </c:pt>
                <c:pt idx="15">
                  <c:v>-36.945365000000002</c:v>
                </c:pt>
                <c:pt idx="16">
                  <c:v>-38.053136000000002</c:v>
                </c:pt>
                <c:pt idx="17">
                  <c:v>-39.160906999999987</c:v>
                </c:pt>
                <c:pt idx="18">
                  <c:v>-39.543778000000003</c:v>
                </c:pt>
                <c:pt idx="19">
                  <c:v>-39.695999</c:v>
                </c:pt>
                <c:pt idx="20">
                  <c:v>-39.848219999999998</c:v>
                </c:pt>
                <c:pt idx="21">
                  <c:v>-39.793594000000013</c:v>
                </c:pt>
                <c:pt idx="22">
                  <c:v>-39.279308</c:v>
                </c:pt>
                <c:pt idx="23">
                  <c:v>-38.765022000000002</c:v>
                </c:pt>
                <c:pt idx="24">
                  <c:v>-38.250736000000003</c:v>
                </c:pt>
                <c:pt idx="25">
                  <c:v>-37.128425</c:v>
                </c:pt>
                <c:pt idx="26">
                  <c:v>-35.908830000000002</c:v>
                </c:pt>
                <c:pt idx="27">
                  <c:v>-34.689234999999996</c:v>
                </c:pt>
                <c:pt idx="28">
                  <c:v>-33.197828000000001</c:v>
                </c:pt>
                <c:pt idx="29">
                  <c:v>-31.321353999999999</c:v>
                </c:pt>
                <c:pt idx="30">
                  <c:v>-29.444880000000001</c:v>
                </c:pt>
                <c:pt idx="31">
                  <c:v>-27.568406</c:v>
                </c:pt>
                <c:pt idx="32">
                  <c:v>-25.325327999999999</c:v>
                </c:pt>
                <c:pt idx="33">
                  <c:v>-23.069157000000001</c:v>
                </c:pt>
                <c:pt idx="34">
                  <c:v>-20.812986000000009</c:v>
                </c:pt>
                <c:pt idx="35">
                  <c:v>-18.443580000000011</c:v>
                </c:pt>
                <c:pt idx="36">
                  <c:v>-15.968488000000001</c:v>
                </c:pt>
                <c:pt idx="37">
                  <c:v>-13.49339599999999</c:v>
                </c:pt>
                <c:pt idx="38">
                  <c:v>-11.0066328</c:v>
                </c:pt>
                <c:pt idx="39">
                  <c:v>-8.3623083999999963</c:v>
                </c:pt>
                <c:pt idx="40">
                  <c:v>-5.7179839999999933</c:v>
                </c:pt>
                <c:pt idx="41">
                  <c:v>-3.073659600000008</c:v>
                </c:pt>
                <c:pt idx="42">
                  <c:v>-0.39484540000000368</c:v>
                </c:pt>
                <c:pt idx="43">
                  <c:v>2.305045900000001</c:v>
                </c:pt>
                <c:pt idx="44">
                  <c:v>5.0049372000000041</c:v>
                </c:pt>
                <c:pt idx="45">
                  <c:v>7.6928084999999902</c:v>
                </c:pt>
                <c:pt idx="46">
                  <c:v>10.322983799999999</c:v>
                </c:pt>
                <c:pt idx="47">
                  <c:v>12.953159100000009</c:v>
                </c:pt>
                <c:pt idx="48">
                  <c:v>15.5833344</c:v>
                </c:pt>
                <c:pt idx="49">
                  <c:v>18.076575000000009</c:v>
                </c:pt>
                <c:pt idx="50">
                  <c:v>20.51765000000001</c:v>
                </c:pt>
                <c:pt idx="51">
                  <c:v>22.958725000000019</c:v>
                </c:pt>
                <c:pt idx="52">
                  <c:v>25.306784</c:v>
                </c:pt>
                <c:pt idx="53">
                  <c:v>27.410675999999999</c:v>
                </c:pt>
                <c:pt idx="54">
                  <c:v>29.514568000000011</c:v>
                </c:pt>
                <c:pt idx="55">
                  <c:v>31.61846000000001</c:v>
                </c:pt>
                <c:pt idx="56">
                  <c:v>33.226776000000001</c:v>
                </c:pt>
                <c:pt idx="57">
                  <c:v>34.731847000000002</c:v>
                </c:pt>
                <c:pt idx="58">
                  <c:v>36.236918000000003</c:v>
                </c:pt>
                <c:pt idx="59">
                  <c:v>37.440511999999998</c:v>
                </c:pt>
                <c:pt idx="60">
                  <c:v>38.150779999999997</c:v>
                </c:pt>
                <c:pt idx="61">
                  <c:v>38.861047999999997</c:v>
                </c:pt>
                <c:pt idx="62">
                  <c:v>39.571316000000003</c:v>
                </c:pt>
                <c:pt idx="63">
                  <c:v>39.459784999999997</c:v>
                </c:pt>
                <c:pt idx="64">
                  <c:v>39.287379999999999</c:v>
                </c:pt>
                <c:pt idx="65">
                  <c:v>39.114975000000001</c:v>
                </c:pt>
                <c:pt idx="66">
                  <c:v>38.481759999999987</c:v>
                </c:pt>
                <c:pt idx="67">
                  <c:v>37.354819999999997</c:v>
                </c:pt>
                <c:pt idx="68">
                  <c:v>36.227880000000013</c:v>
                </c:pt>
                <c:pt idx="69">
                  <c:v>35.071104000000012</c:v>
                </c:pt>
                <c:pt idx="70">
                  <c:v>33.078920000000018</c:v>
                </c:pt>
                <c:pt idx="71">
                  <c:v>31.086735999999991</c:v>
                </c:pt>
                <c:pt idx="72">
                  <c:v>29.094552</c:v>
                </c:pt>
                <c:pt idx="73">
                  <c:v>26.782054000000009</c:v>
                </c:pt>
                <c:pt idx="74">
                  <c:v>24.24345199999998</c:v>
                </c:pt>
                <c:pt idx="75">
                  <c:v>21.70484999999999</c:v>
                </c:pt>
                <c:pt idx="76">
                  <c:v>19.185072000000002</c:v>
                </c:pt>
                <c:pt idx="77">
                  <c:v>16.78294399999999</c:v>
                </c:pt>
                <c:pt idx="78">
                  <c:v>14.380815999999999</c:v>
                </c:pt>
                <c:pt idx="79">
                  <c:v>11.97868800000002</c:v>
                </c:pt>
                <c:pt idx="80">
                  <c:v>9.8534699999999997</c:v>
                </c:pt>
                <c:pt idx="81">
                  <c:v>7.8528615000000066</c:v>
                </c:pt>
                <c:pt idx="82">
                  <c:v>5.8522530000000144</c:v>
                </c:pt>
                <c:pt idx="83">
                  <c:v>3.9604454999999938</c:v>
                </c:pt>
                <c:pt idx="84">
                  <c:v>2.4105840000000001</c:v>
                </c:pt>
                <c:pt idx="85">
                  <c:v>0.86072249999998318</c:v>
                </c:pt>
                <c:pt idx="86">
                  <c:v>-0.68913900000001149</c:v>
                </c:pt>
                <c:pt idx="87">
                  <c:v>-1.6236953000000001</c:v>
                </c:pt>
                <c:pt idx="88">
                  <c:v>-2.3977372000000048</c:v>
                </c:pt>
                <c:pt idx="89">
                  <c:v>-3.1717790999999989</c:v>
                </c:pt>
                <c:pt idx="90">
                  <c:v>-3.7464519999999988</c:v>
                </c:pt>
                <c:pt idx="91">
                  <c:v>-3.9423238000000009</c:v>
                </c:pt>
                <c:pt idx="92">
                  <c:v>-4.1381956000000004</c:v>
                </c:pt>
                <c:pt idx="93">
                  <c:v>-4.3340673999999986</c:v>
                </c:pt>
                <c:pt idx="94">
                  <c:v>-4.1326045999999979</c:v>
                </c:pt>
                <c:pt idx="95">
                  <c:v>-3.8852954999999989</c:v>
                </c:pt>
                <c:pt idx="96">
                  <c:v>-3.6379864</c:v>
                </c:pt>
                <c:pt idx="97">
                  <c:v>-3.3156958999999961</c:v>
                </c:pt>
                <c:pt idx="98">
                  <c:v>-2.9011206</c:v>
                </c:pt>
                <c:pt idx="99">
                  <c:v>-2.4865452999999968</c:v>
                </c:pt>
                <c:pt idx="100">
                  <c:v>-2.0719699999999999</c:v>
                </c:pt>
              </c:numCache>
            </c:numRef>
          </c:yVal>
          <c:smooth val="1"/>
          <c:extLst>
            <c:ext xmlns:c16="http://schemas.microsoft.com/office/drawing/2014/chart" uri="{C3380CC4-5D6E-409C-BE32-E72D297353CC}">
              <c16:uniqueId val="{00000002-2AF0-4312-BFF7-581F0B1689FE}"/>
            </c:ext>
          </c:extLst>
        </c:ser>
        <c:ser>
          <c:idx val="3"/>
          <c:order val="4"/>
          <c:tx>
            <c:v>Left 3</c:v>
          </c:tx>
          <c:spPr>
            <a:ln w="19050">
              <a:solidFill>
                <a:srgbClr val="FF0000"/>
              </a:solidFill>
            </a:ln>
          </c:spPr>
          <c:marker>
            <c:symbol val="none"/>
          </c:marker>
          <c:xVal>
            <c:numRef>
              <c:f>'Left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3 Kin'!$AT$2:$AT$102</c:f>
              <c:numCache>
                <c:formatCode>General</c:formatCode>
                <c:ptCount val="101"/>
                <c:pt idx="0">
                  <c:v>-4.3920500000000002</c:v>
                </c:pt>
                <c:pt idx="1">
                  <c:v>-5.903963000000001</c:v>
                </c:pt>
                <c:pt idx="2">
                  <c:v>-7.4158760000000008</c:v>
                </c:pt>
                <c:pt idx="3">
                  <c:v>-8.9277890000000006</c:v>
                </c:pt>
                <c:pt idx="4">
                  <c:v>-10.696576</c:v>
                </c:pt>
                <c:pt idx="5">
                  <c:v>-13.878170000000001</c:v>
                </c:pt>
                <c:pt idx="6">
                  <c:v>-17.059764000000001</c:v>
                </c:pt>
                <c:pt idx="7">
                  <c:v>-20.241358000000002</c:v>
                </c:pt>
                <c:pt idx="8">
                  <c:v>-23.033647999999999</c:v>
                </c:pt>
                <c:pt idx="9">
                  <c:v>-24.950004</c:v>
                </c:pt>
                <c:pt idx="10">
                  <c:v>-26.86636</c:v>
                </c:pt>
                <c:pt idx="11">
                  <c:v>-28.782716000000001</c:v>
                </c:pt>
                <c:pt idx="12">
                  <c:v>-30.696179999999991</c:v>
                </c:pt>
                <c:pt idx="13">
                  <c:v>-32.606269999999988</c:v>
                </c:pt>
                <c:pt idx="14">
                  <c:v>-34.516359999999999</c:v>
                </c:pt>
                <c:pt idx="15">
                  <c:v>-36.426450000000003</c:v>
                </c:pt>
                <c:pt idx="16">
                  <c:v>-38.096075999999996</c:v>
                </c:pt>
                <c:pt idx="17">
                  <c:v>-39.615411999999999</c:v>
                </c:pt>
                <c:pt idx="18">
                  <c:v>-41.134748000000002</c:v>
                </c:pt>
                <c:pt idx="19">
                  <c:v>-42.654083999999997</c:v>
                </c:pt>
                <c:pt idx="20">
                  <c:v>-43.214280000000002</c:v>
                </c:pt>
                <c:pt idx="21">
                  <c:v>-43.486733999999998</c:v>
                </c:pt>
                <c:pt idx="22">
                  <c:v>-43.759188000000002</c:v>
                </c:pt>
                <c:pt idx="23">
                  <c:v>-44.031641999999998</c:v>
                </c:pt>
                <c:pt idx="24">
                  <c:v>-43.331448000000002</c:v>
                </c:pt>
                <c:pt idx="25">
                  <c:v>-42.550199999999997</c:v>
                </c:pt>
                <c:pt idx="26">
                  <c:v>-41.768951999999999</c:v>
                </c:pt>
                <c:pt idx="27">
                  <c:v>-40.924522000000003</c:v>
                </c:pt>
                <c:pt idx="28">
                  <c:v>-39.321908000000001</c:v>
                </c:pt>
                <c:pt idx="29">
                  <c:v>-37.719293999999998</c:v>
                </c:pt>
                <c:pt idx="30">
                  <c:v>-36.116680000000002</c:v>
                </c:pt>
                <c:pt idx="31">
                  <c:v>-34.373941999999992</c:v>
                </c:pt>
                <c:pt idx="32">
                  <c:v>-32.164123999999987</c:v>
                </c:pt>
                <c:pt idx="33">
                  <c:v>-29.954305999999988</c:v>
                </c:pt>
                <c:pt idx="34">
                  <c:v>-27.744488</c:v>
                </c:pt>
                <c:pt idx="35">
                  <c:v>-25.456900000000001</c:v>
                </c:pt>
                <c:pt idx="36">
                  <c:v>-23.044879999999988</c:v>
                </c:pt>
                <c:pt idx="37">
                  <c:v>-20.63285999999999</c:v>
                </c:pt>
                <c:pt idx="38">
                  <c:v>-18.220839999999999</c:v>
                </c:pt>
                <c:pt idx="39">
                  <c:v>-15.76739679999999</c:v>
                </c:pt>
                <c:pt idx="40">
                  <c:v>-13.27844799999999</c:v>
                </c:pt>
                <c:pt idx="41">
                  <c:v>-10.7894992</c:v>
                </c:pt>
                <c:pt idx="42">
                  <c:v>-8.3005503999999917</c:v>
                </c:pt>
                <c:pt idx="43">
                  <c:v>-5.7757617999999891</c:v>
                </c:pt>
                <c:pt idx="44">
                  <c:v>-3.2350443999999881</c:v>
                </c:pt>
                <c:pt idx="45">
                  <c:v>-0.6943270000000048</c:v>
                </c:pt>
                <c:pt idx="46">
                  <c:v>1.8463903999999971</c:v>
                </c:pt>
                <c:pt idx="47">
                  <c:v>4.3969286000000007</c:v>
                </c:pt>
                <c:pt idx="48">
                  <c:v>6.9492523999999882</c:v>
                </c:pt>
                <c:pt idx="49">
                  <c:v>9.5015761999999935</c:v>
                </c:pt>
                <c:pt idx="50">
                  <c:v>12.053900000000001</c:v>
                </c:pt>
                <c:pt idx="51">
                  <c:v>14.554268000000009</c:v>
                </c:pt>
                <c:pt idx="52">
                  <c:v>17.054635999999999</c:v>
                </c:pt>
                <c:pt idx="53">
                  <c:v>19.555004</c:v>
                </c:pt>
                <c:pt idx="54">
                  <c:v>22.02414000000001</c:v>
                </c:pt>
                <c:pt idx="55">
                  <c:v>24.321500000000011</c:v>
                </c:pt>
                <c:pt idx="56">
                  <c:v>26.618860000000002</c:v>
                </c:pt>
                <c:pt idx="57">
                  <c:v>28.916219999999999</c:v>
                </c:pt>
                <c:pt idx="58">
                  <c:v>31.052588000000011</c:v>
                </c:pt>
                <c:pt idx="59">
                  <c:v>32.826723999999999</c:v>
                </c:pt>
                <c:pt idx="60">
                  <c:v>34.600859999999997</c:v>
                </c:pt>
                <c:pt idx="61">
                  <c:v>36.37499600000001</c:v>
                </c:pt>
                <c:pt idx="62">
                  <c:v>37.732540000000007</c:v>
                </c:pt>
                <c:pt idx="63">
                  <c:v>38.604059999999997</c:v>
                </c:pt>
                <c:pt idx="64">
                  <c:v>39.475580000000001</c:v>
                </c:pt>
                <c:pt idx="65">
                  <c:v>40.347099999999998</c:v>
                </c:pt>
                <c:pt idx="66">
                  <c:v>40.483531999999997</c:v>
                </c:pt>
                <c:pt idx="67">
                  <c:v>40.160533999999998</c:v>
                </c:pt>
                <c:pt idx="68">
                  <c:v>39.837536</c:v>
                </c:pt>
                <c:pt idx="69">
                  <c:v>39.514537999999988</c:v>
                </c:pt>
                <c:pt idx="70">
                  <c:v>38.223280000000003</c:v>
                </c:pt>
                <c:pt idx="71">
                  <c:v>36.641543999999982</c:v>
                </c:pt>
                <c:pt idx="72">
                  <c:v>35.05980799999999</c:v>
                </c:pt>
                <c:pt idx="73">
                  <c:v>33.478071999999997</c:v>
                </c:pt>
                <c:pt idx="74">
                  <c:v>30.973391999999969</c:v>
                </c:pt>
                <c:pt idx="75">
                  <c:v>28.391799999999979</c:v>
                </c:pt>
                <c:pt idx="76">
                  <c:v>25.810207999999999</c:v>
                </c:pt>
                <c:pt idx="77">
                  <c:v>23.20358999999997</c:v>
                </c:pt>
                <c:pt idx="78">
                  <c:v>20.296659999999981</c:v>
                </c:pt>
                <c:pt idx="79">
                  <c:v>17.389729999999989</c:v>
                </c:pt>
                <c:pt idx="80">
                  <c:v>14.482799999999971</c:v>
                </c:pt>
                <c:pt idx="81">
                  <c:v>11.683281999999981</c:v>
                </c:pt>
                <c:pt idx="82">
                  <c:v>9.2418039999999966</c:v>
                </c:pt>
                <c:pt idx="83">
                  <c:v>6.8003259999999726</c:v>
                </c:pt>
                <c:pt idx="84">
                  <c:v>4.3588479999999858</c:v>
                </c:pt>
                <c:pt idx="85">
                  <c:v>2.3524749999999792</c:v>
                </c:pt>
                <c:pt idx="86">
                  <c:v>1.042269999999986</c:v>
                </c:pt>
                <c:pt idx="87">
                  <c:v>-0.26793500000000797</c:v>
                </c:pt>
                <c:pt idx="88">
                  <c:v>-1.5781400000000201</c:v>
                </c:pt>
                <c:pt idx="89">
                  <c:v>-2.402666800000004</c:v>
                </c:pt>
                <c:pt idx="90">
                  <c:v>-2.8108979999999999</c:v>
                </c:pt>
                <c:pt idx="91">
                  <c:v>-3.219129200000002</c:v>
                </c:pt>
                <c:pt idx="92">
                  <c:v>-3.6273603999999988</c:v>
                </c:pt>
                <c:pt idx="93">
                  <c:v>-3.6174516000000021</c:v>
                </c:pt>
                <c:pt idx="94">
                  <c:v>-3.4217027999999998</c:v>
                </c:pt>
                <c:pt idx="95">
                  <c:v>-3.2259540000000011</c:v>
                </c:pt>
                <c:pt idx="96">
                  <c:v>-3.0302052000000019</c:v>
                </c:pt>
                <c:pt idx="97">
                  <c:v>-2.7211630000000002</c:v>
                </c:pt>
                <c:pt idx="98">
                  <c:v>-2.391522000000001</c:v>
                </c:pt>
                <c:pt idx="99">
                  <c:v>-2.0618809999999979</c:v>
                </c:pt>
                <c:pt idx="100">
                  <c:v>-1.73224</c:v>
                </c:pt>
              </c:numCache>
            </c:numRef>
          </c:yVal>
          <c:smooth val="1"/>
          <c:extLst>
            <c:ext xmlns:c16="http://schemas.microsoft.com/office/drawing/2014/chart" uri="{C3380CC4-5D6E-409C-BE32-E72D297353CC}">
              <c16:uniqueId val="{00000001-2AF0-4312-BFF7-581F0B1689FE}"/>
            </c:ext>
          </c:extLst>
        </c:ser>
        <c:ser>
          <c:idx val="2"/>
          <c:order val="5"/>
          <c:tx>
            <c:v>Left 2</c:v>
          </c:tx>
          <c:spPr>
            <a:ln w="19050">
              <a:solidFill>
                <a:srgbClr val="FF0000"/>
              </a:solidFill>
            </a:ln>
          </c:spPr>
          <c:marker>
            <c:symbol val="none"/>
          </c:marker>
          <c:xVal>
            <c:numRef>
              <c:f>'Left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2 Kin'!$AT$2:$AT$102</c:f>
              <c:numCache>
                <c:formatCode>General</c:formatCode>
                <c:ptCount val="101"/>
                <c:pt idx="0">
                  <c:v>-13.4535</c:v>
                </c:pt>
                <c:pt idx="1">
                  <c:v>-15.559956</c:v>
                </c:pt>
                <c:pt idx="2">
                  <c:v>-17.666412000000001</c:v>
                </c:pt>
                <c:pt idx="3">
                  <c:v>-19.772867999999999</c:v>
                </c:pt>
                <c:pt idx="4">
                  <c:v>-21.879324</c:v>
                </c:pt>
                <c:pt idx="5">
                  <c:v>-23.048159999999999</c:v>
                </c:pt>
                <c:pt idx="6">
                  <c:v>-24.029471999999998</c:v>
                </c:pt>
                <c:pt idx="7">
                  <c:v>-25.010784000000001</c:v>
                </c:pt>
                <c:pt idx="8">
                  <c:v>-25.992096</c:v>
                </c:pt>
                <c:pt idx="9">
                  <c:v>-27.197887999999999</c:v>
                </c:pt>
                <c:pt idx="10">
                  <c:v>-28.515920000000001</c:v>
                </c:pt>
                <c:pt idx="11">
                  <c:v>-29.833952</c:v>
                </c:pt>
                <c:pt idx="12">
                  <c:v>-31.151983999999999</c:v>
                </c:pt>
                <c:pt idx="13">
                  <c:v>-32.298727999999997</c:v>
                </c:pt>
                <c:pt idx="14">
                  <c:v>-33.274183999999998</c:v>
                </c:pt>
                <c:pt idx="15">
                  <c:v>-34.249639999999999</c:v>
                </c:pt>
                <c:pt idx="16">
                  <c:v>-35.225096000000001</c:v>
                </c:pt>
                <c:pt idx="17">
                  <c:v>-35.9572</c:v>
                </c:pt>
                <c:pt idx="18">
                  <c:v>-36.202599999999997</c:v>
                </c:pt>
                <c:pt idx="19">
                  <c:v>-36.448</c:v>
                </c:pt>
                <c:pt idx="20">
                  <c:v>-36.693399999999997</c:v>
                </c:pt>
                <c:pt idx="21">
                  <c:v>-36.832416000000002</c:v>
                </c:pt>
                <c:pt idx="22">
                  <c:v>-36.439512000000001</c:v>
                </c:pt>
                <c:pt idx="23">
                  <c:v>-36.046607999999999</c:v>
                </c:pt>
                <c:pt idx="24">
                  <c:v>-35.653703999999998</c:v>
                </c:pt>
                <c:pt idx="25">
                  <c:v>-35.260800000000003</c:v>
                </c:pt>
                <c:pt idx="26">
                  <c:v>-34.081823999999997</c:v>
                </c:pt>
                <c:pt idx="27">
                  <c:v>-32.902847999999999</c:v>
                </c:pt>
                <c:pt idx="28">
                  <c:v>-31.723872</c:v>
                </c:pt>
                <c:pt idx="29">
                  <c:v>-30.544896000000001</c:v>
                </c:pt>
                <c:pt idx="30">
                  <c:v>-28.711400000000001</c:v>
                </c:pt>
                <c:pt idx="31">
                  <c:v>-26.747</c:v>
                </c:pt>
                <c:pt idx="32">
                  <c:v>-24.782599999999999</c:v>
                </c:pt>
                <c:pt idx="33">
                  <c:v>-22.818200000000001</c:v>
                </c:pt>
                <c:pt idx="34">
                  <c:v>-20.52119200000001</c:v>
                </c:pt>
                <c:pt idx="35">
                  <c:v>-18.057880000000001</c:v>
                </c:pt>
                <c:pt idx="36">
                  <c:v>-15.594568000000001</c:v>
                </c:pt>
                <c:pt idx="37">
                  <c:v>-13.13125599999999</c:v>
                </c:pt>
                <c:pt idx="38">
                  <c:v>-10.49792896000001</c:v>
                </c:pt>
                <c:pt idx="39">
                  <c:v>-7.6945868800000019</c:v>
                </c:pt>
                <c:pt idx="40">
                  <c:v>-4.8912447999999964</c:v>
                </c:pt>
                <c:pt idx="41">
                  <c:v>-2.0879027200000109</c:v>
                </c:pt>
                <c:pt idx="42">
                  <c:v>0.72895263999999516</c:v>
                </c:pt>
                <c:pt idx="43">
                  <c:v>3.5728345600000009</c:v>
                </c:pt>
                <c:pt idx="44">
                  <c:v>6.4167164800000069</c:v>
                </c:pt>
                <c:pt idx="45">
                  <c:v>9.2605983999999921</c:v>
                </c:pt>
                <c:pt idx="46">
                  <c:v>12.05538</c:v>
                </c:pt>
                <c:pt idx="47">
                  <c:v>14.604660000000001</c:v>
                </c:pt>
                <c:pt idx="48">
                  <c:v>17.153939999999992</c:v>
                </c:pt>
                <c:pt idx="49">
                  <c:v>19.703219999999991</c:v>
                </c:pt>
                <c:pt idx="50">
                  <c:v>22.252500000000001</c:v>
                </c:pt>
                <c:pt idx="51">
                  <c:v>24.236940000000001</c:v>
                </c:pt>
                <c:pt idx="52">
                  <c:v>26.22138</c:v>
                </c:pt>
                <c:pt idx="53">
                  <c:v>28.205819999999999</c:v>
                </c:pt>
                <c:pt idx="54">
                  <c:v>30.190259999999999</c:v>
                </c:pt>
                <c:pt idx="55">
                  <c:v>31.521239999999999</c:v>
                </c:pt>
                <c:pt idx="56">
                  <c:v>32.721527999999999</c:v>
                </c:pt>
                <c:pt idx="57">
                  <c:v>33.921816</c:v>
                </c:pt>
                <c:pt idx="58">
                  <c:v>35.122104</c:v>
                </c:pt>
                <c:pt idx="59">
                  <c:v>35.672871999999998</c:v>
                </c:pt>
                <c:pt idx="60">
                  <c:v>35.898879999999998</c:v>
                </c:pt>
                <c:pt idx="61">
                  <c:v>36.124887999999999</c:v>
                </c:pt>
                <c:pt idx="62">
                  <c:v>36.350896000000013</c:v>
                </c:pt>
                <c:pt idx="63">
                  <c:v>36.116667999999997</c:v>
                </c:pt>
                <c:pt idx="64">
                  <c:v>35.422204000000001</c:v>
                </c:pt>
                <c:pt idx="65">
                  <c:v>34.727739999999997</c:v>
                </c:pt>
                <c:pt idx="66">
                  <c:v>34.033276000000001</c:v>
                </c:pt>
                <c:pt idx="67">
                  <c:v>33.066476000000009</c:v>
                </c:pt>
                <c:pt idx="68">
                  <c:v>31.555004000000011</c:v>
                </c:pt>
                <c:pt idx="69">
                  <c:v>30.043531999999999</c:v>
                </c:pt>
                <c:pt idx="70">
                  <c:v>28.532060000000001</c:v>
                </c:pt>
                <c:pt idx="71">
                  <c:v>26.963247999999989</c:v>
                </c:pt>
                <c:pt idx="72">
                  <c:v>25.107735999999999</c:v>
                </c:pt>
                <c:pt idx="73">
                  <c:v>23.252224000000009</c:v>
                </c:pt>
                <c:pt idx="74">
                  <c:v>21.39671199999999</c:v>
                </c:pt>
                <c:pt idx="75">
                  <c:v>19.5412</c:v>
                </c:pt>
                <c:pt idx="76">
                  <c:v>17.71916800000001</c:v>
                </c:pt>
                <c:pt idx="77">
                  <c:v>15.897135999999991</c:v>
                </c:pt>
                <c:pt idx="78">
                  <c:v>14.075104</c:v>
                </c:pt>
                <c:pt idx="79">
                  <c:v>12.25307200000001</c:v>
                </c:pt>
                <c:pt idx="80">
                  <c:v>10.639328000000001</c:v>
                </c:pt>
                <c:pt idx="81">
                  <c:v>9.0672416000000045</c:v>
                </c:pt>
                <c:pt idx="82">
                  <c:v>7.4951552000000126</c:v>
                </c:pt>
                <c:pt idx="83">
                  <c:v>5.9230687999999976</c:v>
                </c:pt>
                <c:pt idx="84">
                  <c:v>4.6268630400000044</c:v>
                </c:pt>
                <c:pt idx="85">
                  <c:v>3.4685975999999941</c:v>
                </c:pt>
                <c:pt idx="86">
                  <c:v>2.3103321599999989</c:v>
                </c:pt>
                <c:pt idx="87">
                  <c:v>1.152066720000005</c:v>
                </c:pt>
                <c:pt idx="88">
                  <c:v>0.2242315199999968</c:v>
                </c:pt>
                <c:pt idx="89">
                  <c:v>-0.47317343999999961</c:v>
                </c:pt>
                <c:pt idx="90">
                  <c:v>-1.1705783999999959</c:v>
                </c:pt>
                <c:pt idx="91">
                  <c:v>-1.867983360000002</c:v>
                </c:pt>
                <c:pt idx="92">
                  <c:v>-2.3771127999999999</c:v>
                </c:pt>
                <c:pt idx="93">
                  <c:v>-2.5096911999999989</c:v>
                </c:pt>
                <c:pt idx="94">
                  <c:v>-2.642269600000001</c:v>
                </c:pt>
                <c:pt idx="95">
                  <c:v>-2.774848</c:v>
                </c:pt>
                <c:pt idx="96">
                  <c:v>-2.8689064000000011</c:v>
                </c:pt>
                <c:pt idx="97">
                  <c:v>-2.7703647999999998</c:v>
                </c:pt>
                <c:pt idx="98">
                  <c:v>-2.6718232</c:v>
                </c:pt>
                <c:pt idx="99">
                  <c:v>-2.5732816000000001</c:v>
                </c:pt>
                <c:pt idx="100">
                  <c:v>-2.4747400000000002</c:v>
                </c:pt>
              </c:numCache>
            </c:numRef>
          </c:yVal>
          <c:smooth val="1"/>
          <c:extLst>
            <c:ext xmlns:c16="http://schemas.microsoft.com/office/drawing/2014/chart" uri="{C3380CC4-5D6E-409C-BE32-E72D297353CC}">
              <c16:uniqueId val="{00000000-2AF0-4312-BFF7-581F0B1689FE}"/>
            </c:ext>
          </c:extLst>
        </c:ser>
        <c:ser>
          <c:idx val="0"/>
          <c:order val="6"/>
          <c:tx>
            <c:v>Left 1</c:v>
          </c:tx>
          <c:spPr>
            <a:ln w="19050">
              <a:solidFill>
                <a:srgbClr val="FF0000"/>
              </a:solidFill>
            </a:ln>
          </c:spPr>
          <c:marker>
            <c:symbol val="none"/>
          </c:marker>
          <c:xVal>
            <c:numRef>
              <c:f>'Left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1 Kin'!$AT$2:$AT$102</c:f>
              <c:numCache>
                <c:formatCode>General</c:formatCode>
                <c:ptCount val="101"/>
                <c:pt idx="0">
                  <c:v>4.1400699999999997</c:v>
                </c:pt>
                <c:pt idx="1">
                  <c:v>4.2280049999999996</c:v>
                </c:pt>
                <c:pt idx="2">
                  <c:v>4.3159399999999994</c:v>
                </c:pt>
                <c:pt idx="3">
                  <c:v>4.4038750000000002</c:v>
                </c:pt>
                <c:pt idx="4">
                  <c:v>4.4918100000000001</c:v>
                </c:pt>
                <c:pt idx="5">
                  <c:v>4.2493400000000001</c:v>
                </c:pt>
                <c:pt idx="6">
                  <c:v>4.0068700000000002</c:v>
                </c:pt>
                <c:pt idx="7">
                  <c:v>3.7644000000000002</c:v>
                </c:pt>
                <c:pt idx="8">
                  <c:v>3.5219299999999998</c:v>
                </c:pt>
                <c:pt idx="9">
                  <c:v>2.6414474999999999</c:v>
                </c:pt>
                <c:pt idx="10">
                  <c:v>1.760964999999999</c:v>
                </c:pt>
                <c:pt idx="11">
                  <c:v>0.8804824999999985</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-0.4012950000000029</c:v>
                </c:pt>
                <c:pt idx="78">
                  <c:v>-0.80259000000000003</c:v>
                </c:pt>
                <c:pt idx="79">
                  <c:v>-1.203884999999997</c:v>
                </c:pt>
                <c:pt idx="80">
                  <c:v>-1.6051800000000001</c:v>
                </c:pt>
                <c:pt idx="81">
                  <c:v>-2.311289999999997</c:v>
                </c:pt>
                <c:pt idx="82">
                  <c:v>-3.017399999999995</c:v>
                </c:pt>
                <c:pt idx="83">
                  <c:v>-3.7235100000000032</c:v>
                </c:pt>
                <c:pt idx="84">
                  <c:v>-4.4296199999999999</c:v>
                </c:pt>
                <c:pt idx="85">
                  <c:v>-3.3222149999999919</c:v>
                </c:pt>
                <c:pt idx="86">
                  <c:v>-2.2148099999999999</c:v>
                </c:pt>
                <c:pt idx="87">
                  <c:v>-1.107405000000008</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1"/>
          <c:extLst>
            <c:ext xmlns:c16="http://schemas.microsoft.com/office/drawing/2014/chart" uri="{C3380CC4-5D6E-409C-BE32-E72D297353CC}">
              <c16:uniqueId val="{00000000-0D99-45D4-9915-29B76C6BAC19}"/>
            </c:ext>
          </c:extLst>
        </c:ser>
        <c:dLbls>
          <c:showLegendKey val="0"/>
          <c:showVal val="0"/>
          <c:showCatName val="0"/>
          <c:showSerName val="0"/>
          <c:showPercent val="0"/>
          <c:showBubbleSize val="0"/>
        </c:dLbls>
        <c:axId val="90982272"/>
        <c:axId val="90983808"/>
      </c:scatterChart>
      <c:valAx>
        <c:axId val="90982272"/>
        <c:scaling>
          <c:orientation val="minMax"/>
          <c:max val="100"/>
        </c:scaling>
        <c:delete val="0"/>
        <c:axPos val="b"/>
        <c:numFmt formatCode="General" sourceLinked="1"/>
        <c:majorTickMark val="out"/>
        <c:minorTickMark val="none"/>
        <c:tickLblPos val="nextTo"/>
        <c:txPr>
          <a:bodyPr/>
          <a:lstStyle/>
          <a:p>
            <a:pPr>
              <a:defRPr lang="en-US" sz="800"/>
            </a:pPr>
            <a:endParaRPr lang="en-US"/>
          </a:p>
        </c:txPr>
        <c:crossAx val="90983808"/>
        <c:crosses val="autoZero"/>
        <c:crossBetween val="midCat"/>
        <c:majorUnit val="20"/>
      </c:valAx>
      <c:valAx>
        <c:axId val="90983808"/>
        <c:scaling>
          <c:orientation val="minMax"/>
        </c:scaling>
        <c:delete val="0"/>
        <c:axPos val="l"/>
        <c:title>
          <c:tx>
            <c:rich>
              <a:bodyPr rot="-5400000" vert="horz"/>
              <a:lstStyle/>
              <a:p>
                <a:pPr>
                  <a:defRPr lang="en-AU" sz="900"/>
                </a:pPr>
                <a:r>
                  <a:rPr lang="en-US" sz="900"/>
                  <a:t>Power (W/kg)</a:t>
                </a:r>
              </a:p>
            </c:rich>
          </c:tx>
          <c:layout>
            <c:manualLayout>
              <c:xMode val="edge"/>
              <c:yMode val="edge"/>
              <c:x val="6.1702551325188921E-3"/>
              <c:y val="0.32694305948250502"/>
            </c:manualLayout>
          </c:layout>
          <c:overlay val="0"/>
        </c:title>
        <c:numFmt formatCode="0" sourceLinked="0"/>
        <c:majorTickMark val="out"/>
        <c:minorTickMark val="none"/>
        <c:tickLblPos val="nextTo"/>
        <c:txPr>
          <a:bodyPr/>
          <a:lstStyle/>
          <a:p>
            <a:pPr>
              <a:defRPr lang="en-US" sz="800"/>
            </a:pPr>
            <a:endParaRPr lang="en-US"/>
          </a:p>
        </c:txPr>
        <c:crossAx val="90982272"/>
        <c:crosses val="autoZero"/>
        <c:crossBetween val="midCat"/>
      </c:valAx>
    </c:plotArea>
    <c:plotVisOnly val="1"/>
    <c:dispBlanksAs val="gap"/>
    <c:showDLblsOverMax val="0"/>
  </c:chart>
  <c:printSettings>
    <c:headerFooter/>
    <c:pageMargins b="0.75000000000001421" l="0.70000000000000095" r="0.70000000000000095" t="0.75000000000001421" header="0.3000000000000001" footer="0.3000000000000001"/>
    <c:pageSetup/>
  </c:printSettings>
  <c:userShapes r:id="rId1"/>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US" sz="1200"/>
            </a:pPr>
            <a:r>
              <a:rPr lang="en-US" sz="1200"/>
              <a:t>Knee Power</a:t>
            </a:r>
          </a:p>
        </c:rich>
      </c:tx>
      <c:overlay val="0"/>
    </c:title>
    <c:autoTitleDeleted val="0"/>
    <c:plotArea>
      <c:layout>
        <c:manualLayout>
          <c:layoutTarget val="inner"/>
          <c:xMode val="edge"/>
          <c:yMode val="edge"/>
          <c:x val="0.11309336332958381"/>
          <c:y val="3.8694597137621939E-2"/>
          <c:w val="0.84854943132108485"/>
          <c:h val="0.92360719061060759"/>
        </c:manualLayout>
      </c:layout>
      <c:scatterChart>
        <c:scatterStyle val="smoothMarker"/>
        <c:varyColors val="0"/>
        <c:ser>
          <c:idx val="1"/>
          <c:order val="0"/>
          <c:tx>
            <c:v>Normative</c:v>
          </c:tx>
          <c:spPr>
            <a:ln>
              <a:solidFill>
                <a:schemeClr val="tx1"/>
              </a:solidFill>
            </a:ln>
          </c:spPr>
          <c:marker>
            <c:symbol val="none"/>
          </c:marker>
          <c:xVal>
            <c:numRef>
              <c:f>Normative!$A$2:$A$102</c:f>
              <c:numCache>
                <c:formatCode>General</c:formatCode>
                <c:ptCount val="101"/>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numCache>
            </c:numRef>
          </c:xVal>
          <c:yVal>
            <c:numRef>
              <c:f>Normative!$AP$2:$AP$102</c:f>
              <c:numCache>
                <c:formatCode>General</c:formatCode>
                <c:ptCount val="101"/>
                <c:pt idx="0">
                  <c:v>2.4772122833333334</c:v>
                </c:pt>
                <c:pt idx="1">
                  <c:v>2.4772122833333334</c:v>
                </c:pt>
                <c:pt idx="2">
                  <c:v>1.5029594633333334</c:v>
                </c:pt>
                <c:pt idx="3">
                  <c:v>1.4014722633333334</c:v>
                </c:pt>
                <c:pt idx="4">
                  <c:v>-1.3359155866666665</c:v>
                </c:pt>
                <c:pt idx="5">
                  <c:v>-1.4706758266666666</c:v>
                </c:pt>
                <c:pt idx="6">
                  <c:v>-4.9161142133333335</c:v>
                </c:pt>
                <c:pt idx="7">
                  <c:v>-5.0828970966666667</c:v>
                </c:pt>
                <c:pt idx="8">
                  <c:v>-6.8062173166666664</c:v>
                </c:pt>
                <c:pt idx="9">
                  <c:v>-6.4325281866666675</c:v>
                </c:pt>
                <c:pt idx="10">
                  <c:v>-6.9268178500000008</c:v>
                </c:pt>
                <c:pt idx="11">
                  <c:v>-7.0468808333333346</c:v>
                </c:pt>
                <c:pt idx="12">
                  <c:v>-6.8226192833333332</c:v>
                </c:pt>
                <c:pt idx="13">
                  <c:v>-7.7725478233333352</c:v>
                </c:pt>
                <c:pt idx="14">
                  <c:v>-7.3975749733333327</c:v>
                </c:pt>
                <c:pt idx="15">
                  <c:v>-7.4907524333333324</c:v>
                </c:pt>
                <c:pt idx="16">
                  <c:v>-6.6005707000000005</c:v>
                </c:pt>
                <c:pt idx="17">
                  <c:v>-6.2911244300000009</c:v>
                </c:pt>
                <c:pt idx="18">
                  <c:v>-4.890452363333333</c:v>
                </c:pt>
                <c:pt idx="19">
                  <c:v>-4.0177730100000009</c:v>
                </c:pt>
                <c:pt idx="20">
                  <c:v>-2.82398061</c:v>
                </c:pt>
                <c:pt idx="21">
                  <c:v>-1.7197323933333333</c:v>
                </c:pt>
                <c:pt idx="22">
                  <c:v>-0.30059256999999995</c:v>
                </c:pt>
                <c:pt idx="23">
                  <c:v>0.83699225333333338</c:v>
                </c:pt>
                <c:pt idx="24">
                  <c:v>2.4005847266666667</c:v>
                </c:pt>
                <c:pt idx="25">
                  <c:v>4.6425984833333329</c:v>
                </c:pt>
                <c:pt idx="26">
                  <c:v>6.2099282499999999</c:v>
                </c:pt>
                <c:pt idx="27">
                  <c:v>7.8418065299999995</c:v>
                </c:pt>
                <c:pt idx="28">
                  <c:v>8.5309438466666681</c:v>
                </c:pt>
                <c:pt idx="29">
                  <c:v>10.168386783333336</c:v>
                </c:pt>
                <c:pt idx="30">
                  <c:v>10.599772283333333</c:v>
                </c:pt>
                <c:pt idx="31">
                  <c:v>11.722288686666667</c:v>
                </c:pt>
                <c:pt idx="32">
                  <c:v>11.787055840000001</c:v>
                </c:pt>
                <c:pt idx="33">
                  <c:v>12.131815043333333</c:v>
                </c:pt>
                <c:pt idx="34">
                  <c:v>12.043544266666668</c:v>
                </c:pt>
                <c:pt idx="35">
                  <c:v>11.336660163333333</c:v>
                </c:pt>
                <c:pt idx="36">
                  <c:v>10.72939852</c:v>
                </c:pt>
                <c:pt idx="37">
                  <c:v>9.1994954966666675</c:v>
                </c:pt>
                <c:pt idx="38">
                  <c:v>7.7118297299999998</c:v>
                </c:pt>
                <c:pt idx="39">
                  <c:v>5.853907733333334</c:v>
                </c:pt>
                <c:pt idx="40">
                  <c:v>4.6093687833333332</c:v>
                </c:pt>
                <c:pt idx="41">
                  <c:v>2.7190082533333331</c:v>
                </c:pt>
                <c:pt idx="42">
                  <c:v>1.6450066033333333</c:v>
                </c:pt>
                <c:pt idx="43">
                  <c:v>-6.7483416666666948E-2</c:v>
                </c:pt>
                <c:pt idx="44">
                  <c:v>-0.50924406666666699</c:v>
                </c:pt>
                <c:pt idx="45">
                  <c:v>-1.4488080833333332</c:v>
                </c:pt>
                <c:pt idx="46">
                  <c:v>-1.5561142833333332</c:v>
                </c:pt>
                <c:pt idx="47">
                  <c:v>-1.7648443366666666</c:v>
                </c:pt>
                <c:pt idx="48">
                  <c:v>-1.7703063866666664</c:v>
                </c:pt>
                <c:pt idx="49">
                  <c:v>-1.5795161533333335</c:v>
                </c:pt>
                <c:pt idx="50">
                  <c:v>0.24860886666666665</c:v>
                </c:pt>
              </c:numCache>
            </c:numRef>
          </c:yVal>
          <c:smooth val="1"/>
          <c:extLst>
            <c:ext xmlns:c16="http://schemas.microsoft.com/office/drawing/2014/chart" uri="{C3380CC4-5D6E-409C-BE32-E72D297353CC}">
              <c16:uniqueId val="{00000000-08B5-44CF-9FB1-722DCA65EFDF}"/>
            </c:ext>
          </c:extLst>
        </c:ser>
        <c:ser>
          <c:idx val="6"/>
          <c:order val="1"/>
          <c:tx>
            <c:v>Right 3</c:v>
          </c:tx>
          <c:spPr>
            <a:ln w="19050">
              <a:solidFill>
                <a:srgbClr val="00B050"/>
              </a:solidFill>
            </a:ln>
          </c:spPr>
          <c:marker>
            <c:symbol val="none"/>
          </c:marker>
          <c:xVal>
            <c:numRef>
              <c:f>'Right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3 Kin'!$AP$2:$AP$102</c:f>
              <c:numCache>
                <c:formatCode>General</c:formatCode>
                <c:ptCount val="101"/>
                <c:pt idx="0">
                  <c:v>5.0222899999999999</c:v>
                </c:pt>
                <c:pt idx="1">
                  <c:v>3.554073639999999</c:v>
                </c:pt>
                <c:pt idx="2">
                  <c:v>2.085857279999999</c:v>
                </c:pt>
                <c:pt idx="3">
                  <c:v>0.61764091999999948</c:v>
                </c:pt>
                <c:pt idx="4">
                  <c:v>-0.56588664</c:v>
                </c:pt>
                <c:pt idx="5">
                  <c:v>-0.18362579999999981</c:v>
                </c:pt>
                <c:pt idx="6">
                  <c:v>0.1986350399999999</c:v>
                </c:pt>
                <c:pt idx="7">
                  <c:v>0.58089588000000003</c:v>
                </c:pt>
                <c:pt idx="8">
                  <c:v>0.80995503999999996</c:v>
                </c:pt>
                <c:pt idx="9">
                  <c:v>0.69431041999999998</c:v>
                </c:pt>
                <c:pt idx="10">
                  <c:v>0.57866580000000001</c:v>
                </c:pt>
                <c:pt idx="11">
                  <c:v>0.46302117999999998</c:v>
                </c:pt>
                <c:pt idx="12">
                  <c:v>-6.1123119999998872E-2</c:v>
                </c:pt>
                <c:pt idx="13">
                  <c:v>-1.061850379999999</c:v>
                </c:pt>
                <c:pt idx="14">
                  <c:v>-2.0625776400000002</c:v>
                </c:pt>
                <c:pt idx="15">
                  <c:v>-3.0633049000000012</c:v>
                </c:pt>
                <c:pt idx="16">
                  <c:v>-3.6580751999999999</c:v>
                </c:pt>
                <c:pt idx="17">
                  <c:v>-3.9991224000000001</c:v>
                </c:pt>
                <c:pt idx="18">
                  <c:v>-4.3401696000000012</c:v>
                </c:pt>
                <c:pt idx="19">
                  <c:v>-4.6812168000000014</c:v>
                </c:pt>
                <c:pt idx="20">
                  <c:v>-4.8448359999999999</c:v>
                </c:pt>
                <c:pt idx="21">
                  <c:v>-4.9552268000000002</c:v>
                </c:pt>
                <c:pt idx="22">
                  <c:v>-5.0656176000000004</c:v>
                </c:pt>
                <c:pt idx="23">
                  <c:v>-5.1760083999999997</c:v>
                </c:pt>
                <c:pt idx="24">
                  <c:v>-5.0628152000000002</c:v>
                </c:pt>
                <c:pt idx="25">
                  <c:v>-4.9309900000000004</c:v>
                </c:pt>
                <c:pt idx="26">
                  <c:v>-4.7991647999999998</c:v>
                </c:pt>
                <c:pt idx="27">
                  <c:v>-4.6263787999999986</c:v>
                </c:pt>
                <c:pt idx="28">
                  <c:v>-3.9620631999999998</c:v>
                </c:pt>
                <c:pt idx="29">
                  <c:v>-3.2977475999999979</c:v>
                </c:pt>
                <c:pt idx="30">
                  <c:v>-2.633432</c:v>
                </c:pt>
                <c:pt idx="31">
                  <c:v>-1.904448399999997</c:v>
                </c:pt>
                <c:pt idx="32">
                  <c:v>-0.95990479999999834</c:v>
                </c:pt>
                <c:pt idx="33">
                  <c:v>-1.536119999999608E-2</c:v>
                </c:pt>
                <c:pt idx="34">
                  <c:v>0.9291823999999993</c:v>
                </c:pt>
                <c:pt idx="35">
                  <c:v>1.9908350000000019</c:v>
                </c:pt>
                <c:pt idx="36">
                  <c:v>3.2398620000000049</c:v>
                </c:pt>
                <c:pt idx="37">
                  <c:v>4.4888890000000066</c:v>
                </c:pt>
                <c:pt idx="38">
                  <c:v>5.737916000000002</c:v>
                </c:pt>
                <c:pt idx="39">
                  <c:v>7.2306494000000061</c:v>
                </c:pt>
                <c:pt idx="40">
                  <c:v>8.9322740000000103</c:v>
                </c:pt>
                <c:pt idx="41">
                  <c:v>10.6338986</c:v>
                </c:pt>
                <c:pt idx="42">
                  <c:v>12.335523200000001</c:v>
                </c:pt>
                <c:pt idx="43">
                  <c:v>14.197490000000011</c:v>
                </c:pt>
                <c:pt idx="44">
                  <c:v>16.130720000000011</c:v>
                </c:pt>
                <c:pt idx="45">
                  <c:v>18.063949999999991</c:v>
                </c:pt>
                <c:pt idx="46">
                  <c:v>19.99718</c:v>
                </c:pt>
                <c:pt idx="47">
                  <c:v>21.85088</c:v>
                </c:pt>
                <c:pt idx="48">
                  <c:v>23.69011999999999</c:v>
                </c:pt>
                <c:pt idx="49">
                  <c:v>25.52936</c:v>
                </c:pt>
                <c:pt idx="50">
                  <c:v>27.368600000000001</c:v>
                </c:pt>
                <c:pt idx="51">
                  <c:v>28.993183999999999</c:v>
                </c:pt>
                <c:pt idx="52">
                  <c:v>30.617767999999991</c:v>
                </c:pt>
                <c:pt idx="53">
                  <c:v>32.242351999999997</c:v>
                </c:pt>
                <c:pt idx="54">
                  <c:v>33.803460000000001</c:v>
                </c:pt>
                <c:pt idx="55">
                  <c:v>35.015450000000001</c:v>
                </c:pt>
                <c:pt idx="56">
                  <c:v>36.227440000000001</c:v>
                </c:pt>
                <c:pt idx="57">
                  <c:v>37.439430000000002</c:v>
                </c:pt>
                <c:pt idx="58">
                  <c:v>38.412419999999997</c:v>
                </c:pt>
                <c:pt idx="59">
                  <c:v>38.847659999999998</c:v>
                </c:pt>
                <c:pt idx="60">
                  <c:v>39.282899999999998</c:v>
                </c:pt>
                <c:pt idx="61">
                  <c:v>39.718140000000012</c:v>
                </c:pt>
                <c:pt idx="62">
                  <c:v>39.623147999999993</c:v>
                </c:pt>
                <c:pt idx="63">
                  <c:v>38.909551999999998</c:v>
                </c:pt>
                <c:pt idx="64">
                  <c:v>38.195956000000002</c:v>
                </c:pt>
                <c:pt idx="65">
                  <c:v>37.48236</c:v>
                </c:pt>
                <c:pt idx="66">
                  <c:v>36.079083999999987</c:v>
                </c:pt>
                <c:pt idx="67">
                  <c:v>34.244757999999997</c:v>
                </c:pt>
                <c:pt idx="68">
                  <c:v>32.410432</c:v>
                </c:pt>
                <c:pt idx="69">
                  <c:v>30.576105999999989</c:v>
                </c:pt>
                <c:pt idx="70">
                  <c:v>28.196059999999989</c:v>
                </c:pt>
                <c:pt idx="71">
                  <c:v>25.65229799999997</c:v>
                </c:pt>
                <c:pt idx="72">
                  <c:v>23.10853599999998</c:v>
                </c:pt>
                <c:pt idx="73">
                  <c:v>20.564773999999989</c:v>
                </c:pt>
                <c:pt idx="74">
                  <c:v>18.149675999999971</c:v>
                </c:pt>
                <c:pt idx="75">
                  <c:v>15.745299999999981</c:v>
                </c:pt>
                <c:pt idx="76">
                  <c:v>13.34092399999999</c:v>
                </c:pt>
                <c:pt idx="77">
                  <c:v>10.985025799999979</c:v>
                </c:pt>
                <c:pt idx="78">
                  <c:v>9.2108611999999876</c:v>
                </c:pt>
                <c:pt idx="79">
                  <c:v>7.4366965999999959</c:v>
                </c:pt>
                <c:pt idx="80">
                  <c:v>5.6625319999999801</c:v>
                </c:pt>
                <c:pt idx="81">
                  <c:v>4.186583599999997</c:v>
                </c:pt>
                <c:pt idx="82">
                  <c:v>3.7046891999999989</c:v>
                </c:pt>
                <c:pt idx="83">
                  <c:v>3.2227947999999951</c:v>
                </c:pt>
                <c:pt idx="84">
                  <c:v>2.740900399999997</c:v>
                </c:pt>
                <c:pt idx="85">
                  <c:v>2.3925099999999979</c:v>
                </c:pt>
                <c:pt idx="86">
                  <c:v>2.257725999999999</c:v>
                </c:pt>
                <c:pt idx="87">
                  <c:v>2.1229419999999992</c:v>
                </c:pt>
                <c:pt idx="88">
                  <c:v>1.9881579999999981</c:v>
                </c:pt>
                <c:pt idx="89">
                  <c:v>1.7093338799999971</c:v>
                </c:pt>
                <c:pt idx="90">
                  <c:v>1.3070468</c:v>
                </c:pt>
                <c:pt idx="91">
                  <c:v>0.90475971999999771</c:v>
                </c:pt>
                <c:pt idx="92">
                  <c:v>0.50247264000000125</c:v>
                </c:pt>
                <c:pt idx="93">
                  <c:v>0.29195378000000111</c:v>
                </c:pt>
                <c:pt idx="94">
                  <c:v>0.16666523999999991</c:v>
                </c:pt>
                <c:pt idx="95">
                  <c:v>4.1376700000000537E-2</c:v>
                </c:pt>
                <c:pt idx="96">
                  <c:v>-8.391183999999885E-2</c:v>
                </c:pt>
                <c:pt idx="97">
                  <c:v>0.14572254000000001</c:v>
                </c:pt>
                <c:pt idx="98">
                  <c:v>0.43988835999999848</c:v>
                </c:pt>
                <c:pt idx="99">
                  <c:v>0.73405418000000133</c:v>
                </c:pt>
                <c:pt idx="100">
                  <c:v>1.0282199999999999</c:v>
                </c:pt>
              </c:numCache>
            </c:numRef>
          </c:yVal>
          <c:smooth val="1"/>
          <c:extLst>
            <c:ext xmlns:c16="http://schemas.microsoft.com/office/drawing/2014/chart" uri="{C3380CC4-5D6E-409C-BE32-E72D297353CC}">
              <c16:uniqueId val="{00000004-613B-414E-AC70-1A1ED57EA72F}"/>
            </c:ext>
          </c:extLst>
        </c:ser>
        <c:ser>
          <c:idx val="5"/>
          <c:order val="2"/>
          <c:tx>
            <c:v>Right 2</c:v>
          </c:tx>
          <c:spPr>
            <a:ln w="19050">
              <a:solidFill>
                <a:srgbClr val="00B050"/>
              </a:solidFill>
            </a:ln>
          </c:spPr>
          <c:marker>
            <c:symbol val="none"/>
          </c:marker>
          <c:xVal>
            <c:numRef>
              <c:f>'Right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2 Kin'!$AP$2:$AP$102</c:f>
              <c:numCache>
                <c:formatCode>General</c:formatCode>
                <c:ptCount val="101"/>
                <c:pt idx="0">
                  <c:v>5.2344400000000002</c:v>
                </c:pt>
                <c:pt idx="1">
                  <c:v>3.6405687100000002</c:v>
                </c:pt>
                <c:pt idx="2">
                  <c:v>2.0466974200000001</c:v>
                </c:pt>
                <c:pt idx="3">
                  <c:v>0.45282612999999999</c:v>
                </c:pt>
                <c:pt idx="4">
                  <c:v>-0.73691524000000019</c:v>
                </c:pt>
                <c:pt idx="5">
                  <c:v>-0.96684805000000029</c:v>
                </c:pt>
                <c:pt idx="6">
                  <c:v>-1.1967808600000001</c:v>
                </c:pt>
                <c:pt idx="7">
                  <c:v>-1.42671367</c:v>
                </c:pt>
                <c:pt idx="8">
                  <c:v>-0.73431959999999874</c:v>
                </c:pt>
                <c:pt idx="9">
                  <c:v>0.59217420000000098</c:v>
                </c:pt>
                <c:pt idx="10">
                  <c:v>1.9186680000000009</c:v>
                </c:pt>
                <c:pt idx="11">
                  <c:v>3.2451618000000009</c:v>
                </c:pt>
                <c:pt idx="12">
                  <c:v>3.0833699999999999</c:v>
                </c:pt>
                <c:pt idx="13">
                  <c:v>2.7355425000000002</c:v>
                </c:pt>
                <c:pt idx="14">
                  <c:v>2.387715</c:v>
                </c:pt>
                <c:pt idx="15">
                  <c:v>1.8308779999999989</c:v>
                </c:pt>
                <c:pt idx="16">
                  <c:v>0.35439919999999892</c:v>
                </c:pt>
                <c:pt idx="17">
                  <c:v>-1.1220795999999991</c:v>
                </c:pt>
                <c:pt idx="18">
                  <c:v>-2.5985584000000022</c:v>
                </c:pt>
                <c:pt idx="19">
                  <c:v>-3.7330877999999998</c:v>
                </c:pt>
                <c:pt idx="20">
                  <c:v>-4.4993640000000017</c:v>
                </c:pt>
                <c:pt idx="21">
                  <c:v>-5.2656402</c:v>
                </c:pt>
                <c:pt idx="22">
                  <c:v>-6.0319164000000018</c:v>
                </c:pt>
                <c:pt idx="23">
                  <c:v>-6.7389159000000003</c:v>
                </c:pt>
                <c:pt idx="24">
                  <c:v>-7.4289791999999997</c:v>
                </c:pt>
                <c:pt idx="25">
                  <c:v>-8.1190425000000008</c:v>
                </c:pt>
                <c:pt idx="26">
                  <c:v>-8.7718595999999991</c:v>
                </c:pt>
                <c:pt idx="27">
                  <c:v>-8.9590992000000007</c:v>
                </c:pt>
                <c:pt idx="28">
                  <c:v>-9.1463388000000005</c:v>
                </c:pt>
                <c:pt idx="29">
                  <c:v>-9.3335784000000004</c:v>
                </c:pt>
                <c:pt idx="30">
                  <c:v>-9.2373390000000004</c:v>
                </c:pt>
                <c:pt idx="31">
                  <c:v>-8.659185299999999</c:v>
                </c:pt>
                <c:pt idx="32">
                  <c:v>-8.0810315999999993</c:v>
                </c:pt>
                <c:pt idx="33">
                  <c:v>-7.5028778999999988</c:v>
                </c:pt>
                <c:pt idx="34">
                  <c:v>-6.672558600000003</c:v>
                </c:pt>
                <c:pt idx="35">
                  <c:v>-5.7161565000000003</c:v>
                </c:pt>
                <c:pt idx="36">
                  <c:v>-4.7597543999999976</c:v>
                </c:pt>
                <c:pt idx="37">
                  <c:v>-3.8033522999999949</c:v>
                </c:pt>
                <c:pt idx="38">
                  <c:v>-2.5755203400000002</c:v>
                </c:pt>
                <c:pt idx="39">
                  <c:v>-1.337248769999996</c:v>
                </c:pt>
                <c:pt idx="40">
                  <c:v>-9.8977199999993548E-2</c:v>
                </c:pt>
                <c:pt idx="41">
                  <c:v>1.234065130000001</c:v>
                </c:pt>
                <c:pt idx="42">
                  <c:v>2.8378810600000031</c:v>
                </c:pt>
                <c:pt idx="43">
                  <c:v>4.4416969900000041</c:v>
                </c:pt>
                <c:pt idx="44">
                  <c:v>6.0455129200000046</c:v>
                </c:pt>
                <c:pt idx="45">
                  <c:v>7.7475069999999961</c:v>
                </c:pt>
                <c:pt idx="46">
                  <c:v>9.5280436000000002</c:v>
                </c:pt>
                <c:pt idx="47">
                  <c:v>11.30858020000001</c:v>
                </c:pt>
                <c:pt idx="48">
                  <c:v>13.089116799999999</c:v>
                </c:pt>
                <c:pt idx="49">
                  <c:v>14.877478</c:v>
                </c:pt>
                <c:pt idx="50">
                  <c:v>16.667200000000008</c:v>
                </c:pt>
                <c:pt idx="51">
                  <c:v>18.456922000000009</c:v>
                </c:pt>
                <c:pt idx="52">
                  <c:v>20.232731999999999</c:v>
                </c:pt>
                <c:pt idx="53">
                  <c:v>21.928547999999999</c:v>
                </c:pt>
                <c:pt idx="54">
                  <c:v>23.624364</c:v>
                </c:pt>
                <c:pt idx="55">
                  <c:v>25.320180000000011</c:v>
                </c:pt>
                <c:pt idx="56">
                  <c:v>26.893560000000001</c:v>
                </c:pt>
                <c:pt idx="57">
                  <c:v>28.313894999999999</c:v>
                </c:pt>
                <c:pt idx="58">
                  <c:v>29.73423</c:v>
                </c:pt>
                <c:pt idx="59">
                  <c:v>31.154565000000002</c:v>
                </c:pt>
                <c:pt idx="60">
                  <c:v>32.111199999999997</c:v>
                </c:pt>
                <c:pt idx="61">
                  <c:v>32.905540000000002</c:v>
                </c:pt>
                <c:pt idx="62">
                  <c:v>33.69988</c:v>
                </c:pt>
                <c:pt idx="63">
                  <c:v>34.454656999999997</c:v>
                </c:pt>
                <c:pt idx="64">
                  <c:v>34.180795999999987</c:v>
                </c:pt>
                <c:pt idx="65">
                  <c:v>33.906934999999997</c:v>
                </c:pt>
                <c:pt idx="66">
                  <c:v>33.633073999999993</c:v>
                </c:pt>
                <c:pt idx="67">
                  <c:v>33.121541000000001</c:v>
                </c:pt>
                <c:pt idx="68">
                  <c:v>32.134664000000001</c:v>
                </c:pt>
                <c:pt idx="69">
                  <c:v>31.14778699999999</c:v>
                </c:pt>
                <c:pt idx="70">
                  <c:v>30.160909999999991</c:v>
                </c:pt>
                <c:pt idx="71">
                  <c:v>28.80848199999998</c:v>
                </c:pt>
                <c:pt idx="72">
                  <c:v>27.241023999999989</c:v>
                </c:pt>
                <c:pt idx="73">
                  <c:v>25.67356599999999</c:v>
                </c:pt>
                <c:pt idx="74">
                  <c:v>24.106107999999981</c:v>
                </c:pt>
                <c:pt idx="75">
                  <c:v>21.989174999999989</c:v>
                </c:pt>
                <c:pt idx="76">
                  <c:v>19.828284000000011</c:v>
                </c:pt>
                <c:pt idx="77">
                  <c:v>17.66739299999999</c:v>
                </c:pt>
                <c:pt idx="78">
                  <c:v>15.522574799999999</c:v>
                </c:pt>
                <c:pt idx="79">
                  <c:v>13.43401140000001</c:v>
                </c:pt>
                <c:pt idx="80">
                  <c:v>11.34544799999998</c:v>
                </c:pt>
                <c:pt idx="81">
                  <c:v>9.2568845999999887</c:v>
                </c:pt>
                <c:pt idx="82">
                  <c:v>7.6866781999999976</c:v>
                </c:pt>
                <c:pt idx="83">
                  <c:v>6.59780329999999</c:v>
                </c:pt>
                <c:pt idx="84">
                  <c:v>5.5089283999999967</c:v>
                </c:pt>
                <c:pt idx="85">
                  <c:v>4.4200534999999883</c:v>
                </c:pt>
                <c:pt idx="86">
                  <c:v>3.984373999999999</c:v>
                </c:pt>
                <c:pt idx="87">
                  <c:v>3.6971480000000012</c:v>
                </c:pt>
                <c:pt idx="88">
                  <c:v>3.4099219999999981</c:v>
                </c:pt>
                <c:pt idx="89">
                  <c:v>3.0973841000000002</c:v>
                </c:pt>
                <c:pt idx="90">
                  <c:v>2.582351000000001</c:v>
                </c:pt>
                <c:pt idx="91">
                  <c:v>2.067317899999995</c:v>
                </c:pt>
                <c:pt idx="92">
                  <c:v>1.5522847999999969</c:v>
                </c:pt>
                <c:pt idx="93">
                  <c:v>1.111739486999999</c:v>
                </c:pt>
                <c:pt idx="94">
                  <c:v>0.77954004599999671</c:v>
                </c:pt>
                <c:pt idx="95">
                  <c:v>0.44734060499999889</c:v>
                </c:pt>
                <c:pt idx="96">
                  <c:v>0.1151411640000011</c:v>
                </c:pt>
                <c:pt idx="97">
                  <c:v>-2.3573840000001359E-3</c:v>
                </c:pt>
                <c:pt idx="98">
                  <c:v>-2.9455555999999959E-2</c:v>
                </c:pt>
                <c:pt idx="99">
                  <c:v>-5.6553728000000178E-2</c:v>
                </c:pt>
                <c:pt idx="100">
                  <c:v>-8.3651900000000001E-2</c:v>
                </c:pt>
              </c:numCache>
            </c:numRef>
          </c:yVal>
          <c:smooth val="1"/>
          <c:extLst>
            <c:ext xmlns:c16="http://schemas.microsoft.com/office/drawing/2014/chart" uri="{C3380CC4-5D6E-409C-BE32-E72D297353CC}">
              <c16:uniqueId val="{00000003-613B-414E-AC70-1A1ED57EA72F}"/>
            </c:ext>
          </c:extLst>
        </c:ser>
        <c:ser>
          <c:idx val="4"/>
          <c:order val="3"/>
          <c:tx>
            <c:v>Right 1</c:v>
          </c:tx>
          <c:spPr>
            <a:ln w="19050">
              <a:solidFill>
                <a:srgbClr val="00B050"/>
              </a:solidFill>
            </a:ln>
          </c:spPr>
          <c:marker>
            <c:symbol val="none"/>
          </c:marker>
          <c:xVal>
            <c:numRef>
              <c:f>'Right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1 Kin'!$AP$2:$AP$102</c:f>
              <c:numCache>
                <c:formatCode>General</c:formatCode>
                <c:ptCount val="101"/>
                <c:pt idx="0">
                  <c:v>7.7857500000000002</c:v>
                </c:pt>
                <c:pt idx="1">
                  <c:v>5.9209253000000004</c:v>
                </c:pt>
                <c:pt idx="2">
                  <c:v>4.0561005999999997</c:v>
                </c:pt>
                <c:pt idx="3">
                  <c:v>2.1912758999999999</c:v>
                </c:pt>
                <c:pt idx="4">
                  <c:v>1.6325984</c:v>
                </c:pt>
                <c:pt idx="5">
                  <c:v>2.1351654999999998</c:v>
                </c:pt>
                <c:pt idx="6">
                  <c:v>2.6377326000000001</c:v>
                </c:pt>
                <c:pt idx="7">
                  <c:v>3.1853468</c:v>
                </c:pt>
                <c:pt idx="8">
                  <c:v>4.1233692</c:v>
                </c:pt>
                <c:pt idx="9">
                  <c:v>5.0613916000000003</c:v>
                </c:pt>
                <c:pt idx="10">
                  <c:v>5.9994139999999998</c:v>
                </c:pt>
                <c:pt idx="11">
                  <c:v>5.2967768999999993</c:v>
                </c:pt>
                <c:pt idx="12">
                  <c:v>3.730634800000002</c:v>
                </c:pt>
                <c:pt idx="13">
                  <c:v>2.1644927000000012</c:v>
                </c:pt>
                <c:pt idx="14">
                  <c:v>0.53455500000000078</c:v>
                </c:pt>
                <c:pt idx="15">
                  <c:v>-1.339932499999998</c:v>
                </c:pt>
                <c:pt idx="16">
                  <c:v>-3.2144199999999969</c:v>
                </c:pt>
                <c:pt idx="17">
                  <c:v>-5.0889074999999941</c:v>
                </c:pt>
                <c:pt idx="18">
                  <c:v>-6.4611767999999987</c:v>
                </c:pt>
                <c:pt idx="19">
                  <c:v>-7.6736493999999977</c:v>
                </c:pt>
                <c:pt idx="20">
                  <c:v>-8.8861220000000003</c:v>
                </c:pt>
                <c:pt idx="21">
                  <c:v>-10.034132100000001</c:v>
                </c:pt>
                <c:pt idx="22">
                  <c:v>-11.038892199999999</c:v>
                </c:pt>
                <c:pt idx="23">
                  <c:v>-12.0436523</c:v>
                </c:pt>
                <c:pt idx="24">
                  <c:v>-13.0484124</c:v>
                </c:pt>
                <c:pt idx="25">
                  <c:v>-13.319050000000001</c:v>
                </c:pt>
                <c:pt idx="26">
                  <c:v>-13.472227999999999</c:v>
                </c:pt>
                <c:pt idx="27">
                  <c:v>-13.625406</c:v>
                </c:pt>
                <c:pt idx="28">
                  <c:v>-13.496836</c:v>
                </c:pt>
                <c:pt idx="29">
                  <c:v>-12.969123</c:v>
                </c:pt>
                <c:pt idx="30">
                  <c:v>-12.441409999999999</c:v>
                </c:pt>
                <c:pt idx="31">
                  <c:v>-11.913697000000001</c:v>
                </c:pt>
                <c:pt idx="32">
                  <c:v>-11.039218</c:v>
                </c:pt>
                <c:pt idx="33">
                  <c:v>-10.1523545</c:v>
                </c:pt>
                <c:pt idx="34">
                  <c:v>-9.2654910000000061</c:v>
                </c:pt>
                <c:pt idx="35">
                  <c:v>-8.2746055000000052</c:v>
                </c:pt>
                <c:pt idx="36">
                  <c:v>-7.1866327999999999</c:v>
                </c:pt>
                <c:pt idx="37">
                  <c:v>-6.0986600999999956</c:v>
                </c:pt>
                <c:pt idx="38">
                  <c:v>-4.9841672984000001</c:v>
                </c:pt>
                <c:pt idx="39">
                  <c:v>-3.5116531251999978</c:v>
                </c:pt>
                <c:pt idx="40">
                  <c:v>-2.0391389519999961</c:v>
                </c:pt>
                <c:pt idx="41">
                  <c:v>-0.56662477880000406</c:v>
                </c:pt>
                <c:pt idx="42">
                  <c:v>1.0920093655999981</c:v>
                </c:pt>
                <c:pt idx="43">
                  <c:v>2.8643834924</c:v>
                </c:pt>
                <c:pt idx="44">
                  <c:v>4.6367576192000044</c:v>
                </c:pt>
                <c:pt idx="45">
                  <c:v>6.4450124999999927</c:v>
                </c:pt>
                <c:pt idx="46">
                  <c:v>8.4254949999999997</c:v>
                </c:pt>
                <c:pt idx="47">
                  <c:v>10.405977500000009</c:v>
                </c:pt>
                <c:pt idx="48">
                  <c:v>12.38646</c:v>
                </c:pt>
                <c:pt idx="49">
                  <c:v>14.465002</c:v>
                </c:pt>
                <c:pt idx="50">
                  <c:v>16.58090000000001</c:v>
                </c:pt>
                <c:pt idx="51">
                  <c:v>18.696798000000008</c:v>
                </c:pt>
                <c:pt idx="52">
                  <c:v>20.815296</c:v>
                </c:pt>
                <c:pt idx="53">
                  <c:v>22.940619000000002</c:v>
                </c:pt>
                <c:pt idx="54">
                  <c:v>25.06594200000001</c:v>
                </c:pt>
                <c:pt idx="55">
                  <c:v>27.191265000000008</c:v>
                </c:pt>
                <c:pt idx="56">
                  <c:v>29.022516</c:v>
                </c:pt>
                <c:pt idx="57">
                  <c:v>30.792501999999999</c:v>
                </c:pt>
                <c:pt idx="58">
                  <c:v>32.562488000000002</c:v>
                </c:pt>
                <c:pt idx="59">
                  <c:v>34.045879999999997</c:v>
                </c:pt>
                <c:pt idx="60">
                  <c:v>35.060299999999998</c:v>
                </c:pt>
                <c:pt idx="61">
                  <c:v>36.074719999999999</c:v>
                </c:pt>
                <c:pt idx="62">
                  <c:v>37.08914</c:v>
                </c:pt>
                <c:pt idx="63">
                  <c:v>37.275713000000003</c:v>
                </c:pt>
                <c:pt idx="64">
                  <c:v>37.400964000000002</c:v>
                </c:pt>
                <c:pt idx="65">
                  <c:v>37.526215000000001</c:v>
                </c:pt>
                <c:pt idx="66">
                  <c:v>37.173897999999987</c:v>
                </c:pt>
                <c:pt idx="67">
                  <c:v>36.309901000000004</c:v>
                </c:pt>
                <c:pt idx="68">
                  <c:v>35.445904000000013</c:v>
                </c:pt>
                <c:pt idx="69">
                  <c:v>34.548313000000007</c:v>
                </c:pt>
                <c:pt idx="70">
                  <c:v>32.710090000000022</c:v>
                </c:pt>
                <c:pt idx="71">
                  <c:v>30.871866999999991</c:v>
                </c:pt>
                <c:pt idx="72">
                  <c:v>29.033643999999999</c:v>
                </c:pt>
                <c:pt idx="73">
                  <c:v>26.894674000000009</c:v>
                </c:pt>
                <c:pt idx="74">
                  <c:v>24.543411999999979</c:v>
                </c:pt>
                <c:pt idx="75">
                  <c:v>22.192149999999991</c:v>
                </c:pt>
                <c:pt idx="76">
                  <c:v>19.827580000000001</c:v>
                </c:pt>
                <c:pt idx="77">
                  <c:v>17.379834999999989</c:v>
                </c:pt>
                <c:pt idx="78">
                  <c:v>14.932090000000001</c:v>
                </c:pt>
                <c:pt idx="79">
                  <c:v>12.484345000000021</c:v>
                </c:pt>
                <c:pt idx="80">
                  <c:v>10.345257999999999</c:v>
                </c:pt>
                <c:pt idx="81">
                  <c:v>8.3450671000000085</c:v>
                </c:pt>
                <c:pt idx="82">
                  <c:v>6.344876200000015</c:v>
                </c:pt>
                <c:pt idx="83">
                  <c:v>4.6157308999999973</c:v>
                </c:pt>
                <c:pt idx="84">
                  <c:v>3.7384431999999999</c:v>
                </c:pt>
                <c:pt idx="85">
                  <c:v>2.8611554999999909</c:v>
                </c:pt>
                <c:pt idx="86">
                  <c:v>1.9838677999999941</c:v>
                </c:pt>
                <c:pt idx="87">
                  <c:v>1.4539231100000001</c:v>
                </c:pt>
                <c:pt idx="88">
                  <c:v>1.014589639999997</c:v>
                </c:pt>
                <c:pt idx="89">
                  <c:v>0.57525617000000051</c:v>
                </c:pt>
                <c:pt idx="90">
                  <c:v>0.19099770000000199</c:v>
                </c:pt>
                <c:pt idx="91">
                  <c:v>-8.8618270000001054E-2</c:v>
                </c:pt>
                <c:pt idx="92">
                  <c:v>-0.36823423999999999</c:v>
                </c:pt>
                <c:pt idx="93">
                  <c:v>-0.64785020999999898</c:v>
                </c:pt>
                <c:pt idx="94">
                  <c:v>-0.76678644000000074</c:v>
                </c:pt>
                <c:pt idx="95">
                  <c:v>-0.86718270000000031</c:v>
                </c:pt>
                <c:pt idx="96">
                  <c:v>-0.96757895999999999</c:v>
                </c:pt>
                <c:pt idx="97">
                  <c:v>-0.8927833979999974</c:v>
                </c:pt>
                <c:pt idx="98">
                  <c:v>-0.60236713199999969</c:v>
                </c:pt>
                <c:pt idx="99">
                  <c:v>-0.31195086599999777</c:v>
                </c:pt>
                <c:pt idx="100">
                  <c:v>-2.1534600000000001E-2</c:v>
                </c:pt>
              </c:numCache>
            </c:numRef>
          </c:yVal>
          <c:smooth val="1"/>
          <c:extLst>
            <c:ext xmlns:c16="http://schemas.microsoft.com/office/drawing/2014/chart" uri="{C3380CC4-5D6E-409C-BE32-E72D297353CC}">
              <c16:uniqueId val="{00000002-613B-414E-AC70-1A1ED57EA72F}"/>
            </c:ext>
          </c:extLst>
        </c:ser>
        <c:ser>
          <c:idx val="3"/>
          <c:order val="4"/>
          <c:tx>
            <c:v>Left 3</c:v>
          </c:tx>
          <c:spPr>
            <a:ln w="19050">
              <a:solidFill>
                <a:srgbClr val="FF0000"/>
              </a:solidFill>
            </a:ln>
          </c:spPr>
          <c:marker>
            <c:symbol val="none"/>
          </c:marker>
          <c:xVal>
            <c:numRef>
              <c:f>'Left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3 Kin'!$AP$2:$AP$102</c:f>
              <c:numCache>
                <c:formatCode>General</c:formatCode>
                <c:ptCount val="101"/>
                <c:pt idx="0">
                  <c:v>5.4586300000000003</c:v>
                </c:pt>
                <c:pt idx="1">
                  <c:v>3.5468578000000002</c:v>
                </c:pt>
                <c:pt idx="2">
                  <c:v>1.6350856</c:v>
                </c:pt>
                <c:pt idx="3">
                  <c:v>-0.27668659999999973</c:v>
                </c:pt>
                <c:pt idx="4">
                  <c:v>-1.9444336</c:v>
                </c:pt>
                <c:pt idx="5">
                  <c:v>-2.2700420000000001</c:v>
                </c:pt>
                <c:pt idx="6">
                  <c:v>-2.5956503999999998</c:v>
                </c:pt>
                <c:pt idx="7">
                  <c:v>-2.9212587999999999</c:v>
                </c:pt>
                <c:pt idx="8">
                  <c:v>-2.83891224</c:v>
                </c:pt>
                <c:pt idx="9">
                  <c:v>-1.838667019999999</c:v>
                </c:pt>
                <c:pt idx="10">
                  <c:v>-0.83842179999999944</c:v>
                </c:pt>
                <c:pt idx="11">
                  <c:v>0.16182342000000061</c:v>
                </c:pt>
                <c:pt idx="12">
                  <c:v>0.52484584000000045</c:v>
                </c:pt>
                <c:pt idx="13">
                  <c:v>0.14444166000000019</c:v>
                </c:pt>
                <c:pt idx="14">
                  <c:v>-0.23596252000000001</c:v>
                </c:pt>
                <c:pt idx="15">
                  <c:v>-0.61636670000000027</c:v>
                </c:pt>
                <c:pt idx="16">
                  <c:v>-1.295519840000001</c:v>
                </c:pt>
                <c:pt idx="17">
                  <c:v>-2.16139108</c:v>
                </c:pt>
                <c:pt idx="18">
                  <c:v>-3.0272623200000019</c:v>
                </c:pt>
                <c:pt idx="19">
                  <c:v>-3.8931335600000012</c:v>
                </c:pt>
                <c:pt idx="20">
                  <c:v>-4.0780960000000004</c:v>
                </c:pt>
                <c:pt idx="21">
                  <c:v>-4.0587857999999999</c:v>
                </c:pt>
                <c:pt idx="22">
                  <c:v>-4.0394756000000003</c:v>
                </c:pt>
                <c:pt idx="23">
                  <c:v>-4.0201653999999998</c:v>
                </c:pt>
                <c:pt idx="24">
                  <c:v>-3.6516768000000011</c:v>
                </c:pt>
                <c:pt idx="25">
                  <c:v>-3.2540900000000001</c:v>
                </c:pt>
                <c:pt idx="26">
                  <c:v>-2.856503200000001</c:v>
                </c:pt>
                <c:pt idx="27">
                  <c:v>-2.417662599999999</c:v>
                </c:pt>
                <c:pt idx="28">
                  <c:v>-1.4837764</c:v>
                </c:pt>
                <c:pt idx="29">
                  <c:v>-0.54989019999999811</c:v>
                </c:pt>
                <c:pt idx="30">
                  <c:v>0.38399600000000073</c:v>
                </c:pt>
                <c:pt idx="31">
                  <c:v>1.367465000000003</c:v>
                </c:pt>
                <c:pt idx="32">
                  <c:v>2.5162100000000018</c:v>
                </c:pt>
                <c:pt idx="33">
                  <c:v>3.6649550000000048</c:v>
                </c:pt>
                <c:pt idx="34">
                  <c:v>4.813699999999999</c:v>
                </c:pt>
                <c:pt idx="35">
                  <c:v>5.9986380000000006</c:v>
                </c:pt>
                <c:pt idx="36">
                  <c:v>7.2414848000000047</c:v>
                </c:pt>
                <c:pt idx="37">
                  <c:v>8.484331600000008</c:v>
                </c:pt>
                <c:pt idx="38">
                  <c:v>9.7271784000000032</c:v>
                </c:pt>
                <c:pt idx="39">
                  <c:v>11.137090000000009</c:v>
                </c:pt>
                <c:pt idx="40">
                  <c:v>12.69020000000001</c:v>
                </c:pt>
                <c:pt idx="41">
                  <c:v>14.243309999999999</c:v>
                </c:pt>
                <c:pt idx="42">
                  <c:v>15.796419999999999</c:v>
                </c:pt>
                <c:pt idx="43">
                  <c:v>17.190122000000009</c:v>
                </c:pt>
                <c:pt idx="44">
                  <c:v>18.512976000000009</c:v>
                </c:pt>
                <c:pt idx="45">
                  <c:v>19.835830000000001</c:v>
                </c:pt>
                <c:pt idx="46">
                  <c:v>21.158684000000001</c:v>
                </c:pt>
                <c:pt idx="47">
                  <c:v>22.126854000000002</c:v>
                </c:pt>
                <c:pt idx="48">
                  <c:v>23.030536000000001</c:v>
                </c:pt>
                <c:pt idx="49">
                  <c:v>23.934218000000001</c:v>
                </c:pt>
                <c:pt idx="50">
                  <c:v>24.837900000000001</c:v>
                </c:pt>
                <c:pt idx="51">
                  <c:v>25.384706000000001</c:v>
                </c:pt>
                <c:pt idx="52">
                  <c:v>25.931512000000001</c:v>
                </c:pt>
                <c:pt idx="53">
                  <c:v>26.478318000000002</c:v>
                </c:pt>
                <c:pt idx="54">
                  <c:v>26.956084000000001</c:v>
                </c:pt>
                <c:pt idx="55">
                  <c:v>27.054130000000001</c:v>
                </c:pt>
                <c:pt idx="56">
                  <c:v>27.152176000000001</c:v>
                </c:pt>
                <c:pt idx="57">
                  <c:v>27.250222000000001</c:v>
                </c:pt>
                <c:pt idx="58">
                  <c:v>27.182348000000001</c:v>
                </c:pt>
                <c:pt idx="59">
                  <c:v>26.741154000000002</c:v>
                </c:pt>
                <c:pt idx="60">
                  <c:v>26.299959999999999</c:v>
                </c:pt>
                <c:pt idx="61">
                  <c:v>25.858765999999999</c:v>
                </c:pt>
                <c:pt idx="62">
                  <c:v>25.094855999999989</c:v>
                </c:pt>
                <c:pt idx="63">
                  <c:v>23.954443999999999</c:v>
                </c:pt>
                <c:pt idx="64">
                  <c:v>22.814032000000001</c:v>
                </c:pt>
                <c:pt idx="65">
                  <c:v>21.67362</c:v>
                </c:pt>
                <c:pt idx="66">
                  <c:v>20.237383999999992</c:v>
                </c:pt>
                <c:pt idx="67">
                  <c:v>18.616257999999991</c:v>
                </c:pt>
                <c:pt idx="68">
                  <c:v>16.995132000000002</c:v>
                </c:pt>
                <c:pt idx="69">
                  <c:v>15.374005999999991</c:v>
                </c:pt>
                <c:pt idx="70">
                  <c:v>13.507704</c:v>
                </c:pt>
                <c:pt idx="71">
                  <c:v>11.56784919999998</c:v>
                </c:pt>
                <c:pt idx="72">
                  <c:v>9.6279943999999862</c:v>
                </c:pt>
                <c:pt idx="73">
                  <c:v>7.6881395999999951</c:v>
                </c:pt>
                <c:pt idx="74">
                  <c:v>5.8626577599999781</c:v>
                </c:pt>
                <c:pt idx="75">
                  <c:v>4.0467069999999872</c:v>
                </c:pt>
                <c:pt idx="76">
                  <c:v>2.2307562399999958</c:v>
                </c:pt>
                <c:pt idx="77">
                  <c:v>0.48095931999998881</c:v>
                </c:pt>
                <c:pt idx="78">
                  <c:v>-0.47499152000000661</c:v>
                </c:pt>
                <c:pt idx="79">
                  <c:v>-1.430942360000002</c:v>
                </c:pt>
                <c:pt idx="80">
                  <c:v>-2.3868932000000109</c:v>
                </c:pt>
                <c:pt idx="81">
                  <c:v>-3.0863707999999992</c:v>
                </c:pt>
                <c:pt idx="82">
                  <c:v>-2.9309376</c:v>
                </c:pt>
                <c:pt idx="83">
                  <c:v>-2.7755043999999982</c:v>
                </c:pt>
                <c:pt idx="84">
                  <c:v>-2.620071199999999</c:v>
                </c:pt>
                <c:pt idx="85">
                  <c:v>-2.3760289999999942</c:v>
                </c:pt>
                <c:pt idx="86">
                  <c:v>-1.9902123999999961</c:v>
                </c:pt>
                <c:pt idx="87">
                  <c:v>-1.604395799999998</c:v>
                </c:pt>
                <c:pt idx="88">
                  <c:v>-1.218579199999994</c:v>
                </c:pt>
                <c:pt idx="89">
                  <c:v>-0.95158115999999859</c:v>
                </c:pt>
                <c:pt idx="90">
                  <c:v>-0.78642760000000012</c:v>
                </c:pt>
                <c:pt idx="91">
                  <c:v>-0.62127403999999908</c:v>
                </c:pt>
                <c:pt idx="92">
                  <c:v>-0.45612048000000049</c:v>
                </c:pt>
                <c:pt idx="93">
                  <c:v>-0.33138372940000088</c:v>
                </c:pt>
                <c:pt idx="94">
                  <c:v>-0.22461000519999991</c:v>
                </c:pt>
                <c:pt idx="95">
                  <c:v>-0.1178362810000005</c:v>
                </c:pt>
                <c:pt idx="96">
                  <c:v>-1.1062556800001009E-2</c:v>
                </c:pt>
                <c:pt idx="97">
                  <c:v>0.31076065260000008</c:v>
                </c:pt>
                <c:pt idx="98">
                  <c:v>0.67168376839999833</c:v>
                </c:pt>
                <c:pt idx="99">
                  <c:v>1.032606884200002</c:v>
                </c:pt>
                <c:pt idx="100">
                  <c:v>1.3935299999999999</c:v>
                </c:pt>
              </c:numCache>
            </c:numRef>
          </c:yVal>
          <c:smooth val="1"/>
          <c:extLst>
            <c:ext xmlns:c16="http://schemas.microsoft.com/office/drawing/2014/chart" uri="{C3380CC4-5D6E-409C-BE32-E72D297353CC}">
              <c16:uniqueId val="{00000001-613B-414E-AC70-1A1ED57EA72F}"/>
            </c:ext>
          </c:extLst>
        </c:ser>
        <c:ser>
          <c:idx val="2"/>
          <c:order val="5"/>
          <c:tx>
            <c:v>Left 2</c:v>
          </c:tx>
          <c:spPr>
            <a:ln w="19050">
              <a:solidFill>
                <a:srgbClr val="FF0000"/>
              </a:solidFill>
            </a:ln>
          </c:spPr>
          <c:marker>
            <c:symbol val="none"/>
          </c:marker>
          <c:xVal>
            <c:numRef>
              <c:f>'Left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2 Kin'!$AP$2:$AP$102</c:f>
              <c:numCache>
                <c:formatCode>General</c:formatCode>
                <c:ptCount val="101"/>
                <c:pt idx="0">
                  <c:v>-5.0883700000000003</c:v>
                </c:pt>
                <c:pt idx="1">
                  <c:v>-4.1890587999999997</c:v>
                </c:pt>
                <c:pt idx="2">
                  <c:v>-3.2897476000000001</c:v>
                </c:pt>
                <c:pt idx="3">
                  <c:v>-2.3904364</c:v>
                </c:pt>
                <c:pt idx="4">
                  <c:v>-1.4911251999999999</c:v>
                </c:pt>
                <c:pt idx="5">
                  <c:v>-0.88507699999999989</c:v>
                </c:pt>
                <c:pt idx="6">
                  <c:v>-0.33768140000000041</c:v>
                </c:pt>
                <c:pt idx="7">
                  <c:v>0.20971419999999991</c:v>
                </c:pt>
                <c:pt idx="8">
                  <c:v>0.75710979999999983</c:v>
                </c:pt>
                <c:pt idx="9">
                  <c:v>0.63746427999999988</c:v>
                </c:pt>
                <c:pt idx="10">
                  <c:v>0.18429819999999991</c:v>
                </c:pt>
                <c:pt idx="11">
                  <c:v>-0.26886788000000039</c:v>
                </c:pt>
                <c:pt idx="12">
                  <c:v>-0.72203395999999964</c:v>
                </c:pt>
                <c:pt idx="13">
                  <c:v>-0.99468895999999996</c:v>
                </c:pt>
                <c:pt idx="14">
                  <c:v>-1.08683288</c:v>
                </c:pt>
                <c:pt idx="15">
                  <c:v>-1.1789768</c:v>
                </c:pt>
                <c:pt idx="16">
                  <c:v>-1.2711207200000001</c:v>
                </c:pt>
                <c:pt idx="17">
                  <c:v>-1.221297488</c:v>
                </c:pt>
                <c:pt idx="18">
                  <c:v>-0.8875399519999998</c:v>
                </c:pt>
                <c:pt idx="19">
                  <c:v>-0.55378241600000033</c:v>
                </c:pt>
                <c:pt idx="20">
                  <c:v>-0.22002487999999981</c:v>
                </c:pt>
                <c:pt idx="21">
                  <c:v>0.18486014399999931</c:v>
                </c:pt>
                <c:pt idx="22">
                  <c:v>0.94538260800000073</c:v>
                </c:pt>
                <c:pt idx="23">
                  <c:v>1.705905072</c:v>
                </c:pt>
                <c:pt idx="24">
                  <c:v>2.466427535999999</c:v>
                </c:pt>
                <c:pt idx="25">
                  <c:v>3.22695</c:v>
                </c:pt>
                <c:pt idx="26">
                  <c:v>4.2805259999999983</c:v>
                </c:pt>
                <c:pt idx="27">
                  <c:v>5.3341020000000006</c:v>
                </c:pt>
                <c:pt idx="28">
                  <c:v>6.3876779999999993</c:v>
                </c:pt>
                <c:pt idx="29">
                  <c:v>7.4412540000000007</c:v>
                </c:pt>
                <c:pt idx="30">
                  <c:v>8.4571799999999993</c:v>
                </c:pt>
                <c:pt idx="31">
                  <c:v>9.4655760000000022</c:v>
                </c:pt>
                <c:pt idx="32">
                  <c:v>10.473972</c:v>
                </c:pt>
                <c:pt idx="33">
                  <c:v>11.482367999999999</c:v>
                </c:pt>
                <c:pt idx="34">
                  <c:v>12.640644</c:v>
                </c:pt>
                <c:pt idx="35">
                  <c:v>13.873860000000001</c:v>
                </c:pt>
                <c:pt idx="36">
                  <c:v>15.107075999999999</c:v>
                </c:pt>
                <c:pt idx="37">
                  <c:v>16.340292000000009</c:v>
                </c:pt>
                <c:pt idx="38">
                  <c:v>17.603652</c:v>
                </c:pt>
                <c:pt idx="39">
                  <c:v>18.897155999999999</c:v>
                </c:pt>
                <c:pt idx="40">
                  <c:v>20.190660000000001</c:v>
                </c:pt>
                <c:pt idx="41">
                  <c:v>21.484163999999989</c:v>
                </c:pt>
                <c:pt idx="42">
                  <c:v>22.611436000000001</c:v>
                </c:pt>
                <c:pt idx="43">
                  <c:v>23.406244000000001</c:v>
                </c:pt>
                <c:pt idx="44">
                  <c:v>24.201052000000001</c:v>
                </c:pt>
                <c:pt idx="45">
                  <c:v>24.99586</c:v>
                </c:pt>
                <c:pt idx="46">
                  <c:v>25.717656000000002</c:v>
                </c:pt>
                <c:pt idx="47">
                  <c:v>26.074392</c:v>
                </c:pt>
                <c:pt idx="48">
                  <c:v>26.431128000000001</c:v>
                </c:pt>
                <c:pt idx="49">
                  <c:v>26.787863999999999</c:v>
                </c:pt>
                <c:pt idx="50">
                  <c:v>27.144600000000001</c:v>
                </c:pt>
                <c:pt idx="51">
                  <c:v>27.015792000000001</c:v>
                </c:pt>
                <c:pt idx="52">
                  <c:v>26.886984000000002</c:v>
                </c:pt>
                <c:pt idx="53">
                  <c:v>26.758175999999999</c:v>
                </c:pt>
                <c:pt idx="54">
                  <c:v>26.629367999999999</c:v>
                </c:pt>
                <c:pt idx="55">
                  <c:v>26.065899999999999</c:v>
                </c:pt>
                <c:pt idx="56">
                  <c:v>25.415500000000002</c:v>
                </c:pt>
                <c:pt idx="57">
                  <c:v>24.7651</c:v>
                </c:pt>
                <c:pt idx="58">
                  <c:v>24.114699999999999</c:v>
                </c:pt>
                <c:pt idx="59">
                  <c:v>23.150652000000001</c:v>
                </c:pt>
                <c:pt idx="60">
                  <c:v>22.029779999999999</c:v>
                </c:pt>
                <c:pt idx="61">
                  <c:v>20.908908</c:v>
                </c:pt>
                <c:pt idx="62">
                  <c:v>19.788036000000002</c:v>
                </c:pt>
                <c:pt idx="63">
                  <c:v>18.481127999999998</c:v>
                </c:pt>
                <c:pt idx="64">
                  <c:v>16.988184</c:v>
                </c:pt>
                <c:pt idx="65">
                  <c:v>15.49524000000001</c:v>
                </c:pt>
                <c:pt idx="66">
                  <c:v>14.002295999999991</c:v>
                </c:pt>
                <c:pt idx="67">
                  <c:v>12.5138616</c:v>
                </c:pt>
                <c:pt idx="68">
                  <c:v>11.034446400000011</c:v>
                </c:pt>
                <c:pt idx="69">
                  <c:v>9.5550311999999966</c:v>
                </c:pt>
                <c:pt idx="70">
                  <c:v>8.0756160000000037</c:v>
                </c:pt>
                <c:pt idx="71">
                  <c:v>6.6628891999999933</c:v>
                </c:pt>
                <c:pt idx="72">
                  <c:v>5.5836043999999987</c:v>
                </c:pt>
                <c:pt idx="73">
                  <c:v>4.5043196000000041</c:v>
                </c:pt>
                <c:pt idx="74">
                  <c:v>3.4250347999999939</c:v>
                </c:pt>
                <c:pt idx="75">
                  <c:v>2.3457499999999998</c:v>
                </c:pt>
                <c:pt idx="76">
                  <c:v>1.6234920800000039</c:v>
                </c:pt>
                <c:pt idx="77">
                  <c:v>0.9012341599999969</c:v>
                </c:pt>
                <c:pt idx="78">
                  <c:v>0.17897624000000081</c:v>
                </c:pt>
                <c:pt idx="79">
                  <c:v>-0.54328167999999533</c:v>
                </c:pt>
                <c:pt idx="80">
                  <c:v>-0.86769840000000065</c:v>
                </c:pt>
                <c:pt idx="81">
                  <c:v>-1.1125468799999989</c:v>
                </c:pt>
                <c:pt idx="82">
                  <c:v>-1.3573953599999979</c:v>
                </c:pt>
                <c:pt idx="83">
                  <c:v>-1.6022438400000001</c:v>
                </c:pt>
                <c:pt idx="84">
                  <c:v>-1.5963000000000001</c:v>
                </c:pt>
                <c:pt idx="85">
                  <c:v>-1.4649599999999989</c:v>
                </c:pt>
                <c:pt idx="86">
                  <c:v>-1.33362</c:v>
                </c:pt>
                <c:pt idx="87">
                  <c:v>-1.20228</c:v>
                </c:pt>
                <c:pt idx="88">
                  <c:v>-1.0701965999999989</c:v>
                </c:pt>
                <c:pt idx="89">
                  <c:v>-0.93736980000000003</c:v>
                </c:pt>
                <c:pt idx="90">
                  <c:v>-0.80454300000000067</c:v>
                </c:pt>
                <c:pt idx="91">
                  <c:v>-0.67171619999999954</c:v>
                </c:pt>
                <c:pt idx="92">
                  <c:v>-0.54824412000000022</c:v>
                </c:pt>
                <c:pt idx="93">
                  <c:v>-0.44348148000000082</c:v>
                </c:pt>
                <c:pt idx="94">
                  <c:v>-0.3387188399999998</c:v>
                </c:pt>
                <c:pt idx="95">
                  <c:v>-0.23395620000000031</c:v>
                </c:pt>
                <c:pt idx="96">
                  <c:v>-0.1224420400000012</c:v>
                </c:pt>
                <c:pt idx="97">
                  <c:v>2.2829720000000161E-2</c:v>
                </c:pt>
                <c:pt idx="98">
                  <c:v>0.16810147999999939</c:v>
                </c:pt>
                <c:pt idx="99">
                  <c:v>0.31337324000000077</c:v>
                </c:pt>
                <c:pt idx="100">
                  <c:v>0.45864500000000002</c:v>
                </c:pt>
              </c:numCache>
            </c:numRef>
          </c:yVal>
          <c:smooth val="1"/>
          <c:extLst>
            <c:ext xmlns:c16="http://schemas.microsoft.com/office/drawing/2014/chart" uri="{C3380CC4-5D6E-409C-BE32-E72D297353CC}">
              <c16:uniqueId val="{00000000-613B-414E-AC70-1A1ED57EA72F}"/>
            </c:ext>
          </c:extLst>
        </c:ser>
        <c:ser>
          <c:idx val="0"/>
          <c:order val="6"/>
          <c:tx>
            <c:v>Left 1</c:v>
          </c:tx>
          <c:spPr>
            <a:ln w="19050">
              <a:solidFill>
                <a:srgbClr val="FF0000"/>
              </a:solidFill>
            </a:ln>
          </c:spPr>
          <c:marker>
            <c:symbol val="none"/>
          </c:marker>
          <c:xVal>
            <c:numRef>
              <c:f>'Left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1 Kin'!$AP$2:$AP$102</c:f>
              <c:numCache>
                <c:formatCode>General</c:formatCode>
                <c:ptCount val="101"/>
                <c:pt idx="0">
                  <c:v>2.89439</c:v>
                </c:pt>
                <c:pt idx="1">
                  <c:v>2.7517374999999999</c:v>
                </c:pt>
                <c:pt idx="2">
                  <c:v>2.6090849999999999</c:v>
                </c:pt>
                <c:pt idx="3">
                  <c:v>2.4664324999999998</c:v>
                </c:pt>
                <c:pt idx="4">
                  <c:v>2.3237800000000002</c:v>
                </c:pt>
                <c:pt idx="5">
                  <c:v>2.2482275</c:v>
                </c:pt>
                <c:pt idx="6">
                  <c:v>2.1726749999999999</c:v>
                </c:pt>
                <c:pt idx="7">
                  <c:v>2.0971224999999998</c:v>
                </c:pt>
                <c:pt idx="8">
                  <c:v>2.0215700000000001</c:v>
                </c:pt>
                <c:pt idx="9">
                  <c:v>1.5161775</c:v>
                </c:pt>
                <c:pt idx="10">
                  <c:v>1.010785</c:v>
                </c:pt>
                <c:pt idx="11">
                  <c:v>0.50539249999999947</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-1.0136775000000069</c:v>
                </c:pt>
                <c:pt idx="78">
                  <c:v>-2.027355</c:v>
                </c:pt>
                <c:pt idx="79">
                  <c:v>-3.041032499999992</c:v>
                </c:pt>
                <c:pt idx="80">
                  <c:v>-4.05471</c:v>
                </c:pt>
                <c:pt idx="81">
                  <c:v>-3.9457125</c:v>
                </c:pt>
                <c:pt idx="82">
                  <c:v>-3.8367150000000012</c:v>
                </c:pt>
                <c:pt idx="83">
                  <c:v>-3.7277174999999998</c:v>
                </c:pt>
                <c:pt idx="84">
                  <c:v>-3.6187200000000002</c:v>
                </c:pt>
                <c:pt idx="85">
                  <c:v>-2.714039999999994</c:v>
                </c:pt>
                <c:pt idx="86">
                  <c:v>-1.8093600000000001</c:v>
                </c:pt>
                <c:pt idx="87">
                  <c:v>-0.90468000000000659</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1"/>
          <c:extLst>
            <c:ext xmlns:c16="http://schemas.microsoft.com/office/drawing/2014/chart" uri="{C3380CC4-5D6E-409C-BE32-E72D297353CC}">
              <c16:uniqueId val="{00000000-B10A-4E49-B2C3-AD7477D76D34}"/>
            </c:ext>
          </c:extLst>
        </c:ser>
        <c:dLbls>
          <c:showLegendKey val="0"/>
          <c:showVal val="0"/>
          <c:showCatName val="0"/>
          <c:showSerName val="0"/>
          <c:showPercent val="0"/>
          <c:showBubbleSize val="0"/>
        </c:dLbls>
        <c:axId val="90982272"/>
        <c:axId val="90983808"/>
      </c:scatterChart>
      <c:valAx>
        <c:axId val="90982272"/>
        <c:scaling>
          <c:orientation val="minMax"/>
          <c:max val="100"/>
        </c:scaling>
        <c:delete val="0"/>
        <c:axPos val="b"/>
        <c:numFmt formatCode="General" sourceLinked="1"/>
        <c:majorTickMark val="out"/>
        <c:minorTickMark val="none"/>
        <c:tickLblPos val="nextTo"/>
        <c:txPr>
          <a:bodyPr/>
          <a:lstStyle/>
          <a:p>
            <a:pPr>
              <a:defRPr lang="en-US" sz="800"/>
            </a:pPr>
            <a:endParaRPr lang="en-US"/>
          </a:p>
        </c:txPr>
        <c:crossAx val="90983808"/>
        <c:crosses val="autoZero"/>
        <c:crossBetween val="midCat"/>
        <c:majorUnit val="20"/>
      </c:valAx>
      <c:valAx>
        <c:axId val="90983808"/>
        <c:scaling>
          <c:orientation val="minMax"/>
        </c:scaling>
        <c:delete val="0"/>
        <c:axPos val="l"/>
        <c:title>
          <c:tx>
            <c:rich>
              <a:bodyPr rot="-5400000" vert="horz"/>
              <a:lstStyle/>
              <a:p>
                <a:pPr>
                  <a:defRPr lang="en-AU" sz="900"/>
                </a:pPr>
                <a:r>
                  <a:rPr lang="en-US" sz="900"/>
                  <a:t>Power (W/kg)</a:t>
                </a:r>
              </a:p>
            </c:rich>
          </c:tx>
          <c:layout>
            <c:manualLayout>
              <c:xMode val="edge"/>
              <c:yMode val="edge"/>
              <c:x val="6.1702551325188921E-3"/>
              <c:y val="0.32694305948250502"/>
            </c:manualLayout>
          </c:layout>
          <c:overlay val="0"/>
        </c:title>
        <c:numFmt formatCode="0" sourceLinked="0"/>
        <c:majorTickMark val="out"/>
        <c:minorTickMark val="none"/>
        <c:tickLblPos val="nextTo"/>
        <c:txPr>
          <a:bodyPr/>
          <a:lstStyle/>
          <a:p>
            <a:pPr>
              <a:defRPr lang="en-US" sz="800"/>
            </a:pPr>
            <a:endParaRPr lang="en-US"/>
          </a:p>
        </c:txPr>
        <c:crossAx val="90982272"/>
        <c:crosses val="autoZero"/>
        <c:crossBetween val="midCat"/>
      </c:valAx>
    </c:plotArea>
    <c:plotVisOnly val="1"/>
    <c:dispBlanksAs val="gap"/>
    <c:showDLblsOverMax val="0"/>
  </c:chart>
  <c:printSettings>
    <c:headerFooter/>
    <c:pageMargins b="0.75000000000001421" l="0.70000000000000095" r="0.70000000000000095" t="0.75000000000001421" header="0.3000000000000001" footer="0.3000000000000001"/>
    <c:pageSetup/>
  </c:printSettings>
  <c:userShapes r:id="rId1"/>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US" sz="1200"/>
            </a:pPr>
            <a:r>
              <a:rPr lang="en-US" sz="1200"/>
              <a:t>Hip Power</a:t>
            </a:r>
          </a:p>
        </c:rich>
      </c:tx>
      <c:overlay val="0"/>
    </c:title>
    <c:autoTitleDeleted val="0"/>
    <c:plotArea>
      <c:layout>
        <c:manualLayout>
          <c:layoutTarget val="inner"/>
          <c:xMode val="edge"/>
          <c:yMode val="edge"/>
          <c:x val="0.1181803117983746"/>
          <c:y val="4.0281580552122782E-2"/>
          <c:w val="0.84221155488094124"/>
          <c:h val="0.92202029974229172"/>
        </c:manualLayout>
      </c:layout>
      <c:scatterChart>
        <c:scatterStyle val="smoothMarker"/>
        <c:varyColors val="0"/>
        <c:ser>
          <c:idx val="1"/>
          <c:order val="0"/>
          <c:tx>
            <c:v>Normative</c:v>
          </c:tx>
          <c:spPr>
            <a:ln>
              <a:solidFill>
                <a:schemeClr val="tx1"/>
              </a:solidFill>
            </a:ln>
          </c:spPr>
          <c:marker>
            <c:symbol val="none"/>
          </c:marker>
          <c:xVal>
            <c:numRef>
              <c:f>Normative!$A$2:$A$102</c:f>
              <c:numCache>
                <c:formatCode>General</c:formatCode>
                <c:ptCount val="101"/>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numCache>
            </c:numRef>
          </c:xVal>
          <c:yVal>
            <c:numRef>
              <c:f>Normative!$AL$2:$AL$102</c:f>
              <c:numCache>
                <c:formatCode>General</c:formatCode>
                <c:ptCount val="101"/>
                <c:pt idx="0">
                  <c:v>20.11882722</c:v>
                </c:pt>
                <c:pt idx="1">
                  <c:v>20.11882722</c:v>
                </c:pt>
                <c:pt idx="2">
                  <c:v>19.405804223333334</c:v>
                </c:pt>
                <c:pt idx="3">
                  <c:v>18.382966223333334</c:v>
                </c:pt>
                <c:pt idx="4">
                  <c:v>13.18905953</c:v>
                </c:pt>
                <c:pt idx="5">
                  <c:v>11.16302189</c:v>
                </c:pt>
                <c:pt idx="6">
                  <c:v>4.1400540233333336</c:v>
                </c:pt>
                <c:pt idx="7">
                  <c:v>2.3166451066666673</c:v>
                </c:pt>
                <c:pt idx="8">
                  <c:v>2.1952317199999998</c:v>
                </c:pt>
                <c:pt idx="9">
                  <c:v>2.9725952100000006</c:v>
                </c:pt>
                <c:pt idx="10">
                  <c:v>5.0853667099999997</c:v>
                </c:pt>
                <c:pt idx="11">
                  <c:v>6.2508664766666673</c:v>
                </c:pt>
                <c:pt idx="12">
                  <c:v>9.1726296933333327</c:v>
                </c:pt>
                <c:pt idx="13">
                  <c:v>8.3124514699999992</c:v>
                </c:pt>
                <c:pt idx="14">
                  <c:v>11.315568513333334</c:v>
                </c:pt>
                <c:pt idx="15">
                  <c:v>9.4677185700000006</c:v>
                </c:pt>
                <c:pt idx="16">
                  <c:v>11.526099046666667</c:v>
                </c:pt>
                <c:pt idx="17">
                  <c:v>10.998807600000001</c:v>
                </c:pt>
                <c:pt idx="18">
                  <c:v>12.510881309999998</c:v>
                </c:pt>
                <c:pt idx="19">
                  <c:v>13.794852800000001</c:v>
                </c:pt>
                <c:pt idx="20">
                  <c:v>12.36088578</c:v>
                </c:pt>
                <c:pt idx="21">
                  <c:v>12.427332140000001</c:v>
                </c:pt>
                <c:pt idx="22">
                  <c:v>10.616820996666666</c:v>
                </c:pt>
                <c:pt idx="23">
                  <c:v>8.6500858033333348</c:v>
                </c:pt>
                <c:pt idx="24">
                  <c:v>6.9702111266666664</c:v>
                </c:pt>
                <c:pt idx="25">
                  <c:v>1.9413170533333333</c:v>
                </c:pt>
                <c:pt idx="26">
                  <c:v>-2.8135367599999999</c:v>
                </c:pt>
                <c:pt idx="27">
                  <c:v>-6.0355014333333328</c:v>
                </c:pt>
                <c:pt idx="28">
                  <c:v>-8.6751020200000006</c:v>
                </c:pt>
                <c:pt idx="29">
                  <c:v>-13.359560343333333</c:v>
                </c:pt>
                <c:pt idx="30">
                  <c:v>-15.489673693333334</c:v>
                </c:pt>
                <c:pt idx="31">
                  <c:v>-19.58541589</c:v>
                </c:pt>
                <c:pt idx="32">
                  <c:v>-20.886575830000002</c:v>
                </c:pt>
                <c:pt idx="33">
                  <c:v>-23.74077711</c:v>
                </c:pt>
                <c:pt idx="34">
                  <c:v>-25.010556786666665</c:v>
                </c:pt>
                <c:pt idx="35">
                  <c:v>-25.091071626666668</c:v>
                </c:pt>
                <c:pt idx="36">
                  <c:v>-25.604857286666668</c:v>
                </c:pt>
                <c:pt idx="37">
                  <c:v>-23.765224473333337</c:v>
                </c:pt>
                <c:pt idx="38">
                  <c:v>-22.972918319999998</c:v>
                </c:pt>
                <c:pt idx="39">
                  <c:v>-21.191334730000001</c:v>
                </c:pt>
                <c:pt idx="40">
                  <c:v>-19.628886163333334</c:v>
                </c:pt>
                <c:pt idx="41">
                  <c:v>-17.817249753333328</c:v>
                </c:pt>
                <c:pt idx="42">
                  <c:v>-15.948378713333335</c:v>
                </c:pt>
                <c:pt idx="43">
                  <c:v>-13.906020086666667</c:v>
                </c:pt>
                <c:pt idx="44">
                  <c:v>-12.666277170000001</c:v>
                </c:pt>
                <c:pt idx="45">
                  <c:v>-10.776203026666668</c:v>
                </c:pt>
                <c:pt idx="46">
                  <c:v>-10.167228276666668</c:v>
                </c:pt>
                <c:pt idx="47">
                  <c:v>-8.7540131199999998</c:v>
                </c:pt>
                <c:pt idx="48">
                  <c:v>-8.5095340200000003</c:v>
                </c:pt>
                <c:pt idx="49">
                  <c:v>-6.7450958833333328</c:v>
                </c:pt>
                <c:pt idx="50">
                  <c:v>0</c:v>
                </c:pt>
              </c:numCache>
            </c:numRef>
          </c:yVal>
          <c:smooth val="1"/>
          <c:extLst>
            <c:ext xmlns:c16="http://schemas.microsoft.com/office/drawing/2014/chart" uri="{C3380CC4-5D6E-409C-BE32-E72D297353CC}">
              <c16:uniqueId val="{00000000-CE86-4553-855B-439B46BCAF9F}"/>
            </c:ext>
          </c:extLst>
        </c:ser>
        <c:ser>
          <c:idx val="6"/>
          <c:order val="1"/>
          <c:tx>
            <c:v>Right 3</c:v>
          </c:tx>
          <c:spPr>
            <a:ln w="19050">
              <a:solidFill>
                <a:srgbClr val="00B050"/>
              </a:solidFill>
            </a:ln>
          </c:spPr>
          <c:marker>
            <c:symbol val="none"/>
          </c:marker>
          <c:xVal>
            <c:numRef>
              <c:f>'Right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3 Kin'!$AL$2:$AL$102</c:f>
              <c:numCache>
                <c:formatCode>General</c:formatCode>
                <c:ptCount val="101"/>
                <c:pt idx="0">
                  <c:v>29.312100000000001</c:v>
                </c:pt>
                <c:pt idx="1">
                  <c:v>27.349489999999999</c:v>
                </c:pt>
                <c:pt idx="2">
                  <c:v>25.386880000000001</c:v>
                </c:pt>
                <c:pt idx="3">
                  <c:v>23.42427</c:v>
                </c:pt>
                <c:pt idx="4">
                  <c:v>22.113479999999999</c:v>
                </c:pt>
                <c:pt idx="5">
                  <c:v>24.387699999999999</c:v>
                </c:pt>
                <c:pt idx="6">
                  <c:v>26.661919999999999</c:v>
                </c:pt>
                <c:pt idx="7">
                  <c:v>28.936140000000002</c:v>
                </c:pt>
                <c:pt idx="8">
                  <c:v>30.875544000000001</c:v>
                </c:pt>
                <c:pt idx="9">
                  <c:v>32.061611999999997</c:v>
                </c:pt>
                <c:pt idx="10">
                  <c:v>33.247680000000003</c:v>
                </c:pt>
                <c:pt idx="11">
                  <c:v>34.433748000000001</c:v>
                </c:pt>
                <c:pt idx="12">
                  <c:v>34.644360000000013</c:v>
                </c:pt>
                <c:pt idx="13">
                  <c:v>33.716940000000001</c:v>
                </c:pt>
                <c:pt idx="14">
                  <c:v>32.789520000000003</c:v>
                </c:pt>
                <c:pt idx="15">
                  <c:v>31.862100000000002</c:v>
                </c:pt>
                <c:pt idx="16">
                  <c:v>31.87668</c:v>
                </c:pt>
                <c:pt idx="17">
                  <c:v>32.48001</c:v>
                </c:pt>
                <c:pt idx="18">
                  <c:v>33.08334</c:v>
                </c:pt>
                <c:pt idx="19">
                  <c:v>33.686669999999999</c:v>
                </c:pt>
                <c:pt idx="20">
                  <c:v>33.869879999999988</c:v>
                </c:pt>
                <c:pt idx="21">
                  <c:v>33.927053999999998</c:v>
                </c:pt>
                <c:pt idx="22">
                  <c:v>33.984228000000002</c:v>
                </c:pt>
                <c:pt idx="23">
                  <c:v>34.041401999999998</c:v>
                </c:pt>
                <c:pt idx="24">
                  <c:v>32.521535999999998</c:v>
                </c:pt>
                <c:pt idx="25">
                  <c:v>30.870249999999999</c:v>
                </c:pt>
                <c:pt idx="26">
                  <c:v>29.218964</c:v>
                </c:pt>
                <c:pt idx="27">
                  <c:v>27.588874000000001</c:v>
                </c:pt>
                <c:pt idx="28">
                  <c:v>26.213135999999999</c:v>
                </c:pt>
                <c:pt idx="29">
                  <c:v>24.837398</c:v>
                </c:pt>
                <c:pt idx="30">
                  <c:v>23.461659999999998</c:v>
                </c:pt>
                <c:pt idx="31">
                  <c:v>21.937775999999999</c:v>
                </c:pt>
                <c:pt idx="32">
                  <c:v>19.920072000000001</c:v>
                </c:pt>
                <c:pt idx="33">
                  <c:v>17.902367999999989</c:v>
                </c:pt>
                <c:pt idx="34">
                  <c:v>15.884664000000001</c:v>
                </c:pt>
                <c:pt idx="35">
                  <c:v>13.299135</c:v>
                </c:pt>
                <c:pt idx="36">
                  <c:v>9.8050859999999886</c:v>
                </c:pt>
                <c:pt idx="37">
                  <c:v>6.3110369999999794</c:v>
                </c:pt>
                <c:pt idx="38">
                  <c:v>2.8169879999999972</c:v>
                </c:pt>
                <c:pt idx="39">
                  <c:v>-1.2287870000000161</c:v>
                </c:pt>
                <c:pt idx="40">
                  <c:v>-5.7474700000000274</c:v>
                </c:pt>
                <c:pt idx="41">
                  <c:v>-10.266152999999999</c:v>
                </c:pt>
                <c:pt idx="42">
                  <c:v>-14.784836000000009</c:v>
                </c:pt>
                <c:pt idx="43">
                  <c:v>-18.517900000000019</c:v>
                </c:pt>
                <c:pt idx="44">
                  <c:v>-21.901800000000019</c:v>
                </c:pt>
                <c:pt idx="45">
                  <c:v>-25.285699999999991</c:v>
                </c:pt>
                <c:pt idx="46">
                  <c:v>-28.669599999999999</c:v>
                </c:pt>
                <c:pt idx="47">
                  <c:v>-30.719837999999999</c:v>
                </c:pt>
                <c:pt idx="48">
                  <c:v>-32.527591999999991</c:v>
                </c:pt>
                <c:pt idx="49">
                  <c:v>-34.335345999999987</c:v>
                </c:pt>
                <c:pt idx="50">
                  <c:v>-36.143099999999997</c:v>
                </c:pt>
                <c:pt idx="51">
                  <c:v>-37.202522000000002</c:v>
                </c:pt>
                <c:pt idx="52">
                  <c:v>-38.261943999999993</c:v>
                </c:pt>
                <c:pt idx="53">
                  <c:v>-39.321365999999998</c:v>
                </c:pt>
                <c:pt idx="54">
                  <c:v>-40.306663999999998</c:v>
                </c:pt>
                <c:pt idx="55">
                  <c:v>-40.884279999999997</c:v>
                </c:pt>
                <c:pt idx="56">
                  <c:v>-41.461896000000003</c:v>
                </c:pt>
                <c:pt idx="57">
                  <c:v>-42.039512000000002</c:v>
                </c:pt>
                <c:pt idx="58">
                  <c:v>-42.430503999999999</c:v>
                </c:pt>
                <c:pt idx="59">
                  <c:v>-42.401592000000001</c:v>
                </c:pt>
                <c:pt idx="60">
                  <c:v>-42.372680000000003</c:v>
                </c:pt>
                <c:pt idx="61">
                  <c:v>-42.343767999999997</c:v>
                </c:pt>
                <c:pt idx="62">
                  <c:v>-41.912495999999997</c:v>
                </c:pt>
                <c:pt idx="63">
                  <c:v>-41.011803999999998</c:v>
                </c:pt>
                <c:pt idx="64">
                  <c:v>-40.111111999999999</c:v>
                </c:pt>
                <c:pt idx="65">
                  <c:v>-39.210419999999999</c:v>
                </c:pt>
                <c:pt idx="66">
                  <c:v>-37.921535999999982</c:v>
                </c:pt>
                <c:pt idx="67">
                  <c:v>-36.390031999999991</c:v>
                </c:pt>
                <c:pt idx="68">
                  <c:v>-34.858528</c:v>
                </c:pt>
                <c:pt idx="69">
                  <c:v>-33.327023999999987</c:v>
                </c:pt>
                <c:pt idx="70">
                  <c:v>-31.599039999999992</c:v>
                </c:pt>
                <c:pt idx="71">
                  <c:v>-29.812111999999981</c:v>
                </c:pt>
                <c:pt idx="72">
                  <c:v>-28.025183999999989</c:v>
                </c:pt>
                <c:pt idx="73">
                  <c:v>-26.238255999999989</c:v>
                </c:pt>
                <c:pt idx="74">
                  <c:v>-24.828463999999979</c:v>
                </c:pt>
                <c:pt idx="75">
                  <c:v>-23.450099999999988</c:v>
                </c:pt>
                <c:pt idx="76">
                  <c:v>-22.071735999999991</c:v>
                </c:pt>
                <c:pt idx="77">
                  <c:v>-20.73180799999999</c:v>
                </c:pt>
                <c:pt idx="78">
                  <c:v>-19.853111999999989</c:v>
                </c:pt>
                <c:pt idx="79">
                  <c:v>-18.974416000000002</c:v>
                </c:pt>
                <c:pt idx="80">
                  <c:v>-18.095719999999989</c:v>
                </c:pt>
                <c:pt idx="81">
                  <c:v>-17.398422</c:v>
                </c:pt>
                <c:pt idx="82">
                  <c:v>-17.305783999999999</c:v>
                </c:pt>
                <c:pt idx="83">
                  <c:v>-17.213145999999998</c:v>
                </c:pt>
                <c:pt idx="84">
                  <c:v>-17.120508000000001</c:v>
                </c:pt>
                <c:pt idx="85">
                  <c:v>-16.894909999999999</c:v>
                </c:pt>
                <c:pt idx="86">
                  <c:v>-16.456575999999991</c:v>
                </c:pt>
                <c:pt idx="87">
                  <c:v>-16.018242000000001</c:v>
                </c:pt>
                <c:pt idx="88">
                  <c:v>-15.579907999999991</c:v>
                </c:pt>
                <c:pt idx="89">
                  <c:v>-14.735979999999991</c:v>
                </c:pt>
                <c:pt idx="90">
                  <c:v>-13.5444</c:v>
                </c:pt>
                <c:pt idx="91">
                  <c:v>-12.352819999999991</c:v>
                </c:pt>
                <c:pt idx="92">
                  <c:v>-11.161239999999999</c:v>
                </c:pt>
                <c:pt idx="93">
                  <c:v>-9.9151866000000126</c:v>
                </c:pt>
                <c:pt idx="94">
                  <c:v>-8.6449227999999998</c:v>
                </c:pt>
                <c:pt idx="95">
                  <c:v>-7.3746590000000056</c:v>
                </c:pt>
                <c:pt idx="96">
                  <c:v>-6.1043952000000106</c:v>
                </c:pt>
                <c:pt idx="97">
                  <c:v>-5.1523393999999998</c:v>
                </c:pt>
                <c:pt idx="98">
                  <c:v>-4.2581396000000042</c:v>
                </c:pt>
                <c:pt idx="99">
                  <c:v>-3.3639397999999958</c:v>
                </c:pt>
                <c:pt idx="100">
                  <c:v>-2.4697399999999998</c:v>
                </c:pt>
              </c:numCache>
            </c:numRef>
          </c:yVal>
          <c:smooth val="1"/>
          <c:extLst>
            <c:ext xmlns:c16="http://schemas.microsoft.com/office/drawing/2014/chart" uri="{C3380CC4-5D6E-409C-BE32-E72D297353CC}">
              <c16:uniqueId val="{00000004-2661-42AC-8E86-37096AEDF3D3}"/>
            </c:ext>
          </c:extLst>
        </c:ser>
        <c:ser>
          <c:idx val="5"/>
          <c:order val="2"/>
          <c:tx>
            <c:v>Right 2</c:v>
          </c:tx>
          <c:spPr>
            <a:ln w="19050">
              <a:solidFill>
                <a:srgbClr val="00B050"/>
              </a:solidFill>
            </a:ln>
          </c:spPr>
          <c:marker>
            <c:symbol val="none"/>
          </c:marker>
          <c:xVal>
            <c:numRef>
              <c:f>'Right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2 Kin'!$AL$2:$AL$102</c:f>
              <c:numCache>
                <c:formatCode>General</c:formatCode>
                <c:ptCount val="101"/>
                <c:pt idx="0">
                  <c:v>24.203800000000001</c:v>
                </c:pt>
                <c:pt idx="1">
                  <c:v>23.115376000000001</c:v>
                </c:pt>
                <c:pt idx="2">
                  <c:v>22.026952000000001</c:v>
                </c:pt>
                <c:pt idx="3">
                  <c:v>20.938528000000002</c:v>
                </c:pt>
                <c:pt idx="4">
                  <c:v>20.669224</c:v>
                </c:pt>
                <c:pt idx="5">
                  <c:v>22.345330000000001</c:v>
                </c:pt>
                <c:pt idx="6">
                  <c:v>24.021436000000001</c:v>
                </c:pt>
                <c:pt idx="7">
                  <c:v>25.697541999999999</c:v>
                </c:pt>
                <c:pt idx="8">
                  <c:v>29.303808000000011</c:v>
                </c:pt>
                <c:pt idx="9">
                  <c:v>34.237059000000002</c:v>
                </c:pt>
                <c:pt idx="10">
                  <c:v>39.170310000000001</c:v>
                </c:pt>
                <c:pt idx="11">
                  <c:v>44.103560999999999</c:v>
                </c:pt>
                <c:pt idx="12">
                  <c:v>45.744971999999997</c:v>
                </c:pt>
                <c:pt idx="13">
                  <c:v>46.974902999999998</c:v>
                </c:pt>
                <c:pt idx="14">
                  <c:v>48.204833999999998</c:v>
                </c:pt>
                <c:pt idx="15">
                  <c:v>48.858874999999998</c:v>
                </c:pt>
                <c:pt idx="16">
                  <c:v>46.978999999999999</c:v>
                </c:pt>
                <c:pt idx="17">
                  <c:v>45.099125000000001</c:v>
                </c:pt>
                <c:pt idx="18">
                  <c:v>43.219250000000002</c:v>
                </c:pt>
                <c:pt idx="19">
                  <c:v>41.776552000000002</c:v>
                </c:pt>
                <c:pt idx="20">
                  <c:v>40.804659999999998</c:v>
                </c:pt>
                <c:pt idx="21">
                  <c:v>39.832768000000002</c:v>
                </c:pt>
                <c:pt idx="22">
                  <c:v>38.860875999999998</c:v>
                </c:pt>
                <c:pt idx="23">
                  <c:v>36.593514999999996</c:v>
                </c:pt>
                <c:pt idx="24">
                  <c:v>33.956020000000002</c:v>
                </c:pt>
                <c:pt idx="25">
                  <c:v>31.31852499999999</c:v>
                </c:pt>
                <c:pt idx="26">
                  <c:v>28.633168000000001</c:v>
                </c:pt>
                <c:pt idx="27">
                  <c:v>25.34953599999999</c:v>
                </c:pt>
                <c:pt idx="28">
                  <c:v>22.065904</c:v>
                </c:pt>
                <c:pt idx="29">
                  <c:v>18.782271999999988</c:v>
                </c:pt>
                <c:pt idx="30">
                  <c:v>16.000453</c:v>
                </c:pt>
                <c:pt idx="31">
                  <c:v>14.0717161</c:v>
                </c:pt>
                <c:pt idx="32">
                  <c:v>12.142979199999999</c:v>
                </c:pt>
                <c:pt idx="33">
                  <c:v>10.2142423</c:v>
                </c:pt>
                <c:pt idx="34">
                  <c:v>8.3401822000000045</c:v>
                </c:pt>
                <c:pt idx="35">
                  <c:v>6.4934605000000003</c:v>
                </c:pt>
                <c:pt idx="36">
                  <c:v>4.6467387999999952</c:v>
                </c:pt>
                <c:pt idx="37">
                  <c:v>2.8000170999999909</c:v>
                </c:pt>
                <c:pt idx="38">
                  <c:v>-0.18861940000000121</c:v>
                </c:pt>
                <c:pt idx="39">
                  <c:v>-3.2211757000000079</c:v>
                </c:pt>
                <c:pt idx="40">
                  <c:v>-6.2537320000000172</c:v>
                </c:pt>
                <c:pt idx="41">
                  <c:v>-9.3263871000000016</c:v>
                </c:pt>
                <c:pt idx="42">
                  <c:v>-12.513610200000009</c:v>
                </c:pt>
                <c:pt idx="43">
                  <c:v>-15.70083330000001</c:v>
                </c:pt>
                <c:pt idx="44">
                  <c:v>-18.888056400000011</c:v>
                </c:pt>
                <c:pt idx="45">
                  <c:v>-21.494699999999991</c:v>
                </c:pt>
                <c:pt idx="46">
                  <c:v>-23.636880000000001</c:v>
                </c:pt>
                <c:pt idx="47">
                  <c:v>-25.779060000000008</c:v>
                </c:pt>
                <c:pt idx="48">
                  <c:v>-27.921240000000001</c:v>
                </c:pt>
                <c:pt idx="49">
                  <c:v>-29.564159</c:v>
                </c:pt>
                <c:pt idx="50">
                  <c:v>-31.120250000000009</c:v>
                </c:pt>
                <c:pt idx="51">
                  <c:v>-32.676341000000008</c:v>
                </c:pt>
                <c:pt idx="52">
                  <c:v>-34.188972</c:v>
                </c:pt>
                <c:pt idx="53">
                  <c:v>-35.451708000000004</c:v>
                </c:pt>
                <c:pt idx="54">
                  <c:v>-36.714444</c:v>
                </c:pt>
                <c:pt idx="55">
                  <c:v>-37.977179999999997</c:v>
                </c:pt>
                <c:pt idx="56">
                  <c:v>-39.055056</c:v>
                </c:pt>
                <c:pt idx="57">
                  <c:v>-39.901857</c:v>
                </c:pt>
                <c:pt idx="58">
                  <c:v>-40.748657999999999</c:v>
                </c:pt>
                <c:pt idx="59">
                  <c:v>-41.595458999999998</c:v>
                </c:pt>
                <c:pt idx="60">
                  <c:v>-41.823339999999988</c:v>
                </c:pt>
                <c:pt idx="61">
                  <c:v>-41.834598999999997</c:v>
                </c:pt>
                <c:pt idx="62">
                  <c:v>-41.845858</c:v>
                </c:pt>
                <c:pt idx="63">
                  <c:v>-41.817753999999987</c:v>
                </c:pt>
                <c:pt idx="64">
                  <c:v>-40.766212000000003</c:v>
                </c:pt>
                <c:pt idx="65">
                  <c:v>-39.714669999999998</c:v>
                </c:pt>
                <c:pt idx="66">
                  <c:v>-38.663127999999993</c:v>
                </c:pt>
                <c:pt idx="67">
                  <c:v>-37.562742999999998</c:v>
                </c:pt>
                <c:pt idx="68">
                  <c:v>-36.364672000000013</c:v>
                </c:pt>
                <c:pt idx="69">
                  <c:v>-35.166600999999993</c:v>
                </c:pt>
                <c:pt idx="70">
                  <c:v>-33.968529999999987</c:v>
                </c:pt>
                <c:pt idx="71">
                  <c:v>-32.757232999999978</c:v>
                </c:pt>
                <c:pt idx="72">
                  <c:v>-31.53815599999999</c:v>
                </c:pt>
                <c:pt idx="73">
                  <c:v>-30.319078999999999</c:v>
                </c:pt>
                <c:pt idx="74">
                  <c:v>-29.100001999999989</c:v>
                </c:pt>
                <c:pt idx="75">
                  <c:v>-27.58499999999999</c:v>
                </c:pt>
                <c:pt idx="76">
                  <c:v>-26.046324000000009</c:v>
                </c:pt>
                <c:pt idx="77">
                  <c:v>-24.507647999999989</c:v>
                </c:pt>
                <c:pt idx="78">
                  <c:v>-23.008302</c:v>
                </c:pt>
                <c:pt idx="79">
                  <c:v>-21.646611</c:v>
                </c:pt>
                <c:pt idx="80">
                  <c:v>-20.284919999999989</c:v>
                </c:pt>
                <c:pt idx="81">
                  <c:v>-18.923228999999989</c:v>
                </c:pt>
                <c:pt idx="82">
                  <c:v>-18.071082000000001</c:v>
                </c:pt>
                <c:pt idx="83">
                  <c:v>-17.692083</c:v>
                </c:pt>
                <c:pt idx="84">
                  <c:v>-17.313084</c:v>
                </c:pt>
                <c:pt idx="85">
                  <c:v>-16.934085</c:v>
                </c:pt>
                <c:pt idx="86">
                  <c:v>-16.934277999999999</c:v>
                </c:pt>
                <c:pt idx="87">
                  <c:v>-17.020651000000001</c:v>
                </c:pt>
                <c:pt idx="88">
                  <c:v>-17.107023999999999</c:v>
                </c:pt>
                <c:pt idx="89">
                  <c:v>-17.100519999999999</c:v>
                </c:pt>
                <c:pt idx="90">
                  <c:v>-16.350999999999999</c:v>
                </c:pt>
                <c:pt idx="91">
                  <c:v>-15.60147999999999</c:v>
                </c:pt>
                <c:pt idx="92">
                  <c:v>-14.851959999999989</c:v>
                </c:pt>
                <c:pt idx="93">
                  <c:v>-14.070892000000001</c:v>
                </c:pt>
                <c:pt idx="94">
                  <c:v>-13.243935999999991</c:v>
                </c:pt>
                <c:pt idx="95">
                  <c:v>-12.416980000000001</c:v>
                </c:pt>
                <c:pt idx="96">
                  <c:v>-11.590024</c:v>
                </c:pt>
                <c:pt idx="97">
                  <c:v>-10.8778527</c:v>
                </c:pt>
                <c:pt idx="98">
                  <c:v>-10.2140118</c:v>
                </c:pt>
                <c:pt idx="99">
                  <c:v>-9.5501708999999959</c:v>
                </c:pt>
                <c:pt idx="100">
                  <c:v>-8.8863299999999992</c:v>
                </c:pt>
              </c:numCache>
            </c:numRef>
          </c:yVal>
          <c:smooth val="1"/>
          <c:extLst>
            <c:ext xmlns:c16="http://schemas.microsoft.com/office/drawing/2014/chart" uri="{C3380CC4-5D6E-409C-BE32-E72D297353CC}">
              <c16:uniqueId val="{00000003-2661-42AC-8E86-37096AEDF3D3}"/>
            </c:ext>
          </c:extLst>
        </c:ser>
        <c:ser>
          <c:idx val="4"/>
          <c:order val="3"/>
          <c:tx>
            <c:v>Right 1</c:v>
          </c:tx>
          <c:spPr>
            <a:ln w="19050">
              <a:solidFill>
                <a:srgbClr val="00B050"/>
              </a:solidFill>
            </a:ln>
          </c:spPr>
          <c:marker>
            <c:symbol val="none"/>
          </c:marker>
          <c:xVal>
            <c:numRef>
              <c:f>'Right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'Right 1 Kin'!$AL$2:$AL$102</c:f>
              <c:numCache>
                <c:formatCode>General</c:formatCode>
                <c:ptCount val="101"/>
                <c:pt idx="0">
                  <c:v>25.735700000000001</c:v>
                </c:pt>
                <c:pt idx="1">
                  <c:v>23.776489000000002</c:v>
                </c:pt>
                <c:pt idx="2">
                  <c:v>21.817278000000002</c:v>
                </c:pt>
                <c:pt idx="3">
                  <c:v>19.858066999999998</c:v>
                </c:pt>
                <c:pt idx="4">
                  <c:v>20.377911999999998</c:v>
                </c:pt>
                <c:pt idx="5">
                  <c:v>22.911989999999999</c:v>
                </c:pt>
                <c:pt idx="6">
                  <c:v>25.446068</c:v>
                </c:pt>
                <c:pt idx="7">
                  <c:v>28.023643</c:v>
                </c:pt>
                <c:pt idx="8">
                  <c:v>30.978192</c:v>
                </c:pt>
                <c:pt idx="9">
                  <c:v>33.932741</c:v>
                </c:pt>
                <c:pt idx="10">
                  <c:v>36.887290000000007</c:v>
                </c:pt>
                <c:pt idx="11">
                  <c:v>37.434367999999999</c:v>
                </c:pt>
                <c:pt idx="12">
                  <c:v>36.714356000000002</c:v>
                </c:pt>
                <c:pt idx="13">
                  <c:v>35.994343999999998</c:v>
                </c:pt>
                <c:pt idx="14">
                  <c:v>35.175121999999988</c:v>
                </c:pt>
                <c:pt idx="15">
                  <c:v>33.975594999999998</c:v>
                </c:pt>
                <c:pt idx="16">
                  <c:v>32.776068000000002</c:v>
                </c:pt>
                <c:pt idx="17">
                  <c:v>31.576540999999999</c:v>
                </c:pt>
                <c:pt idx="18">
                  <c:v>30.929544</c:v>
                </c:pt>
                <c:pt idx="19">
                  <c:v>30.458352000000001</c:v>
                </c:pt>
                <c:pt idx="20">
                  <c:v>29.987159999999999</c:v>
                </c:pt>
                <c:pt idx="21">
                  <c:v>29.026205999999998</c:v>
                </c:pt>
                <c:pt idx="22">
                  <c:v>26.976891999999999</c:v>
                </c:pt>
                <c:pt idx="23">
                  <c:v>24.927578</c:v>
                </c:pt>
                <c:pt idx="24">
                  <c:v>22.878264000000001</c:v>
                </c:pt>
                <c:pt idx="25">
                  <c:v>21.016349999999999</c:v>
                </c:pt>
                <c:pt idx="26">
                  <c:v>19.184419999999999</c:v>
                </c:pt>
                <c:pt idx="27">
                  <c:v>17.35249</c:v>
                </c:pt>
                <c:pt idx="28">
                  <c:v>15.949152</c:v>
                </c:pt>
                <c:pt idx="29">
                  <c:v>15.152986</c:v>
                </c:pt>
                <c:pt idx="30">
                  <c:v>14.356820000000001</c:v>
                </c:pt>
                <c:pt idx="31">
                  <c:v>13.560654</c:v>
                </c:pt>
                <c:pt idx="32">
                  <c:v>12.83278</c:v>
                </c:pt>
                <c:pt idx="33">
                  <c:v>12.107345</c:v>
                </c:pt>
                <c:pt idx="34">
                  <c:v>11.38191</c:v>
                </c:pt>
                <c:pt idx="35">
                  <c:v>10.10870950000001</c:v>
                </c:pt>
                <c:pt idx="36">
                  <c:v>8.3242612000000005</c:v>
                </c:pt>
                <c:pt idx="37">
                  <c:v>6.539812899999994</c:v>
                </c:pt>
                <c:pt idx="38">
                  <c:v>4.7449843999999999</c:v>
                </c:pt>
                <c:pt idx="39">
                  <c:v>2.8100231999999972</c:v>
                </c:pt>
                <c:pt idx="40">
                  <c:v>0.87506199999999446</c:v>
                </c:pt>
                <c:pt idx="41">
                  <c:v>-1.059899199999994</c:v>
                </c:pt>
                <c:pt idx="42">
                  <c:v>-2.759999999999998</c:v>
                </c:pt>
                <c:pt idx="43">
                  <c:v>-4.3165750000000003</c:v>
                </c:pt>
                <c:pt idx="44">
                  <c:v>-5.8731500000000034</c:v>
                </c:pt>
                <c:pt idx="45">
                  <c:v>-7.4737074999999944</c:v>
                </c:pt>
                <c:pt idx="46">
                  <c:v>-9.2853809999999992</c:v>
                </c:pt>
                <c:pt idx="47">
                  <c:v>-11.097054500000009</c:v>
                </c:pt>
                <c:pt idx="48">
                  <c:v>-12.908728</c:v>
                </c:pt>
                <c:pt idx="49">
                  <c:v>-14.812791000000001</c:v>
                </c:pt>
                <c:pt idx="50">
                  <c:v>-16.752050000000011</c:v>
                </c:pt>
                <c:pt idx="51">
                  <c:v>-18.691309000000011</c:v>
                </c:pt>
                <c:pt idx="52">
                  <c:v>-20.645351999999999</c:v>
                </c:pt>
                <c:pt idx="53">
                  <c:v>-22.638203000000001</c:v>
                </c:pt>
                <c:pt idx="54">
                  <c:v>-24.63105400000001</c:v>
                </c:pt>
                <c:pt idx="55">
                  <c:v>-26.623905000000011</c:v>
                </c:pt>
                <c:pt idx="56">
                  <c:v>-28.234148000000001</c:v>
                </c:pt>
                <c:pt idx="57">
                  <c:v>-29.764681</c:v>
                </c:pt>
                <c:pt idx="58">
                  <c:v>-31.295214000000001</c:v>
                </c:pt>
                <c:pt idx="59">
                  <c:v>-32.563869999999987</c:v>
                </c:pt>
                <c:pt idx="60">
                  <c:v>-33.404000000000003</c:v>
                </c:pt>
                <c:pt idx="61">
                  <c:v>-34.244129999999998</c:v>
                </c:pt>
                <c:pt idx="62">
                  <c:v>-35.08426</c:v>
                </c:pt>
                <c:pt idx="63">
                  <c:v>-35.416978999999998</c:v>
                </c:pt>
                <c:pt idx="64">
                  <c:v>-35.712111999999998</c:v>
                </c:pt>
                <c:pt idx="65">
                  <c:v>-36.007244999999998</c:v>
                </c:pt>
                <c:pt idx="66">
                  <c:v>-36.043798000000002</c:v>
                </c:pt>
                <c:pt idx="67">
                  <c:v>-35.803300999999998</c:v>
                </c:pt>
                <c:pt idx="68">
                  <c:v>-35.562804</c:v>
                </c:pt>
                <c:pt idx="69">
                  <c:v>-35.303832</c:v>
                </c:pt>
                <c:pt idx="70">
                  <c:v>-34.527560000000001</c:v>
                </c:pt>
                <c:pt idx="71">
                  <c:v>-33.751288000000002</c:v>
                </c:pt>
                <c:pt idx="72">
                  <c:v>-32.975015999999997</c:v>
                </c:pt>
                <c:pt idx="73">
                  <c:v>-32.064239999999998</c:v>
                </c:pt>
                <c:pt idx="74">
                  <c:v>-31.058519999999991</c:v>
                </c:pt>
                <c:pt idx="75">
                  <c:v>-30.052800000000001</c:v>
                </c:pt>
                <c:pt idx="76">
                  <c:v>-29.012347999999999</c:v>
                </c:pt>
                <c:pt idx="77">
                  <c:v>-27.754820999999989</c:v>
                </c:pt>
                <c:pt idx="78">
                  <c:v>-26.497294</c:v>
                </c:pt>
                <c:pt idx="79">
                  <c:v>-25.239767000000011</c:v>
                </c:pt>
                <c:pt idx="80">
                  <c:v>-24.073720000000002</c:v>
                </c:pt>
                <c:pt idx="81">
                  <c:v>-22.948839</c:v>
                </c:pt>
                <c:pt idx="82">
                  <c:v>-21.823958000000012</c:v>
                </c:pt>
                <c:pt idx="83">
                  <c:v>-20.895727999999998</c:v>
                </c:pt>
                <c:pt idx="84">
                  <c:v>-20.585543999999999</c:v>
                </c:pt>
                <c:pt idx="85">
                  <c:v>-20.275359999999999</c:v>
                </c:pt>
                <c:pt idx="86">
                  <c:v>-19.965176</c:v>
                </c:pt>
                <c:pt idx="87">
                  <c:v>-19.442311</c:v>
                </c:pt>
                <c:pt idx="88">
                  <c:v>-18.863963999999999</c:v>
                </c:pt>
                <c:pt idx="89">
                  <c:v>-18.285616999999998</c:v>
                </c:pt>
                <c:pt idx="90">
                  <c:v>-17.587150000000008</c:v>
                </c:pt>
                <c:pt idx="91">
                  <c:v>-16.660454999999999</c:v>
                </c:pt>
                <c:pt idx="92">
                  <c:v>-15.73376</c:v>
                </c:pt>
                <c:pt idx="93">
                  <c:v>-14.807065</c:v>
                </c:pt>
                <c:pt idx="94">
                  <c:v>-13.636827999999991</c:v>
                </c:pt>
                <c:pt idx="95">
                  <c:v>-12.43849</c:v>
                </c:pt>
                <c:pt idx="96">
                  <c:v>-11.240152</c:v>
                </c:pt>
                <c:pt idx="97">
                  <c:v>-10.09918819999999</c:v>
                </c:pt>
                <c:pt idx="98">
                  <c:v>-9.0288387999999991</c:v>
                </c:pt>
                <c:pt idx="99">
                  <c:v>-7.9584893999999924</c:v>
                </c:pt>
                <c:pt idx="100">
                  <c:v>-6.8881399999999999</c:v>
                </c:pt>
              </c:numCache>
            </c:numRef>
          </c:yVal>
          <c:smooth val="1"/>
          <c:extLst>
            <c:ext xmlns:c16="http://schemas.microsoft.com/office/drawing/2014/chart" uri="{C3380CC4-5D6E-409C-BE32-E72D297353CC}">
              <c16:uniqueId val="{00000002-2661-42AC-8E86-37096AEDF3D3}"/>
            </c:ext>
          </c:extLst>
        </c:ser>
        <c:ser>
          <c:idx val="3"/>
          <c:order val="4"/>
          <c:tx>
            <c:v>Left 3</c:v>
          </c:tx>
          <c:spPr>
            <a:ln w="19050">
              <a:solidFill>
                <a:srgbClr val="FF0000"/>
              </a:solidFill>
            </a:ln>
          </c:spPr>
          <c:marker>
            <c:symbol val="none"/>
          </c:marker>
          <c:xVal>
            <c:numRef>
              <c:f>'Left 3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3 Kin'!$AL$2:$AL$102</c:f>
              <c:numCache>
                <c:formatCode>General</c:formatCode>
                <c:ptCount val="101"/>
                <c:pt idx="0">
                  <c:v>34.187100000000001</c:v>
                </c:pt>
                <c:pt idx="1">
                  <c:v>30.279195999999999</c:v>
                </c:pt>
                <c:pt idx="2">
                  <c:v>26.371292</c:v>
                </c:pt>
                <c:pt idx="3">
                  <c:v>22.463387999999998</c:v>
                </c:pt>
                <c:pt idx="4">
                  <c:v>19.206123999999999</c:v>
                </c:pt>
                <c:pt idx="5">
                  <c:v>19.527380000000001</c:v>
                </c:pt>
                <c:pt idx="6">
                  <c:v>19.848635999999999</c:v>
                </c:pt>
                <c:pt idx="7">
                  <c:v>20.169892000000001</c:v>
                </c:pt>
                <c:pt idx="8">
                  <c:v>21.790987999999999</c:v>
                </c:pt>
                <c:pt idx="9">
                  <c:v>26.336724</c:v>
                </c:pt>
                <c:pt idx="10">
                  <c:v>30.882459999999998</c:v>
                </c:pt>
                <c:pt idx="11">
                  <c:v>35.428196</c:v>
                </c:pt>
                <c:pt idx="12">
                  <c:v>37.714103999999999</c:v>
                </c:pt>
                <c:pt idx="13">
                  <c:v>37.363545999999999</c:v>
                </c:pt>
                <c:pt idx="14">
                  <c:v>37.012988</c:v>
                </c:pt>
                <c:pt idx="15">
                  <c:v>36.662430000000001</c:v>
                </c:pt>
                <c:pt idx="16">
                  <c:v>34.158655999999993</c:v>
                </c:pt>
                <c:pt idx="17">
                  <c:v>30.309121999999999</c:v>
                </c:pt>
                <c:pt idx="18">
                  <c:v>26.459587999999989</c:v>
                </c:pt>
                <c:pt idx="19">
                  <c:v>22.610054000000002</c:v>
                </c:pt>
                <c:pt idx="20">
                  <c:v>21.124639999999999</c:v>
                </c:pt>
                <c:pt idx="21">
                  <c:v>20.348462000000001</c:v>
                </c:pt>
                <c:pt idx="22">
                  <c:v>19.572284</c:v>
                </c:pt>
                <c:pt idx="23">
                  <c:v>18.796106000000002</c:v>
                </c:pt>
                <c:pt idx="24">
                  <c:v>17.429144000000001</c:v>
                </c:pt>
                <c:pt idx="25">
                  <c:v>16.01295</c:v>
                </c:pt>
                <c:pt idx="26">
                  <c:v>14.596755999999999</c:v>
                </c:pt>
                <c:pt idx="27">
                  <c:v>13.175800799999999</c:v>
                </c:pt>
                <c:pt idx="28">
                  <c:v>11.697711200000001</c:v>
                </c:pt>
                <c:pt idx="29">
                  <c:v>10.2196216</c:v>
                </c:pt>
                <c:pt idx="30">
                  <c:v>8.7415319999999994</c:v>
                </c:pt>
                <c:pt idx="31">
                  <c:v>7.9317656000000039</c:v>
                </c:pt>
                <c:pt idx="32">
                  <c:v>9.3497432000000025</c:v>
                </c:pt>
                <c:pt idx="33">
                  <c:v>10.76772080000001</c:v>
                </c:pt>
                <c:pt idx="34">
                  <c:v>12.1856984</c:v>
                </c:pt>
                <c:pt idx="35">
                  <c:v>13.18764</c:v>
                </c:pt>
                <c:pt idx="36">
                  <c:v>13.523923999999999</c:v>
                </c:pt>
                <c:pt idx="37">
                  <c:v>13.860208</c:v>
                </c:pt>
                <c:pt idx="38">
                  <c:v>14.196491999999999</c:v>
                </c:pt>
                <c:pt idx="39">
                  <c:v>13.61064919999999</c:v>
                </c:pt>
                <c:pt idx="40">
                  <c:v>12.23441199999999</c:v>
                </c:pt>
                <c:pt idx="41">
                  <c:v>10.8581748</c:v>
                </c:pt>
                <c:pt idx="42">
                  <c:v>9.4819375999999949</c:v>
                </c:pt>
                <c:pt idx="43">
                  <c:v>8.6341047999999976</c:v>
                </c:pt>
                <c:pt idx="44">
                  <c:v>8.0211183999999971</c:v>
                </c:pt>
                <c:pt idx="45">
                  <c:v>7.408132000000001</c:v>
                </c:pt>
                <c:pt idx="46">
                  <c:v>6.7951456000000006</c:v>
                </c:pt>
                <c:pt idx="47">
                  <c:v>6.5019885999999998</c:v>
                </c:pt>
                <c:pt idx="48">
                  <c:v>6.2669824000000016</c:v>
                </c:pt>
                <c:pt idx="49">
                  <c:v>6.0319762000000008</c:v>
                </c:pt>
                <c:pt idx="50">
                  <c:v>5.79697</c:v>
                </c:pt>
                <c:pt idx="51">
                  <c:v>5.3478953999999987</c:v>
                </c:pt>
                <c:pt idx="52">
                  <c:v>4.8988208000000011</c:v>
                </c:pt>
                <c:pt idx="53">
                  <c:v>4.4497461999999999</c:v>
                </c:pt>
                <c:pt idx="54">
                  <c:v>3.9677755999999982</c:v>
                </c:pt>
                <c:pt idx="55">
                  <c:v>3.3048769999999972</c:v>
                </c:pt>
                <c:pt idx="56">
                  <c:v>2.6419784000000002</c:v>
                </c:pt>
                <c:pt idx="57">
                  <c:v>1.9790797999999989</c:v>
                </c:pt>
                <c:pt idx="58">
                  <c:v>1.3011107999999969</c:v>
                </c:pt>
                <c:pt idx="59">
                  <c:v>0.58923340000000046</c:v>
                </c:pt>
                <c:pt idx="60">
                  <c:v>-0.12264400000000129</c:v>
                </c:pt>
                <c:pt idx="61">
                  <c:v>-0.83452140000000274</c:v>
                </c:pt>
                <c:pt idx="62">
                  <c:v>-1.400188400000002</c:v>
                </c:pt>
                <c:pt idx="63">
                  <c:v>-1.7952766000000011</c:v>
                </c:pt>
                <c:pt idx="64">
                  <c:v>-2.190364800000002</c:v>
                </c:pt>
                <c:pt idx="65">
                  <c:v>-2.5854529999999989</c:v>
                </c:pt>
                <c:pt idx="66">
                  <c:v>-2.8413396000000009</c:v>
                </c:pt>
                <c:pt idx="67">
                  <c:v>-3.0102252000000012</c:v>
                </c:pt>
                <c:pt idx="68">
                  <c:v>-3.1791108000000001</c:v>
                </c:pt>
                <c:pt idx="69">
                  <c:v>-3.3479964000000009</c:v>
                </c:pt>
                <c:pt idx="70">
                  <c:v>-3.2849740000000001</c:v>
                </c:pt>
                <c:pt idx="71">
                  <c:v>-3.1523791999999982</c:v>
                </c:pt>
                <c:pt idx="72">
                  <c:v>-3.0197843999999989</c:v>
                </c:pt>
                <c:pt idx="73">
                  <c:v>-2.8871896000000001</c:v>
                </c:pt>
                <c:pt idx="74">
                  <c:v>-2.7375787999999979</c:v>
                </c:pt>
                <c:pt idx="75">
                  <c:v>-2.586549999999999</c:v>
                </c:pt>
                <c:pt idx="76">
                  <c:v>-2.4355212000000002</c:v>
                </c:pt>
                <c:pt idx="77">
                  <c:v>-2.333715000000006</c:v>
                </c:pt>
                <c:pt idx="78">
                  <c:v>-2.822580000000003</c:v>
                </c:pt>
                <c:pt idx="79">
                  <c:v>-3.3114450000000009</c:v>
                </c:pt>
                <c:pt idx="80">
                  <c:v>-3.800310000000005</c:v>
                </c:pt>
                <c:pt idx="81">
                  <c:v>-4.452363600000008</c:v>
                </c:pt>
                <c:pt idx="82">
                  <c:v>-5.6483792000000017</c:v>
                </c:pt>
                <c:pt idx="83">
                  <c:v>-6.8443948000000132</c:v>
                </c:pt>
                <c:pt idx="84">
                  <c:v>-8.0404104000000078</c:v>
                </c:pt>
                <c:pt idx="85">
                  <c:v>-9.062388000000011</c:v>
                </c:pt>
                <c:pt idx="86">
                  <c:v>-9.8059048000000075</c:v>
                </c:pt>
                <c:pt idx="87">
                  <c:v>-10.549421600000009</c:v>
                </c:pt>
                <c:pt idx="88">
                  <c:v>-11.292938400000009</c:v>
                </c:pt>
                <c:pt idx="89">
                  <c:v>-11.553430000000001</c:v>
                </c:pt>
                <c:pt idx="90">
                  <c:v>-11.399900000000001</c:v>
                </c:pt>
                <c:pt idx="91">
                  <c:v>-11.246370000000001</c:v>
                </c:pt>
                <c:pt idx="92">
                  <c:v>-11.092840000000001</c:v>
                </c:pt>
                <c:pt idx="93">
                  <c:v>-10.48959800000001</c:v>
                </c:pt>
                <c:pt idx="94">
                  <c:v>-9.6864840000000001</c:v>
                </c:pt>
                <c:pt idx="95">
                  <c:v>-8.8833700000000029</c:v>
                </c:pt>
                <c:pt idx="96">
                  <c:v>-8.0802560000000074</c:v>
                </c:pt>
                <c:pt idx="97">
                  <c:v>-7.2024321999999996</c:v>
                </c:pt>
                <c:pt idx="98">
                  <c:v>-6.3110248000000038</c:v>
                </c:pt>
                <c:pt idx="99">
                  <c:v>-5.4196173999999946</c:v>
                </c:pt>
                <c:pt idx="100">
                  <c:v>-4.5282099999999996</c:v>
                </c:pt>
              </c:numCache>
            </c:numRef>
          </c:yVal>
          <c:smooth val="1"/>
          <c:extLst>
            <c:ext xmlns:c16="http://schemas.microsoft.com/office/drawing/2014/chart" uri="{C3380CC4-5D6E-409C-BE32-E72D297353CC}">
              <c16:uniqueId val="{00000001-2661-42AC-8E86-37096AEDF3D3}"/>
            </c:ext>
          </c:extLst>
        </c:ser>
        <c:ser>
          <c:idx val="2"/>
          <c:order val="5"/>
          <c:tx>
            <c:v>Left 2</c:v>
          </c:tx>
          <c:spPr>
            <a:ln w="19050">
              <a:solidFill>
                <a:srgbClr val="FF0000"/>
              </a:solidFill>
            </a:ln>
          </c:spPr>
          <c:marker>
            <c:symbol val="none"/>
          </c:marker>
          <c:xVal>
            <c:numRef>
              <c:f>'Left 2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2 Kin'!$AL$2:$AL$102</c:f>
              <c:numCache>
                <c:formatCode>General</c:formatCode>
                <c:ptCount val="101"/>
                <c:pt idx="0">
                  <c:v>10.1853</c:v>
                </c:pt>
                <c:pt idx="1">
                  <c:v>15.826212</c:v>
                </c:pt>
                <c:pt idx="2">
                  <c:v>21.467123999999998</c:v>
                </c:pt>
                <c:pt idx="3">
                  <c:v>27.108035999999998</c:v>
                </c:pt>
                <c:pt idx="4">
                  <c:v>32.748948000000013</c:v>
                </c:pt>
                <c:pt idx="5">
                  <c:v>37.312980000000003</c:v>
                </c:pt>
                <c:pt idx="6">
                  <c:v>41.661636000000001</c:v>
                </c:pt>
                <c:pt idx="7">
                  <c:v>46.010292</c:v>
                </c:pt>
                <c:pt idx="8">
                  <c:v>50.358947999999998</c:v>
                </c:pt>
                <c:pt idx="9">
                  <c:v>50.860388</c:v>
                </c:pt>
                <c:pt idx="10">
                  <c:v>49.438220000000001</c:v>
                </c:pt>
                <c:pt idx="11">
                  <c:v>48.016052000000002</c:v>
                </c:pt>
                <c:pt idx="12">
                  <c:v>46.593884000000003</c:v>
                </c:pt>
                <c:pt idx="13">
                  <c:v>45.017623999999998</c:v>
                </c:pt>
                <c:pt idx="14">
                  <c:v>43.287272000000002</c:v>
                </c:pt>
                <c:pt idx="15">
                  <c:v>41.556920000000012</c:v>
                </c:pt>
                <c:pt idx="16">
                  <c:v>39.826568000000002</c:v>
                </c:pt>
                <c:pt idx="17">
                  <c:v>38.360135999999997</c:v>
                </c:pt>
                <c:pt idx="18">
                  <c:v>37.421543999999997</c:v>
                </c:pt>
                <c:pt idx="19">
                  <c:v>36.482951999999997</c:v>
                </c:pt>
                <c:pt idx="20">
                  <c:v>35.544359999999998</c:v>
                </c:pt>
                <c:pt idx="21">
                  <c:v>34.284128000000003</c:v>
                </c:pt>
                <c:pt idx="22">
                  <c:v>31.415696000000001</c:v>
                </c:pt>
                <c:pt idx="23">
                  <c:v>28.547263999999998</c:v>
                </c:pt>
                <c:pt idx="24">
                  <c:v>25.678832000000011</c:v>
                </c:pt>
                <c:pt idx="25">
                  <c:v>22.810400000000001</c:v>
                </c:pt>
                <c:pt idx="26">
                  <c:v>21.078607999999999</c:v>
                </c:pt>
                <c:pt idx="27">
                  <c:v>19.346816</c:v>
                </c:pt>
                <c:pt idx="28">
                  <c:v>17.615023999999998</c:v>
                </c:pt>
                <c:pt idx="29">
                  <c:v>15.883232</c:v>
                </c:pt>
                <c:pt idx="30">
                  <c:v>15.12726</c:v>
                </c:pt>
                <c:pt idx="31">
                  <c:v>14.566452</c:v>
                </c:pt>
                <c:pt idx="32">
                  <c:v>14.005644</c:v>
                </c:pt>
                <c:pt idx="33">
                  <c:v>13.444836</c:v>
                </c:pt>
                <c:pt idx="34">
                  <c:v>12.143698400000011</c:v>
                </c:pt>
                <c:pt idx="35">
                  <c:v>10.472396</c:v>
                </c:pt>
                <c:pt idx="36">
                  <c:v>8.801093599999998</c:v>
                </c:pt>
                <c:pt idx="37">
                  <c:v>7.1297911999999952</c:v>
                </c:pt>
                <c:pt idx="38">
                  <c:v>5.3800952000000049</c:v>
                </c:pt>
                <c:pt idx="39">
                  <c:v>3.5520056000000011</c:v>
                </c:pt>
                <c:pt idx="40">
                  <c:v>1.7239159999999969</c:v>
                </c:pt>
                <c:pt idx="41">
                  <c:v>-0.10417359999999309</c:v>
                </c:pt>
                <c:pt idx="42">
                  <c:v>-1.636543999999998</c:v>
                </c:pt>
                <c:pt idx="43">
                  <c:v>-2.5774759999999999</c:v>
                </c:pt>
                <c:pt idx="44">
                  <c:v>-3.5184080000000031</c:v>
                </c:pt>
                <c:pt idx="45">
                  <c:v>-4.4593399999999974</c:v>
                </c:pt>
                <c:pt idx="46">
                  <c:v>-5.3376568000000004</c:v>
                </c:pt>
                <c:pt idx="47">
                  <c:v>-5.9028976000000011</c:v>
                </c:pt>
                <c:pt idx="48">
                  <c:v>-6.4681383999999982</c:v>
                </c:pt>
                <c:pt idx="49">
                  <c:v>-7.0333791999999988</c:v>
                </c:pt>
                <c:pt idx="50">
                  <c:v>-7.5986200000000004</c:v>
                </c:pt>
                <c:pt idx="51">
                  <c:v>-7.813367200000001</c:v>
                </c:pt>
                <c:pt idx="52">
                  <c:v>-8.0281143999999998</c:v>
                </c:pt>
                <c:pt idx="53">
                  <c:v>-8.2428615999999995</c:v>
                </c:pt>
                <c:pt idx="54">
                  <c:v>-8.4576087999999991</c:v>
                </c:pt>
                <c:pt idx="55">
                  <c:v>-8.4325219999999987</c:v>
                </c:pt>
                <c:pt idx="56">
                  <c:v>-8.359468399999999</c:v>
                </c:pt>
                <c:pt idx="57">
                  <c:v>-8.2864147999999993</c:v>
                </c:pt>
                <c:pt idx="58">
                  <c:v>-8.2133611999999996</c:v>
                </c:pt>
                <c:pt idx="59">
                  <c:v>-7.9796948000000008</c:v>
                </c:pt>
                <c:pt idx="60">
                  <c:v>-7.6657220000000006</c:v>
                </c:pt>
                <c:pt idx="61">
                  <c:v>-7.3517492000000004</c:v>
                </c:pt>
                <c:pt idx="62">
                  <c:v>-7.0377763999999994</c:v>
                </c:pt>
                <c:pt idx="63">
                  <c:v>-6.6219788000000017</c:v>
                </c:pt>
                <c:pt idx="64">
                  <c:v>-6.1043564000000003</c:v>
                </c:pt>
                <c:pt idx="65">
                  <c:v>-5.5867340000000034</c:v>
                </c:pt>
                <c:pt idx="66">
                  <c:v>-5.0691115999999976</c:v>
                </c:pt>
                <c:pt idx="67">
                  <c:v>-4.5769812000000014</c:v>
                </c:pt>
                <c:pt idx="68">
                  <c:v>-4.1358348000000031</c:v>
                </c:pt>
                <c:pt idx="69">
                  <c:v>-3.6946883999999991</c:v>
                </c:pt>
                <c:pt idx="70">
                  <c:v>-3.2535420000000008</c:v>
                </c:pt>
                <c:pt idx="71">
                  <c:v>-2.8748616</c:v>
                </c:pt>
                <c:pt idx="72">
                  <c:v>-2.8085111999999999</c:v>
                </c:pt>
                <c:pt idx="73">
                  <c:v>-2.7421608000000002</c:v>
                </c:pt>
                <c:pt idx="74">
                  <c:v>-2.6758104</c:v>
                </c:pt>
                <c:pt idx="75">
                  <c:v>-2.6094599999999999</c:v>
                </c:pt>
                <c:pt idx="76">
                  <c:v>-2.7465551999999991</c:v>
                </c:pt>
                <c:pt idx="77">
                  <c:v>-2.8836504000000009</c:v>
                </c:pt>
                <c:pt idx="78">
                  <c:v>-3.0207456000000001</c:v>
                </c:pt>
                <c:pt idx="79">
                  <c:v>-3.1578407999999989</c:v>
                </c:pt>
                <c:pt idx="80">
                  <c:v>-3.5446120000000012</c:v>
                </c:pt>
                <c:pt idx="81">
                  <c:v>-3.9813183999999988</c:v>
                </c:pt>
                <c:pt idx="82">
                  <c:v>-4.4180247999999969</c:v>
                </c:pt>
                <c:pt idx="83">
                  <c:v>-4.8547312000000007</c:v>
                </c:pt>
                <c:pt idx="84">
                  <c:v>-5.3855559999999976</c:v>
                </c:pt>
                <c:pt idx="85">
                  <c:v>-5.9634400000000038</c:v>
                </c:pt>
                <c:pt idx="86">
                  <c:v>-6.5413240000000004</c:v>
                </c:pt>
                <c:pt idx="87">
                  <c:v>-7.1192079999999969</c:v>
                </c:pt>
                <c:pt idx="88">
                  <c:v>-7.5048004000000006</c:v>
                </c:pt>
                <c:pt idx="89">
                  <c:v>-7.6981012</c:v>
                </c:pt>
                <c:pt idx="90">
                  <c:v>-7.8914019999999994</c:v>
                </c:pt>
                <c:pt idx="91">
                  <c:v>-8.0847028000000005</c:v>
                </c:pt>
                <c:pt idx="92">
                  <c:v>-8.1602044000000014</c:v>
                </c:pt>
                <c:pt idx="93">
                  <c:v>-8.0001076000000015</c:v>
                </c:pt>
                <c:pt idx="94">
                  <c:v>-7.8400107999999999</c:v>
                </c:pt>
                <c:pt idx="95">
                  <c:v>-7.6799140000000001</c:v>
                </c:pt>
                <c:pt idx="96">
                  <c:v>-7.480582400000003</c:v>
                </c:pt>
                <c:pt idx="97">
                  <c:v>-7.0850768000000004</c:v>
                </c:pt>
                <c:pt idx="98">
                  <c:v>-6.6895712000000014</c:v>
                </c:pt>
                <c:pt idx="99">
                  <c:v>-6.2940655999999979</c:v>
                </c:pt>
                <c:pt idx="100">
                  <c:v>-5.8985599999999998</c:v>
                </c:pt>
              </c:numCache>
            </c:numRef>
          </c:yVal>
          <c:smooth val="1"/>
          <c:extLst>
            <c:ext xmlns:c16="http://schemas.microsoft.com/office/drawing/2014/chart" uri="{C3380CC4-5D6E-409C-BE32-E72D297353CC}">
              <c16:uniqueId val="{00000000-2661-42AC-8E86-37096AEDF3D3}"/>
            </c:ext>
          </c:extLst>
        </c:ser>
        <c:ser>
          <c:idx val="0"/>
          <c:order val="6"/>
          <c:tx>
            <c:v>Left 1</c:v>
          </c:tx>
          <c:spPr>
            <a:ln w="19050">
              <a:solidFill>
                <a:srgbClr val="FF0000"/>
              </a:solidFill>
            </a:ln>
          </c:spPr>
          <c:marker>
            <c:symbol val="none"/>
          </c:marker>
          <c:xVal>
            <c:numRef>
              <c:f>'Left 1 Kin'!$A$2:$A$102</c:f>
              <c:numCache>
                <c:formatCode>General</c:formatCode>
                <c:ptCount val="1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'Left 1 Kin'!$AL$2:$AL$102</c:f>
              <c:numCache>
                <c:formatCode>General</c:formatCode>
                <c:ptCount val="101"/>
                <c:pt idx="0">
                  <c:v>22.1448</c:v>
                </c:pt>
                <c:pt idx="1">
                  <c:v>20.907550000000001</c:v>
                </c:pt>
                <c:pt idx="2">
                  <c:v>19.670300000000001</c:v>
                </c:pt>
                <c:pt idx="3">
                  <c:v>18.433050000000001</c:v>
                </c:pt>
                <c:pt idx="4">
                  <c:v>17.195799999999998</c:v>
                </c:pt>
                <c:pt idx="5">
                  <c:v>16.04045</c:v>
                </c:pt>
                <c:pt idx="6">
                  <c:v>14.8851</c:v>
                </c:pt>
                <c:pt idx="7">
                  <c:v>13.729749999999999</c:v>
                </c:pt>
                <c:pt idx="8">
                  <c:v>12.574400000000001</c:v>
                </c:pt>
                <c:pt idx="9">
                  <c:v>9.4307999999999979</c:v>
                </c:pt>
                <c:pt idx="10">
                  <c:v>6.2871999999999968</c:v>
                </c:pt>
                <c:pt idx="11">
                  <c:v>3.1435999999999962</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-1.6772800000000121</c:v>
                </c:pt>
                <c:pt idx="78">
                  <c:v>-3.3545600000000002</c:v>
                </c:pt>
                <c:pt idx="79">
                  <c:v>-5.0318399999999883</c:v>
                </c:pt>
                <c:pt idx="80">
                  <c:v>-6.7091200000000004</c:v>
                </c:pt>
                <c:pt idx="81">
                  <c:v>-7.5702399999999974</c:v>
                </c:pt>
                <c:pt idx="82">
                  <c:v>-8.4313599999999944</c:v>
                </c:pt>
                <c:pt idx="83">
                  <c:v>-9.2924800000000047</c:v>
                </c:pt>
                <c:pt idx="84">
                  <c:v>-10.153600000000001</c:v>
                </c:pt>
                <c:pt idx="85">
                  <c:v>-7.615199999999982</c:v>
                </c:pt>
                <c:pt idx="86">
                  <c:v>-5.0768000000000004</c:v>
                </c:pt>
                <c:pt idx="87">
                  <c:v>-2.538400000000018</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1"/>
          <c:extLst>
            <c:ext xmlns:c16="http://schemas.microsoft.com/office/drawing/2014/chart" uri="{C3380CC4-5D6E-409C-BE32-E72D297353CC}">
              <c16:uniqueId val="{00000000-A0FB-472C-96B1-83B200EC452A}"/>
            </c:ext>
          </c:extLst>
        </c:ser>
        <c:dLbls>
          <c:showLegendKey val="0"/>
          <c:showVal val="0"/>
          <c:showCatName val="0"/>
          <c:showSerName val="0"/>
          <c:showPercent val="0"/>
          <c:showBubbleSize val="0"/>
        </c:dLbls>
        <c:axId val="90982272"/>
        <c:axId val="90983808"/>
      </c:scatterChart>
      <c:valAx>
        <c:axId val="90982272"/>
        <c:scaling>
          <c:orientation val="minMax"/>
          <c:max val="100"/>
        </c:scaling>
        <c:delete val="0"/>
        <c:axPos val="b"/>
        <c:numFmt formatCode="General" sourceLinked="1"/>
        <c:majorTickMark val="out"/>
        <c:minorTickMark val="none"/>
        <c:tickLblPos val="nextTo"/>
        <c:txPr>
          <a:bodyPr/>
          <a:lstStyle/>
          <a:p>
            <a:pPr>
              <a:defRPr lang="en-US" sz="800"/>
            </a:pPr>
            <a:endParaRPr lang="en-US"/>
          </a:p>
        </c:txPr>
        <c:crossAx val="90983808"/>
        <c:crosses val="autoZero"/>
        <c:crossBetween val="midCat"/>
        <c:majorUnit val="20"/>
      </c:valAx>
      <c:valAx>
        <c:axId val="90983808"/>
        <c:scaling>
          <c:orientation val="minMax"/>
        </c:scaling>
        <c:delete val="0"/>
        <c:axPos val="l"/>
        <c:title>
          <c:tx>
            <c:rich>
              <a:bodyPr rot="-5400000" vert="horz"/>
              <a:lstStyle/>
              <a:p>
                <a:pPr>
                  <a:defRPr lang="en-AU" sz="900"/>
                </a:pPr>
                <a:r>
                  <a:rPr lang="en-US" sz="900"/>
                  <a:t>Power (W/kg)</a:t>
                </a:r>
              </a:p>
            </c:rich>
          </c:tx>
          <c:layout>
            <c:manualLayout>
              <c:xMode val="edge"/>
              <c:yMode val="edge"/>
              <c:x val="6.1702551325188921E-3"/>
              <c:y val="0.32694305948250502"/>
            </c:manualLayout>
          </c:layout>
          <c:overlay val="0"/>
        </c:title>
        <c:numFmt formatCode="0" sourceLinked="0"/>
        <c:majorTickMark val="out"/>
        <c:minorTickMark val="none"/>
        <c:tickLblPos val="nextTo"/>
        <c:txPr>
          <a:bodyPr/>
          <a:lstStyle/>
          <a:p>
            <a:pPr>
              <a:defRPr lang="en-US" sz="800"/>
            </a:pPr>
            <a:endParaRPr lang="en-US"/>
          </a:p>
        </c:txPr>
        <c:crossAx val="90982272"/>
        <c:crosses val="autoZero"/>
        <c:crossBetween val="midCat"/>
      </c:valAx>
    </c:plotArea>
    <c:plotVisOnly val="1"/>
    <c:dispBlanksAs val="gap"/>
    <c:showDLblsOverMax val="0"/>
  </c:chart>
  <c:printSettings>
    <c:headerFooter/>
    <c:pageMargins b="0.75000000000001421" l="0.70000000000000095" r="0.70000000000000095" t="0.75000000000001421" header="0.3000000000000001" footer="0.3000000000000001"/>
    <c:pageSetup/>
  </c:printSettings>
  <c:userShapes r:id="rId1"/>
</c:chartSpace>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13" Type="http://schemas.openxmlformats.org/officeDocument/2006/relationships/chart" Target="../charts/chart12.xml"/><Relationship Id="rId18" Type="http://schemas.openxmlformats.org/officeDocument/2006/relationships/chart" Target="../charts/chart17.xml"/><Relationship Id="rId3" Type="http://schemas.openxmlformats.org/officeDocument/2006/relationships/chart" Target="../charts/chart2.xml"/><Relationship Id="rId21" Type="http://schemas.openxmlformats.org/officeDocument/2006/relationships/chart" Target="../charts/chart20.xml"/><Relationship Id="rId7" Type="http://schemas.openxmlformats.org/officeDocument/2006/relationships/chart" Target="../charts/chart6.xml"/><Relationship Id="rId12" Type="http://schemas.openxmlformats.org/officeDocument/2006/relationships/chart" Target="../charts/chart11.xml"/><Relationship Id="rId17" Type="http://schemas.openxmlformats.org/officeDocument/2006/relationships/chart" Target="../charts/chart16.xml"/><Relationship Id="rId2" Type="http://schemas.openxmlformats.org/officeDocument/2006/relationships/chart" Target="../charts/chart1.xml"/><Relationship Id="rId16" Type="http://schemas.openxmlformats.org/officeDocument/2006/relationships/chart" Target="../charts/chart15.xml"/><Relationship Id="rId20" Type="http://schemas.openxmlformats.org/officeDocument/2006/relationships/chart" Target="../charts/chart19.xml"/><Relationship Id="rId1" Type="http://schemas.openxmlformats.org/officeDocument/2006/relationships/image" Target="../media/image1.png"/><Relationship Id="rId6" Type="http://schemas.openxmlformats.org/officeDocument/2006/relationships/chart" Target="../charts/chart5.xml"/><Relationship Id="rId11" Type="http://schemas.openxmlformats.org/officeDocument/2006/relationships/chart" Target="../charts/chart10.xml"/><Relationship Id="rId5" Type="http://schemas.openxmlformats.org/officeDocument/2006/relationships/chart" Target="../charts/chart4.xml"/><Relationship Id="rId15" Type="http://schemas.openxmlformats.org/officeDocument/2006/relationships/chart" Target="../charts/chart14.xml"/><Relationship Id="rId23" Type="http://schemas.openxmlformats.org/officeDocument/2006/relationships/chart" Target="../charts/chart22.xml"/><Relationship Id="rId10" Type="http://schemas.openxmlformats.org/officeDocument/2006/relationships/chart" Target="../charts/chart9.xml"/><Relationship Id="rId19" Type="http://schemas.openxmlformats.org/officeDocument/2006/relationships/chart" Target="../charts/chart18.xml"/><Relationship Id="rId4" Type="http://schemas.openxmlformats.org/officeDocument/2006/relationships/chart" Target="../charts/chart3.xml"/><Relationship Id="rId9" Type="http://schemas.openxmlformats.org/officeDocument/2006/relationships/chart" Target="../charts/chart8.xml"/><Relationship Id="rId14" Type="http://schemas.openxmlformats.org/officeDocument/2006/relationships/chart" Target="../charts/chart13.xml"/><Relationship Id="rId22" Type="http://schemas.openxmlformats.org/officeDocument/2006/relationships/chart" Target="../charts/chart21.xml"/></Relationships>
</file>

<file path=xl/drawings/drawing1.xml><?xml version="1.0" encoding="utf-8"?>
<xdr:wsDr xmlns:xdr="http://schemas.openxmlformats.org/drawingml/2006/spreadsheetDrawing" xmlns:a="http://schemas.openxmlformats.org/drawingml/2006/main">
  <xdr:oneCellAnchor>
    <xdr:from>
      <xdr:col>12</xdr:col>
      <xdr:colOff>418478</xdr:colOff>
      <xdr:row>0</xdr:row>
      <xdr:rowOff>1</xdr:rowOff>
    </xdr:from>
    <xdr:ext cx="1200772" cy="542924"/>
    <xdr:pic>
      <xdr:nvPicPr>
        <xdr:cNvPr id="2" name="Picture 1">
          <a:extLst>
            <a:ext uri="{FF2B5EF4-FFF2-40B4-BE49-F238E27FC236}">
              <a16:creationId xmlns:a16="http://schemas.microsoft.com/office/drawing/2014/main" id="{F1043152-66B9-42AD-A280-A77C0D2C04D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933578" y="1"/>
          <a:ext cx="1200772" cy="542924"/>
        </a:xfrm>
        <a:prstGeom prst="rect">
          <a:avLst/>
        </a:prstGeom>
      </xdr:spPr>
    </xdr:pic>
    <xdr:clientData/>
  </xdr:oneCellAnchor>
  <xdr:twoCellAnchor>
    <xdr:from>
      <xdr:col>0</xdr:col>
      <xdr:colOff>19050</xdr:colOff>
      <xdr:row>12</xdr:row>
      <xdr:rowOff>28577</xdr:rowOff>
    </xdr:from>
    <xdr:to>
      <xdr:col>7</xdr:col>
      <xdr:colOff>438150</xdr:colOff>
      <xdr:row>27</xdr:row>
      <xdr:rowOff>123826</xdr:rowOff>
    </xdr:to>
    <xdr:graphicFrame macro="">
      <xdr:nvGraphicFramePr>
        <xdr:cNvPr id="3" name="Chart 1">
          <a:extLst>
            <a:ext uri="{FF2B5EF4-FFF2-40B4-BE49-F238E27FC236}">
              <a16:creationId xmlns:a16="http://schemas.microsoft.com/office/drawing/2014/main" id="{92D5AECD-AF8C-4423-9F7D-972B582D9712}"/>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19050</xdr:colOff>
      <xdr:row>33</xdr:row>
      <xdr:rowOff>76200</xdr:rowOff>
    </xdr:from>
    <xdr:to>
      <xdr:col>8</xdr:col>
      <xdr:colOff>495300</xdr:colOff>
      <xdr:row>49</xdr:row>
      <xdr:rowOff>38100</xdr:rowOff>
    </xdr:to>
    <xdr:graphicFrame macro="">
      <xdr:nvGraphicFramePr>
        <xdr:cNvPr id="5" name="Chart 2">
          <a:extLst>
            <a:ext uri="{FF2B5EF4-FFF2-40B4-BE49-F238E27FC236}">
              <a16:creationId xmlns:a16="http://schemas.microsoft.com/office/drawing/2014/main" id="{F36C76D2-9E28-46E2-99B2-92226E54F277}"/>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28574</xdr:colOff>
      <xdr:row>54</xdr:row>
      <xdr:rowOff>38099</xdr:rowOff>
    </xdr:from>
    <xdr:to>
      <xdr:col>7</xdr:col>
      <xdr:colOff>260099</xdr:colOff>
      <xdr:row>71</xdr:row>
      <xdr:rowOff>129224</xdr:rowOff>
    </xdr:to>
    <xdr:graphicFrame macro="">
      <xdr:nvGraphicFramePr>
        <xdr:cNvPr id="6" name="Chart 3">
          <a:extLst>
            <a:ext uri="{FF2B5EF4-FFF2-40B4-BE49-F238E27FC236}">
              <a16:creationId xmlns:a16="http://schemas.microsoft.com/office/drawing/2014/main" id="{60CC0973-C9E8-4C56-AE67-0692DFBE4C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285751</xdr:colOff>
      <xdr:row>54</xdr:row>
      <xdr:rowOff>38099</xdr:rowOff>
    </xdr:from>
    <xdr:to>
      <xdr:col>14</xdr:col>
      <xdr:colOff>517276</xdr:colOff>
      <xdr:row>71</xdr:row>
      <xdr:rowOff>129224</xdr:rowOff>
    </xdr:to>
    <xdr:graphicFrame macro="">
      <xdr:nvGraphicFramePr>
        <xdr:cNvPr id="7" name="Chart 4">
          <a:extLst>
            <a:ext uri="{FF2B5EF4-FFF2-40B4-BE49-F238E27FC236}">
              <a16:creationId xmlns:a16="http://schemas.microsoft.com/office/drawing/2014/main" id="{FA77FB73-266D-4228-814D-5CD33C980F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66676</xdr:colOff>
      <xdr:row>91</xdr:row>
      <xdr:rowOff>28575</xdr:rowOff>
    </xdr:from>
    <xdr:to>
      <xdr:col>9</xdr:col>
      <xdr:colOff>508351</xdr:colOff>
      <xdr:row>105</xdr:row>
      <xdr:rowOff>38100</xdr:rowOff>
    </xdr:to>
    <xdr:graphicFrame macro="">
      <xdr:nvGraphicFramePr>
        <xdr:cNvPr id="12" name="Chart 5">
          <a:extLst>
            <a:ext uri="{FF2B5EF4-FFF2-40B4-BE49-F238E27FC236}">
              <a16:creationId xmlns:a16="http://schemas.microsoft.com/office/drawing/2014/main" id="{3AC908D6-3D71-43A9-AD97-A4D469538C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57150</xdr:colOff>
      <xdr:row>105</xdr:row>
      <xdr:rowOff>66674</xdr:rowOff>
    </xdr:from>
    <xdr:to>
      <xdr:col>9</xdr:col>
      <xdr:colOff>498825</xdr:colOff>
      <xdr:row>119</xdr:row>
      <xdr:rowOff>76199</xdr:rowOff>
    </xdr:to>
    <xdr:graphicFrame macro="">
      <xdr:nvGraphicFramePr>
        <xdr:cNvPr id="13" name="Chart 6">
          <a:extLst>
            <a:ext uri="{FF2B5EF4-FFF2-40B4-BE49-F238E27FC236}">
              <a16:creationId xmlns:a16="http://schemas.microsoft.com/office/drawing/2014/main" id="{0A89B43A-FEF8-4B83-A315-9B4A338075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66676</xdr:colOff>
      <xdr:row>119</xdr:row>
      <xdr:rowOff>104774</xdr:rowOff>
    </xdr:from>
    <xdr:to>
      <xdr:col>9</xdr:col>
      <xdr:colOff>508351</xdr:colOff>
      <xdr:row>133</xdr:row>
      <xdr:rowOff>114300</xdr:rowOff>
    </xdr:to>
    <xdr:graphicFrame macro="">
      <xdr:nvGraphicFramePr>
        <xdr:cNvPr id="4" name="Chart 7">
          <a:extLst>
            <a:ext uri="{FF2B5EF4-FFF2-40B4-BE49-F238E27FC236}">
              <a16:creationId xmlns:a16="http://schemas.microsoft.com/office/drawing/2014/main" id="{20E05BC5-6022-484E-9E21-6C993858F6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66675</xdr:colOff>
      <xdr:row>137</xdr:row>
      <xdr:rowOff>19050</xdr:rowOff>
    </xdr:from>
    <xdr:to>
      <xdr:col>9</xdr:col>
      <xdr:colOff>508350</xdr:colOff>
      <xdr:row>151</xdr:row>
      <xdr:rowOff>88800</xdr:rowOff>
    </xdr:to>
    <xdr:graphicFrame macro="">
      <xdr:nvGraphicFramePr>
        <xdr:cNvPr id="9" name="Chart 8">
          <a:extLst>
            <a:ext uri="{FF2B5EF4-FFF2-40B4-BE49-F238E27FC236}">
              <a16:creationId xmlns:a16="http://schemas.microsoft.com/office/drawing/2014/main" id="{7D33C868-E7CA-42BB-8218-51BCF22F9A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66674</xdr:colOff>
      <xdr:row>151</xdr:row>
      <xdr:rowOff>114300</xdr:rowOff>
    </xdr:from>
    <xdr:to>
      <xdr:col>9</xdr:col>
      <xdr:colOff>508349</xdr:colOff>
      <xdr:row>166</xdr:row>
      <xdr:rowOff>41175</xdr:rowOff>
    </xdr:to>
    <xdr:graphicFrame macro="">
      <xdr:nvGraphicFramePr>
        <xdr:cNvPr id="17" name="Chart 9">
          <a:extLst>
            <a:ext uri="{FF2B5EF4-FFF2-40B4-BE49-F238E27FC236}">
              <a16:creationId xmlns:a16="http://schemas.microsoft.com/office/drawing/2014/main" id="{9FB69FBE-5B30-4404-8802-70F242565F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66675</xdr:colOff>
      <xdr:row>166</xdr:row>
      <xdr:rowOff>66675</xdr:rowOff>
    </xdr:from>
    <xdr:to>
      <xdr:col>9</xdr:col>
      <xdr:colOff>508350</xdr:colOff>
      <xdr:row>180</xdr:row>
      <xdr:rowOff>136425</xdr:rowOff>
    </xdr:to>
    <xdr:graphicFrame macro="">
      <xdr:nvGraphicFramePr>
        <xdr:cNvPr id="18" name="Chart 10">
          <a:extLst>
            <a:ext uri="{FF2B5EF4-FFF2-40B4-BE49-F238E27FC236}">
              <a16:creationId xmlns:a16="http://schemas.microsoft.com/office/drawing/2014/main" id="{1C07C3B8-CF14-44D5-A3BC-B69530AF35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66676</xdr:colOff>
      <xdr:row>182</xdr:row>
      <xdr:rowOff>28574</xdr:rowOff>
    </xdr:from>
    <xdr:to>
      <xdr:col>9</xdr:col>
      <xdr:colOff>508351</xdr:colOff>
      <xdr:row>196</xdr:row>
      <xdr:rowOff>98324</xdr:rowOff>
    </xdr:to>
    <xdr:graphicFrame macro="">
      <xdr:nvGraphicFramePr>
        <xdr:cNvPr id="14" name="Chart 11">
          <a:extLst>
            <a:ext uri="{FF2B5EF4-FFF2-40B4-BE49-F238E27FC236}">
              <a16:creationId xmlns:a16="http://schemas.microsoft.com/office/drawing/2014/main" id="{1844AEC8-CBF4-4F6C-9D4B-CE41A9D10A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66675</xdr:colOff>
      <xdr:row>196</xdr:row>
      <xdr:rowOff>114299</xdr:rowOff>
    </xdr:from>
    <xdr:to>
      <xdr:col>9</xdr:col>
      <xdr:colOff>508350</xdr:colOff>
      <xdr:row>211</xdr:row>
      <xdr:rowOff>41174</xdr:rowOff>
    </xdr:to>
    <xdr:graphicFrame macro="">
      <xdr:nvGraphicFramePr>
        <xdr:cNvPr id="15" name="Chart 12">
          <a:extLst>
            <a:ext uri="{FF2B5EF4-FFF2-40B4-BE49-F238E27FC236}">
              <a16:creationId xmlns:a16="http://schemas.microsoft.com/office/drawing/2014/main" id="{60FC2F09-7998-41D4-9B26-E1087322E68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0</xdr:col>
      <xdr:colOff>66675</xdr:colOff>
      <xdr:row>211</xdr:row>
      <xdr:rowOff>57150</xdr:rowOff>
    </xdr:from>
    <xdr:to>
      <xdr:col>9</xdr:col>
      <xdr:colOff>508350</xdr:colOff>
      <xdr:row>225</xdr:row>
      <xdr:rowOff>126900</xdr:rowOff>
    </xdr:to>
    <xdr:graphicFrame macro="">
      <xdr:nvGraphicFramePr>
        <xdr:cNvPr id="16" name="Chart 13">
          <a:extLst>
            <a:ext uri="{FF2B5EF4-FFF2-40B4-BE49-F238E27FC236}">
              <a16:creationId xmlns:a16="http://schemas.microsoft.com/office/drawing/2014/main" id="{3129E156-66D5-427D-9D03-A78908138A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0</xdr:col>
      <xdr:colOff>66674</xdr:colOff>
      <xdr:row>227</xdr:row>
      <xdr:rowOff>47625</xdr:rowOff>
    </xdr:from>
    <xdr:to>
      <xdr:col>9</xdr:col>
      <xdr:colOff>508349</xdr:colOff>
      <xdr:row>241</xdr:row>
      <xdr:rowOff>117375</xdr:rowOff>
    </xdr:to>
    <xdr:graphicFrame macro="">
      <xdr:nvGraphicFramePr>
        <xdr:cNvPr id="20" name="Chart 14">
          <a:extLst>
            <a:ext uri="{FF2B5EF4-FFF2-40B4-BE49-F238E27FC236}">
              <a16:creationId xmlns:a16="http://schemas.microsoft.com/office/drawing/2014/main" id="{DB55BFA8-3E35-4411-9C69-7E9159C7F29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0</xdr:col>
      <xdr:colOff>66674</xdr:colOff>
      <xdr:row>242</xdr:row>
      <xdr:rowOff>47624</xdr:rowOff>
    </xdr:from>
    <xdr:to>
      <xdr:col>9</xdr:col>
      <xdr:colOff>508349</xdr:colOff>
      <xdr:row>256</xdr:row>
      <xdr:rowOff>117374</xdr:rowOff>
    </xdr:to>
    <xdr:graphicFrame macro="">
      <xdr:nvGraphicFramePr>
        <xdr:cNvPr id="21" name="Chart 15">
          <a:extLst>
            <a:ext uri="{FF2B5EF4-FFF2-40B4-BE49-F238E27FC236}">
              <a16:creationId xmlns:a16="http://schemas.microsoft.com/office/drawing/2014/main" id="{E8033C6B-56FA-4318-BB0A-5A442E1CBE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66674</xdr:colOff>
      <xdr:row>257</xdr:row>
      <xdr:rowOff>47624</xdr:rowOff>
    </xdr:from>
    <xdr:to>
      <xdr:col>9</xdr:col>
      <xdr:colOff>508349</xdr:colOff>
      <xdr:row>271</xdr:row>
      <xdr:rowOff>117374</xdr:rowOff>
    </xdr:to>
    <xdr:graphicFrame macro="">
      <xdr:nvGraphicFramePr>
        <xdr:cNvPr id="22" name="Chart 16">
          <a:extLst>
            <a:ext uri="{FF2B5EF4-FFF2-40B4-BE49-F238E27FC236}">
              <a16:creationId xmlns:a16="http://schemas.microsoft.com/office/drawing/2014/main" id="{63D1B197-53F8-4BC0-A3EF-978E6DC301E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0</xdr:col>
      <xdr:colOff>28575</xdr:colOff>
      <xdr:row>273</xdr:row>
      <xdr:rowOff>66674</xdr:rowOff>
    </xdr:from>
    <xdr:to>
      <xdr:col>7</xdr:col>
      <xdr:colOff>260100</xdr:colOff>
      <xdr:row>287</xdr:row>
      <xdr:rowOff>136424</xdr:rowOff>
    </xdr:to>
    <xdr:graphicFrame macro="">
      <xdr:nvGraphicFramePr>
        <xdr:cNvPr id="19" name="Chart 17">
          <a:extLst>
            <a:ext uri="{FF2B5EF4-FFF2-40B4-BE49-F238E27FC236}">
              <a16:creationId xmlns:a16="http://schemas.microsoft.com/office/drawing/2014/main" id="{2D164C35-3262-4A2E-B95D-97142941175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0</xdr:col>
      <xdr:colOff>28574</xdr:colOff>
      <xdr:row>288</xdr:row>
      <xdr:rowOff>95249</xdr:rowOff>
    </xdr:from>
    <xdr:to>
      <xdr:col>7</xdr:col>
      <xdr:colOff>260099</xdr:colOff>
      <xdr:row>303</xdr:row>
      <xdr:rowOff>22124</xdr:rowOff>
    </xdr:to>
    <xdr:graphicFrame macro="">
      <xdr:nvGraphicFramePr>
        <xdr:cNvPr id="23" name="Chart 19">
          <a:extLst>
            <a:ext uri="{FF2B5EF4-FFF2-40B4-BE49-F238E27FC236}">
              <a16:creationId xmlns:a16="http://schemas.microsoft.com/office/drawing/2014/main" id="{0F7684A5-0325-4316-AAA9-100EDC3EF8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0</xdr:col>
      <xdr:colOff>28575</xdr:colOff>
      <xdr:row>303</xdr:row>
      <xdr:rowOff>85724</xdr:rowOff>
    </xdr:from>
    <xdr:to>
      <xdr:col>7</xdr:col>
      <xdr:colOff>260100</xdr:colOff>
      <xdr:row>318</xdr:row>
      <xdr:rowOff>12599</xdr:rowOff>
    </xdr:to>
    <xdr:graphicFrame macro="">
      <xdr:nvGraphicFramePr>
        <xdr:cNvPr id="24" name="Chart 21">
          <a:extLst>
            <a:ext uri="{FF2B5EF4-FFF2-40B4-BE49-F238E27FC236}">
              <a16:creationId xmlns:a16="http://schemas.microsoft.com/office/drawing/2014/main" id="{9ACE00B9-7529-4B34-AC9B-348347EBFB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7</xdr:col>
      <xdr:colOff>285748</xdr:colOff>
      <xdr:row>273</xdr:row>
      <xdr:rowOff>66675</xdr:rowOff>
    </xdr:from>
    <xdr:to>
      <xdr:col>14</xdr:col>
      <xdr:colOff>517273</xdr:colOff>
      <xdr:row>287</xdr:row>
      <xdr:rowOff>136425</xdr:rowOff>
    </xdr:to>
    <xdr:graphicFrame macro="">
      <xdr:nvGraphicFramePr>
        <xdr:cNvPr id="25" name="Chart 18">
          <a:extLst>
            <a:ext uri="{FF2B5EF4-FFF2-40B4-BE49-F238E27FC236}">
              <a16:creationId xmlns:a16="http://schemas.microsoft.com/office/drawing/2014/main" id="{407D2BA5-8F6B-4858-A4C4-076466C879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xdr:col>
      <xdr:colOff>285750</xdr:colOff>
      <xdr:row>288</xdr:row>
      <xdr:rowOff>95250</xdr:rowOff>
    </xdr:from>
    <xdr:to>
      <xdr:col>14</xdr:col>
      <xdr:colOff>517275</xdr:colOff>
      <xdr:row>303</xdr:row>
      <xdr:rowOff>22125</xdr:rowOff>
    </xdr:to>
    <xdr:graphicFrame macro="">
      <xdr:nvGraphicFramePr>
        <xdr:cNvPr id="30" name="Chart 20">
          <a:extLst>
            <a:ext uri="{FF2B5EF4-FFF2-40B4-BE49-F238E27FC236}">
              <a16:creationId xmlns:a16="http://schemas.microsoft.com/office/drawing/2014/main" id="{67F5CC04-E9D0-436A-8313-A1509C5DD72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xdr:col>
      <xdr:colOff>285748</xdr:colOff>
      <xdr:row>303</xdr:row>
      <xdr:rowOff>85723</xdr:rowOff>
    </xdr:from>
    <xdr:to>
      <xdr:col>14</xdr:col>
      <xdr:colOff>517273</xdr:colOff>
      <xdr:row>318</xdr:row>
      <xdr:rowOff>12598</xdr:rowOff>
    </xdr:to>
    <xdr:graphicFrame macro="">
      <xdr:nvGraphicFramePr>
        <xdr:cNvPr id="31" name="Chart 22">
          <a:extLst>
            <a:ext uri="{FF2B5EF4-FFF2-40B4-BE49-F238E27FC236}">
              <a16:creationId xmlns:a16="http://schemas.microsoft.com/office/drawing/2014/main" id="{F4E03F62-5536-4EFE-898B-2E12510524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0</xdr:col>
      <xdr:colOff>57149</xdr:colOff>
      <xdr:row>49</xdr:row>
      <xdr:rowOff>76202</xdr:rowOff>
    </xdr:from>
    <xdr:to>
      <xdr:col>14</xdr:col>
      <xdr:colOff>390524</xdr:colOff>
      <xdr:row>52</xdr:row>
      <xdr:rowOff>66675</xdr:rowOff>
    </xdr:to>
    <xdr:sp macro="" textlink="">
      <xdr:nvSpPr>
        <xdr:cNvPr id="28" name="TextBox 27">
          <a:extLst>
            <a:ext uri="{FF2B5EF4-FFF2-40B4-BE49-F238E27FC236}">
              <a16:creationId xmlns:a16="http://schemas.microsoft.com/office/drawing/2014/main" id="{951BB303-4B5D-422F-9B03-8E3A8C4161E9}"/>
            </a:ext>
          </a:extLst>
        </xdr:cNvPr>
        <xdr:cNvSpPr txBox="1"/>
      </xdr:nvSpPr>
      <xdr:spPr>
        <a:xfrm>
          <a:off x="57149" y="6934202"/>
          <a:ext cx="7934325" cy="41909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Comments:  The centre of mass height drops by about 5cm over the stance; the height tending to be slightly lower on the left side during the first half of the phase.</a:t>
          </a:r>
        </a:p>
        <a:p>
          <a:endParaRPr lang="en-AU" sz="800"/>
        </a:p>
      </xdr:txBody>
    </xdr:sp>
    <xdr:clientData/>
  </xdr:twoCellAnchor>
  <xdr:twoCellAnchor>
    <xdr:from>
      <xdr:col>0</xdr:col>
      <xdr:colOff>76200</xdr:colOff>
      <xdr:row>28</xdr:row>
      <xdr:rowOff>38101</xdr:rowOff>
    </xdr:from>
    <xdr:to>
      <xdr:col>14</xdr:col>
      <xdr:colOff>409575</xdr:colOff>
      <xdr:row>31</xdr:row>
      <xdr:rowOff>104776</xdr:rowOff>
    </xdr:to>
    <xdr:sp macro="" textlink="">
      <xdr:nvSpPr>
        <xdr:cNvPr id="29" name="TextBox 28">
          <a:extLst>
            <a:ext uri="{FF2B5EF4-FFF2-40B4-BE49-F238E27FC236}">
              <a16:creationId xmlns:a16="http://schemas.microsoft.com/office/drawing/2014/main" id="{4F087B00-558A-43AD-B526-9715AAD61805}"/>
            </a:ext>
          </a:extLst>
        </xdr:cNvPr>
        <xdr:cNvSpPr txBox="1"/>
      </xdr:nvSpPr>
      <xdr:spPr>
        <a:xfrm>
          <a:off x="76200" y="3895726"/>
          <a:ext cx="7934325" cy="495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Comments: Velocity is good, particularly compared with the benchmark. However, there is quite a variance in speed across the stance phase. There is also variance between the right leg trials, whereas the left leg is more consistent. </a:t>
          </a:r>
        </a:p>
      </xdr:txBody>
    </xdr:sp>
    <xdr:clientData/>
  </xdr:twoCellAnchor>
  <xdr:twoCellAnchor>
    <xdr:from>
      <xdr:col>10</xdr:col>
      <xdr:colOff>0</xdr:colOff>
      <xdr:row>117</xdr:row>
      <xdr:rowOff>95250</xdr:rowOff>
    </xdr:from>
    <xdr:to>
      <xdr:col>14</xdr:col>
      <xdr:colOff>485775</xdr:colOff>
      <xdr:row>134</xdr:row>
      <xdr:rowOff>0</xdr:rowOff>
    </xdr:to>
    <xdr:sp macro="" textlink="">
      <xdr:nvSpPr>
        <xdr:cNvPr id="33" name="TextBox 32">
          <a:extLst>
            <a:ext uri="{FF2B5EF4-FFF2-40B4-BE49-F238E27FC236}">
              <a16:creationId xmlns:a16="http://schemas.microsoft.com/office/drawing/2014/main" id="{1A75FA04-327A-4A76-BB4B-B46FE6410BD1}"/>
            </a:ext>
          </a:extLst>
        </xdr:cNvPr>
        <xdr:cNvSpPr txBox="1"/>
      </xdr:nvSpPr>
      <xdr:spPr>
        <a:xfrm>
          <a:off x="5429250" y="16954500"/>
          <a:ext cx="2657475" cy="2333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Comments:</a:t>
          </a:r>
        </a:p>
        <a:p>
          <a:r>
            <a:rPr lang="en-AU" sz="800"/>
            <a:t>The ankle, knee and hip movements are all quite reasonable, following the benchmark quite well. The only concern is the leg does land with slightly more knee flexion than the benchmark, and the right knee is generally more flexed than the left, throughout the phase.</a:t>
          </a:r>
        </a:p>
        <a:p>
          <a:endParaRPr lang="en-AU" sz="800"/>
        </a:p>
        <a:p>
          <a:endParaRPr lang="en-AU" sz="800"/>
        </a:p>
      </xdr:txBody>
    </xdr:sp>
    <xdr:clientData/>
  </xdr:twoCellAnchor>
  <xdr:twoCellAnchor>
    <xdr:from>
      <xdr:col>10</xdr:col>
      <xdr:colOff>28575</xdr:colOff>
      <xdr:row>163</xdr:row>
      <xdr:rowOff>95250</xdr:rowOff>
    </xdr:from>
    <xdr:to>
      <xdr:col>14</xdr:col>
      <xdr:colOff>485774</xdr:colOff>
      <xdr:row>180</xdr:row>
      <xdr:rowOff>123824</xdr:rowOff>
    </xdr:to>
    <xdr:sp macro="" textlink="">
      <xdr:nvSpPr>
        <xdr:cNvPr id="35" name="TextBox 34">
          <a:extLst>
            <a:ext uri="{FF2B5EF4-FFF2-40B4-BE49-F238E27FC236}">
              <a16:creationId xmlns:a16="http://schemas.microsoft.com/office/drawing/2014/main" id="{DCC2ADA0-4318-4BFD-AC5B-994B1A36EDBC}"/>
            </a:ext>
          </a:extLst>
        </xdr:cNvPr>
        <xdr:cNvSpPr txBox="1"/>
      </xdr:nvSpPr>
      <xdr:spPr>
        <a:xfrm>
          <a:off x="5457825" y="23526750"/>
          <a:ext cx="2628899" cy="24574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Comments:</a:t>
          </a:r>
        </a:p>
        <a:p>
          <a:r>
            <a:rPr lang="en-AU" sz="800"/>
            <a:t>The pelvis tilt follows the benchmark profile reasonably well, although with somewhat more movement in each direction, particularly on the left side. On the right side, the pelvis is dropped quite substantially, whereas the left side follows the benchmark quite well. In addition, on the right side, the pelvis is much more open, while the left closes off compared to the benchmark. In summary, there is a large asymmetry in the way the pelvis drops and rotates. </a:t>
          </a:r>
        </a:p>
        <a:p>
          <a:r>
            <a:rPr lang="en-AU" sz="800"/>
            <a:t>NB. Benchmark represents high level male sprinters - be mindful when comparing data.</a:t>
          </a:r>
        </a:p>
        <a:p>
          <a:endParaRPr lang="en-AU" sz="800"/>
        </a:p>
      </xdr:txBody>
    </xdr:sp>
    <xdr:clientData/>
  </xdr:twoCellAnchor>
  <xdr:twoCellAnchor>
    <xdr:from>
      <xdr:col>9</xdr:col>
      <xdr:colOff>542924</xdr:colOff>
      <xdr:row>209</xdr:row>
      <xdr:rowOff>28576</xdr:rowOff>
    </xdr:from>
    <xdr:to>
      <xdr:col>14</xdr:col>
      <xdr:colOff>504825</xdr:colOff>
      <xdr:row>223</xdr:row>
      <xdr:rowOff>66675</xdr:rowOff>
    </xdr:to>
    <xdr:sp macro="" textlink="">
      <xdr:nvSpPr>
        <xdr:cNvPr id="36" name="TextBox 35">
          <a:extLst>
            <a:ext uri="{FF2B5EF4-FFF2-40B4-BE49-F238E27FC236}">
              <a16:creationId xmlns:a16="http://schemas.microsoft.com/office/drawing/2014/main" id="{128046A4-2393-4491-8A80-348AFA25E624}"/>
            </a:ext>
          </a:extLst>
        </xdr:cNvPr>
        <xdr:cNvSpPr txBox="1"/>
      </xdr:nvSpPr>
      <xdr:spPr>
        <a:xfrm>
          <a:off x="5429249" y="30032326"/>
          <a:ext cx="2676526" cy="20383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Comments:</a:t>
          </a:r>
        </a:p>
        <a:p>
          <a:r>
            <a:rPr lang="en-AU" sz="800"/>
            <a:t>The thorax sagittal movement (forward and back) is quite reasonably; ifn anything, slightly more posteriorly tilted at contact than could be expected. The thorax is generally more "lifted" to the side than can be expected, particularly on the right side. However, the thoracic rotation is quite reasonable. </a:t>
          </a:r>
        </a:p>
      </xdr:txBody>
    </xdr:sp>
    <xdr:clientData/>
  </xdr:twoCellAnchor>
  <xdr:twoCellAnchor>
    <xdr:from>
      <xdr:col>10</xdr:col>
      <xdr:colOff>28574</xdr:colOff>
      <xdr:row>252</xdr:row>
      <xdr:rowOff>104776</xdr:rowOff>
    </xdr:from>
    <xdr:to>
      <xdr:col>14</xdr:col>
      <xdr:colOff>495299</xdr:colOff>
      <xdr:row>269</xdr:row>
      <xdr:rowOff>85725</xdr:rowOff>
    </xdr:to>
    <xdr:sp macro="" textlink="">
      <xdr:nvSpPr>
        <xdr:cNvPr id="37" name="TextBox 36">
          <a:extLst>
            <a:ext uri="{FF2B5EF4-FFF2-40B4-BE49-F238E27FC236}">
              <a16:creationId xmlns:a16="http://schemas.microsoft.com/office/drawing/2014/main" id="{5A58B460-CA7F-4E89-A3E5-DD62A48C4BE3}"/>
            </a:ext>
          </a:extLst>
        </xdr:cNvPr>
        <xdr:cNvSpPr txBox="1"/>
      </xdr:nvSpPr>
      <xdr:spPr>
        <a:xfrm>
          <a:off x="5457824" y="36252151"/>
          <a:ext cx="2638425" cy="24098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Comments</a:t>
          </a:r>
        </a:p>
        <a:p>
          <a:r>
            <a:rPr lang="en-AU" sz="800"/>
            <a:t>Generally the joint velocities are reasonable. However, the left ankle dorsi- and planterflexes with more velocity than the left, and the benchmark. The left knee does not flex after contact with as large a velocity as the right. And lastly, the left hip extends with greater velocity than the right, and more so than the benchmark. Both knees show a spike in flexion velocity, indicating that the flexion is occuring quite rapidly.  In general, there is no stalling in velocities, particularly the hip extension, which is good.</a:t>
          </a:r>
        </a:p>
        <a:p>
          <a:r>
            <a:rPr lang="en-AU" sz="800"/>
            <a:t>:</a:t>
          </a:r>
        </a:p>
      </xdr:txBody>
    </xdr:sp>
    <xdr:clientData/>
  </xdr:twoCellAnchor>
  <xdr:twoCellAnchor>
    <xdr:from>
      <xdr:col>0</xdr:col>
      <xdr:colOff>95250</xdr:colOff>
      <xdr:row>318</xdr:row>
      <xdr:rowOff>85725</xdr:rowOff>
    </xdr:from>
    <xdr:to>
      <xdr:col>14</xdr:col>
      <xdr:colOff>390525</xdr:colOff>
      <xdr:row>327</xdr:row>
      <xdr:rowOff>47625</xdr:rowOff>
    </xdr:to>
    <xdr:sp macro="" textlink="">
      <xdr:nvSpPr>
        <xdr:cNvPr id="38" name="TextBox 37">
          <a:extLst>
            <a:ext uri="{FF2B5EF4-FFF2-40B4-BE49-F238E27FC236}">
              <a16:creationId xmlns:a16="http://schemas.microsoft.com/office/drawing/2014/main" id="{F754F99F-937C-4AFF-9B9D-E45FBBC365ED}"/>
            </a:ext>
          </a:extLst>
        </xdr:cNvPr>
        <xdr:cNvSpPr txBox="1"/>
      </xdr:nvSpPr>
      <xdr:spPr>
        <a:xfrm>
          <a:off x="95250" y="45662850"/>
          <a:ext cx="7896225" cy="1247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Comments:</a:t>
          </a:r>
        </a:p>
      </xdr:txBody>
    </xdr:sp>
    <xdr:clientData/>
  </xdr:twoCellAnchor>
  <xdr:twoCellAnchor>
    <xdr:from>
      <xdr:col>0</xdr:col>
      <xdr:colOff>38099</xdr:colOff>
      <xdr:row>82</xdr:row>
      <xdr:rowOff>85725</xdr:rowOff>
    </xdr:from>
    <xdr:to>
      <xdr:col>14</xdr:col>
      <xdr:colOff>501149</xdr:colOff>
      <xdr:row>88</xdr:row>
      <xdr:rowOff>123824</xdr:rowOff>
    </xdr:to>
    <xdr:sp macro="" textlink="">
      <xdr:nvSpPr>
        <xdr:cNvPr id="41" name="TextBox 40">
          <a:extLst>
            <a:ext uri="{FF2B5EF4-FFF2-40B4-BE49-F238E27FC236}">
              <a16:creationId xmlns:a16="http://schemas.microsoft.com/office/drawing/2014/main" id="{D1C32A66-409A-4327-8862-FAA9DA6BCBC7}"/>
            </a:ext>
          </a:extLst>
        </xdr:cNvPr>
        <xdr:cNvSpPr txBox="1"/>
      </xdr:nvSpPr>
      <xdr:spPr>
        <a:xfrm>
          <a:off x="38099" y="12087225"/>
          <a:ext cx="8064000" cy="8953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Comments: The peak vertical ground reaction force (GRF) occurs around mid-stance which is good, and the amount of force is not extreme. There is a stalling of vertical force on both legs at around 10% of the phase, perhaps suggesting an inefficiency in contact.</a:t>
          </a:r>
        </a:p>
        <a:p>
          <a:r>
            <a:rPr lang="en-AU" sz="800"/>
            <a:t>There is a moderate braking force (Pos GRF) over the initial contact, transitioning to a propulsive (Ant GRF) quite early (around 15%), reach a reasonable peak force for propulsion.</a:t>
          </a:r>
        </a:p>
        <a:p>
          <a:r>
            <a:rPr lang="en-AU" sz="800"/>
            <a:t>Both feet strike a good distance from the hips, certainly not excessively far in front. But of note is the variance/inconsistencies between each trial.</a:t>
          </a:r>
        </a:p>
        <a:p>
          <a:r>
            <a:rPr lang="en-AU" sz="800"/>
            <a:t>Ground contact time ranges (Left:0.100-0.106, Right: 0.109-0.119); the right leg is on the ground for longer suggesting an imbalance. This may be influencing the lower velocity. </a:t>
          </a:r>
        </a:p>
        <a:p>
          <a:r>
            <a:rPr lang="en-AU" sz="800"/>
            <a:t>NB. Data is for the stance phase, when the foot is contacting the ground. Benchmark represents high level male sprinters - be mindful when comparing data.</a:t>
          </a:r>
        </a:p>
        <a:p>
          <a:endParaRPr lang="en-AU" sz="800"/>
        </a:p>
      </xdr:txBody>
    </xdr:sp>
    <xdr:clientData/>
  </xdr:twoCellAnchor>
</xdr:wsDr>
</file>

<file path=xl/drawings/drawing2.xml><?xml version="1.0" encoding="utf-8"?>
<c:userShapes xmlns:c="http://schemas.openxmlformats.org/drawingml/2006/chart">
  <cdr:relSizeAnchor xmlns:cdr="http://schemas.openxmlformats.org/drawingml/2006/chartDrawing">
    <cdr:from>
      <cdr:x>0.07582</cdr:x>
      <cdr:y>0</cdr:y>
    </cdr:from>
    <cdr:to>
      <cdr:x>0.18868</cdr:x>
      <cdr:y>0.10825</cdr:y>
    </cdr:to>
    <cdr:sp macro="" textlink="">
      <cdr:nvSpPr>
        <cdr:cNvPr id="2" name="TextBox 36"/>
        <cdr:cNvSpPr txBox="1"/>
      </cdr:nvSpPr>
      <cdr:spPr>
        <a:xfrm xmlns:a="http://schemas.openxmlformats.org/drawingml/2006/main">
          <a:off x="403992" y="0"/>
          <a:ext cx="601318"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n-US" sz="800" b="1"/>
            <a:t>Dorsi Flex</a:t>
          </a:r>
        </a:p>
      </cdr:txBody>
    </cdr:sp>
  </cdr:relSizeAnchor>
  <cdr:relSizeAnchor xmlns:cdr="http://schemas.openxmlformats.org/drawingml/2006/chartDrawing">
    <cdr:from>
      <cdr:x>0.07945</cdr:x>
      <cdr:y>0.87904</cdr:y>
    </cdr:from>
    <cdr:to>
      <cdr:x>0.20751</cdr:x>
      <cdr:y>0.9873</cdr:y>
    </cdr:to>
    <cdr:sp macro="" textlink="">
      <cdr:nvSpPr>
        <cdr:cNvPr id="3" name="TextBox 36"/>
        <cdr:cNvSpPr txBox="1"/>
      </cdr:nvSpPr>
      <cdr:spPr>
        <a:xfrm xmlns:a="http://schemas.openxmlformats.org/drawingml/2006/main">
          <a:off x="423323" y="1766681"/>
          <a:ext cx="682303"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800" b="1"/>
            <a:t>Plantar Flex</a:t>
          </a:r>
        </a:p>
      </cdr:txBody>
    </cdr:sp>
  </cdr:relSizeAnchor>
</c:userShapes>
</file>

<file path=xl/drawings/drawing3.xml><?xml version="1.0" encoding="utf-8"?>
<c:userShapes xmlns:c="http://schemas.openxmlformats.org/drawingml/2006/chart">
  <cdr:relSizeAnchor xmlns:cdr="http://schemas.openxmlformats.org/drawingml/2006/chartDrawing">
    <cdr:from>
      <cdr:x>0.08303</cdr:x>
      <cdr:y>0.02877</cdr:y>
    </cdr:from>
    <cdr:to>
      <cdr:x>0.1752</cdr:x>
      <cdr:y>0.13702</cdr:y>
    </cdr:to>
    <cdr:sp macro="" textlink="">
      <cdr:nvSpPr>
        <cdr:cNvPr id="2" name="TextBox 36"/>
        <cdr:cNvSpPr txBox="1"/>
      </cdr:nvSpPr>
      <cdr:spPr>
        <a:xfrm xmlns:a="http://schemas.openxmlformats.org/drawingml/2006/main">
          <a:off x="442373" y="57814"/>
          <a:ext cx="491096"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n-US" sz="800" b="1"/>
            <a:t>Flexion</a:t>
          </a:r>
        </a:p>
      </cdr:txBody>
    </cdr:sp>
  </cdr:relSizeAnchor>
</c:userShapes>
</file>

<file path=xl/drawings/drawing4.xml><?xml version="1.0" encoding="utf-8"?>
<c:userShapes xmlns:c="http://schemas.openxmlformats.org/drawingml/2006/chart">
  <cdr:relSizeAnchor xmlns:cdr="http://schemas.openxmlformats.org/drawingml/2006/chartDrawing">
    <cdr:from>
      <cdr:x>0.08411</cdr:x>
      <cdr:y>0</cdr:y>
    </cdr:from>
    <cdr:to>
      <cdr:x>0.17628</cdr:x>
      <cdr:y>0.10825</cdr:y>
    </cdr:to>
    <cdr:sp macro="" textlink="">
      <cdr:nvSpPr>
        <cdr:cNvPr id="2" name="TextBox 36"/>
        <cdr:cNvSpPr txBox="1"/>
      </cdr:nvSpPr>
      <cdr:spPr>
        <a:xfrm xmlns:a="http://schemas.openxmlformats.org/drawingml/2006/main">
          <a:off x="448149" y="0"/>
          <a:ext cx="491096"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n-US" sz="800" b="1"/>
            <a:t>Flexion</a:t>
          </a:r>
        </a:p>
      </cdr:txBody>
    </cdr:sp>
  </cdr:relSizeAnchor>
  <cdr:relSizeAnchor xmlns:cdr="http://schemas.openxmlformats.org/drawingml/2006/chartDrawing">
    <cdr:from>
      <cdr:x>0.08129</cdr:x>
      <cdr:y>0.89175</cdr:y>
    </cdr:from>
    <cdr:to>
      <cdr:x>0.19398</cdr:x>
      <cdr:y>1</cdr:y>
    </cdr:to>
    <cdr:sp macro="" textlink="">
      <cdr:nvSpPr>
        <cdr:cNvPr id="3" name="TextBox 36"/>
        <cdr:cNvSpPr txBox="1"/>
      </cdr:nvSpPr>
      <cdr:spPr>
        <a:xfrm xmlns:a="http://schemas.openxmlformats.org/drawingml/2006/main">
          <a:off x="433129" y="1792216"/>
          <a:ext cx="600421"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n-US" sz="800" b="1"/>
            <a:t>Extension</a:t>
          </a:r>
        </a:p>
      </cdr:txBody>
    </cdr:sp>
  </cdr:relSizeAnchor>
</c:userShapes>
</file>

<file path=xl/drawings/drawing5.xml><?xml version="1.0" encoding="utf-8"?>
<c:userShapes xmlns:c="http://schemas.openxmlformats.org/drawingml/2006/chart">
  <cdr:relSizeAnchor xmlns:cdr="http://schemas.openxmlformats.org/drawingml/2006/chartDrawing">
    <cdr:from>
      <cdr:x>0.08581</cdr:x>
      <cdr:y>0</cdr:y>
    </cdr:from>
    <cdr:to>
      <cdr:x>0.21665</cdr:x>
      <cdr:y>0.1051</cdr:y>
    </cdr:to>
    <cdr:sp macro="" textlink="">
      <cdr:nvSpPr>
        <cdr:cNvPr id="2" name="TextBox 36"/>
        <cdr:cNvSpPr txBox="1"/>
      </cdr:nvSpPr>
      <cdr:spPr>
        <a:xfrm xmlns:a="http://schemas.openxmlformats.org/drawingml/2006/main">
          <a:off x="457200" y="0"/>
          <a:ext cx="697114"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n-US" sz="800" b="1" u="none"/>
            <a:t>Anterior Tilt</a:t>
          </a:r>
        </a:p>
      </cdr:txBody>
    </cdr:sp>
  </cdr:relSizeAnchor>
  <cdr:relSizeAnchor xmlns:cdr="http://schemas.openxmlformats.org/drawingml/2006/chartDrawing">
    <cdr:from>
      <cdr:x>0.08939</cdr:x>
      <cdr:y>0.8949</cdr:y>
    </cdr:from>
    <cdr:to>
      <cdr:x>0.2265</cdr:x>
      <cdr:y>1</cdr:y>
    </cdr:to>
    <cdr:sp macro="" textlink="">
      <cdr:nvSpPr>
        <cdr:cNvPr id="3" name="TextBox 36"/>
        <cdr:cNvSpPr txBox="1"/>
      </cdr:nvSpPr>
      <cdr:spPr>
        <a:xfrm xmlns:a="http://schemas.openxmlformats.org/drawingml/2006/main">
          <a:off x="476250" y="1852440"/>
          <a:ext cx="730521"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800" b="1"/>
            <a:t>Posterior Tilt</a:t>
          </a:r>
        </a:p>
      </cdr:txBody>
    </cdr:sp>
  </cdr:relSizeAnchor>
</c:userShapes>
</file>

<file path=xl/drawings/drawing6.xml><?xml version="1.0" encoding="utf-8"?>
<c:userShapes xmlns:c="http://schemas.openxmlformats.org/drawingml/2006/chart">
  <cdr:relSizeAnchor xmlns:cdr="http://schemas.openxmlformats.org/drawingml/2006/chartDrawing">
    <cdr:from>
      <cdr:x>0.08839</cdr:x>
      <cdr:y>0</cdr:y>
    </cdr:from>
    <cdr:to>
      <cdr:x>0.16273</cdr:x>
      <cdr:y>0.1051</cdr:y>
    </cdr:to>
    <cdr:sp macro="" textlink="">
      <cdr:nvSpPr>
        <cdr:cNvPr id="2" name="TextBox 36"/>
        <cdr:cNvSpPr txBox="1"/>
      </cdr:nvSpPr>
      <cdr:spPr>
        <a:xfrm xmlns:a="http://schemas.openxmlformats.org/drawingml/2006/main">
          <a:off x="470948" y="0"/>
          <a:ext cx="396070"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n-US" sz="800" b="1"/>
            <a:t>Drop</a:t>
          </a:r>
        </a:p>
      </cdr:txBody>
    </cdr:sp>
  </cdr:relSizeAnchor>
  <cdr:relSizeAnchor xmlns:cdr="http://schemas.openxmlformats.org/drawingml/2006/chartDrawing">
    <cdr:from>
      <cdr:x>0.09541</cdr:x>
      <cdr:y>0.8949</cdr:y>
    </cdr:from>
    <cdr:to>
      <cdr:x>0.15571</cdr:x>
      <cdr:y>1</cdr:y>
    </cdr:to>
    <cdr:sp macro="" textlink="">
      <cdr:nvSpPr>
        <cdr:cNvPr id="3" name="TextBox 36">
          <a:extLst xmlns:a="http://schemas.openxmlformats.org/drawingml/2006/main">
            <a:ext uri="{FF2B5EF4-FFF2-40B4-BE49-F238E27FC236}">
              <a16:creationId xmlns:a16="http://schemas.microsoft.com/office/drawing/2014/main" id="{B00901C8-435A-4A35-A6C0-75A811C39E09}"/>
            </a:ext>
          </a:extLst>
        </cdr:cNvPr>
        <cdr:cNvSpPr txBox="1"/>
      </cdr:nvSpPr>
      <cdr:spPr>
        <a:xfrm xmlns:a="http://schemas.openxmlformats.org/drawingml/2006/main">
          <a:off x="508340" y="1852440"/>
          <a:ext cx="321306"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800" b="1"/>
            <a:t>Lift</a:t>
          </a:r>
        </a:p>
      </cdr:txBody>
    </cdr:sp>
  </cdr:relSizeAnchor>
</c:userShapes>
</file>

<file path=xl/drawings/drawing7.xml><?xml version="1.0" encoding="utf-8"?>
<c:userShapes xmlns:c="http://schemas.openxmlformats.org/drawingml/2006/chart">
  <cdr:relSizeAnchor xmlns:cdr="http://schemas.openxmlformats.org/drawingml/2006/chartDrawing">
    <cdr:from>
      <cdr:x>0.09484</cdr:x>
      <cdr:y>0</cdr:y>
    </cdr:from>
    <cdr:to>
      <cdr:x>0.17288</cdr:x>
      <cdr:y>0.1051</cdr:y>
    </cdr:to>
    <cdr:sp macro="" textlink="">
      <cdr:nvSpPr>
        <cdr:cNvPr id="2" name="TextBox 36"/>
        <cdr:cNvSpPr txBox="1"/>
      </cdr:nvSpPr>
      <cdr:spPr>
        <a:xfrm xmlns:a="http://schemas.openxmlformats.org/drawingml/2006/main">
          <a:off x="505299" y="0"/>
          <a:ext cx="415819"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n-US" sz="800" b="1"/>
            <a:t>Open</a:t>
          </a:r>
        </a:p>
      </cdr:txBody>
    </cdr:sp>
  </cdr:relSizeAnchor>
  <cdr:relSizeAnchor xmlns:cdr="http://schemas.openxmlformats.org/drawingml/2006/chartDrawing">
    <cdr:from>
      <cdr:x>0.08666</cdr:x>
      <cdr:y>0.89283</cdr:y>
    </cdr:from>
    <cdr:to>
      <cdr:x>0.17429</cdr:x>
      <cdr:y>0.99793</cdr:y>
    </cdr:to>
    <cdr:sp macro="" textlink="">
      <cdr:nvSpPr>
        <cdr:cNvPr id="3" name="TextBox 36"/>
        <cdr:cNvSpPr txBox="1"/>
      </cdr:nvSpPr>
      <cdr:spPr>
        <a:xfrm xmlns:a="http://schemas.openxmlformats.org/drawingml/2006/main">
          <a:off x="461704" y="1848159"/>
          <a:ext cx="466923"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n-US" sz="800" b="1"/>
            <a:t>Closed</a:t>
          </a:r>
        </a:p>
      </cdr:txBody>
    </cdr:sp>
  </cdr:relSizeAnchor>
</c:userShapes>
</file>

<file path=xl/drawings/drawing8.xml><?xml version="1.0" encoding="utf-8"?>
<c:userShapes xmlns:c="http://schemas.openxmlformats.org/drawingml/2006/chart">
  <cdr:relSizeAnchor xmlns:cdr="http://schemas.openxmlformats.org/drawingml/2006/chartDrawing">
    <cdr:from>
      <cdr:x>0.07404</cdr:x>
      <cdr:y>0</cdr:y>
    </cdr:from>
    <cdr:to>
      <cdr:x>0.20588</cdr:x>
      <cdr:y>0.1051</cdr:y>
    </cdr:to>
    <cdr:sp macro="" textlink="">
      <cdr:nvSpPr>
        <cdr:cNvPr id="2" name="TextBox 36"/>
        <cdr:cNvSpPr txBox="1"/>
      </cdr:nvSpPr>
      <cdr:spPr>
        <a:xfrm xmlns:a="http://schemas.openxmlformats.org/drawingml/2006/main">
          <a:off x="394467" y="0"/>
          <a:ext cx="702436"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n-US" sz="800" b="1"/>
            <a:t>Anterior Tilt</a:t>
          </a:r>
        </a:p>
      </cdr:txBody>
    </cdr:sp>
  </cdr:relSizeAnchor>
  <cdr:relSizeAnchor xmlns:cdr="http://schemas.openxmlformats.org/drawingml/2006/chartDrawing">
    <cdr:from>
      <cdr:x>0.07585</cdr:x>
      <cdr:y>0.8949</cdr:y>
    </cdr:from>
    <cdr:to>
      <cdr:x>0.21396</cdr:x>
      <cdr:y>1</cdr:y>
    </cdr:to>
    <cdr:sp macro="" textlink="">
      <cdr:nvSpPr>
        <cdr:cNvPr id="3" name="TextBox 36"/>
        <cdr:cNvSpPr txBox="1"/>
      </cdr:nvSpPr>
      <cdr:spPr>
        <a:xfrm xmlns:a="http://schemas.openxmlformats.org/drawingml/2006/main">
          <a:off x="404135" y="1852440"/>
          <a:ext cx="735842"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800" b="1"/>
            <a:t>Posterior Tilt</a:t>
          </a:r>
        </a:p>
      </cdr:txBody>
    </cdr:sp>
  </cdr:relSizeAnchor>
</c:userShapes>
</file>

<file path=xl/drawings/drawing9.xml><?xml version="1.0" encoding="utf-8"?>
<c:userShapes xmlns:c="http://schemas.openxmlformats.org/drawingml/2006/chart">
  <cdr:relSizeAnchor xmlns:cdr="http://schemas.openxmlformats.org/drawingml/2006/chartDrawing">
    <cdr:from>
      <cdr:x>0.08124</cdr:x>
      <cdr:y>0</cdr:y>
    </cdr:from>
    <cdr:to>
      <cdr:x>0.15558</cdr:x>
      <cdr:y>0.1051</cdr:y>
    </cdr:to>
    <cdr:sp macro="" textlink="">
      <cdr:nvSpPr>
        <cdr:cNvPr id="2" name="TextBox 36"/>
        <cdr:cNvSpPr txBox="1"/>
      </cdr:nvSpPr>
      <cdr:spPr>
        <a:xfrm xmlns:a="http://schemas.openxmlformats.org/drawingml/2006/main">
          <a:off x="432848" y="0"/>
          <a:ext cx="396070"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n-US" sz="800" b="1"/>
            <a:t>Drop</a:t>
          </a:r>
        </a:p>
      </cdr:txBody>
    </cdr:sp>
  </cdr:relSizeAnchor>
  <cdr:relSizeAnchor xmlns:cdr="http://schemas.openxmlformats.org/drawingml/2006/chartDrawing">
    <cdr:from>
      <cdr:x>0.08654</cdr:x>
      <cdr:y>0.8949</cdr:y>
    </cdr:from>
    <cdr:to>
      <cdr:x>0.14684</cdr:x>
      <cdr:y>1</cdr:y>
    </cdr:to>
    <cdr:sp macro="" textlink="">
      <cdr:nvSpPr>
        <cdr:cNvPr id="3" name="TextBox 36">
          <a:extLst xmlns:a="http://schemas.openxmlformats.org/drawingml/2006/main">
            <a:ext uri="{FF2B5EF4-FFF2-40B4-BE49-F238E27FC236}">
              <a16:creationId xmlns:a16="http://schemas.microsoft.com/office/drawing/2014/main" id="{B00901C8-435A-4A35-A6C0-75A811C39E09}"/>
            </a:ext>
          </a:extLst>
        </cdr:cNvPr>
        <cdr:cNvSpPr txBox="1"/>
      </cdr:nvSpPr>
      <cdr:spPr>
        <a:xfrm xmlns:a="http://schemas.openxmlformats.org/drawingml/2006/main">
          <a:off x="461066" y="1852440"/>
          <a:ext cx="321306"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800" b="1"/>
            <a:t>Lift</a:t>
          </a:r>
        </a:p>
      </cdr:txBody>
    </cdr:sp>
  </cdr:relSizeAnchor>
</c:userShapes>
</file>

<file path=xl/drawings/drawing10.xml><?xml version="1.0" encoding="utf-8"?>
<c:userShapes xmlns:c="http://schemas.openxmlformats.org/drawingml/2006/chart">
  <cdr:relSizeAnchor xmlns:cdr="http://schemas.openxmlformats.org/drawingml/2006/chartDrawing">
    <cdr:from>
      <cdr:x>0.08232</cdr:x>
      <cdr:y>0</cdr:y>
    </cdr:from>
    <cdr:to>
      <cdr:x>0.16037</cdr:x>
      <cdr:y>0.1051</cdr:y>
    </cdr:to>
    <cdr:sp macro="" textlink="">
      <cdr:nvSpPr>
        <cdr:cNvPr id="2" name="TextBox 36"/>
        <cdr:cNvSpPr txBox="1"/>
      </cdr:nvSpPr>
      <cdr:spPr>
        <a:xfrm xmlns:a="http://schemas.openxmlformats.org/drawingml/2006/main">
          <a:off x="438624" y="0"/>
          <a:ext cx="415819"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n-US" sz="800" b="1"/>
            <a:t>Open</a:t>
          </a:r>
        </a:p>
      </cdr:txBody>
    </cdr:sp>
  </cdr:relSizeAnchor>
  <cdr:relSizeAnchor xmlns:cdr="http://schemas.openxmlformats.org/drawingml/2006/chartDrawing">
    <cdr:from>
      <cdr:x>0.08487</cdr:x>
      <cdr:y>0.8949</cdr:y>
    </cdr:from>
    <cdr:to>
      <cdr:x>0.1725</cdr:x>
      <cdr:y>1</cdr:y>
    </cdr:to>
    <cdr:sp macro="" textlink="">
      <cdr:nvSpPr>
        <cdr:cNvPr id="3" name="TextBox 36"/>
        <cdr:cNvSpPr txBox="1"/>
      </cdr:nvSpPr>
      <cdr:spPr>
        <a:xfrm xmlns:a="http://schemas.openxmlformats.org/drawingml/2006/main">
          <a:off x="452179" y="1852440"/>
          <a:ext cx="466923"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n-US" sz="800" b="1"/>
            <a:t>Closed</a:t>
          </a:r>
        </a:p>
      </cdr:txBody>
    </cdr:sp>
  </cdr:relSizeAnchor>
</c:userShapes>
</file>

<file path=xl/drawings/drawing11.xml><?xml version="1.0" encoding="utf-8"?>
<c:userShapes xmlns:c="http://schemas.openxmlformats.org/drawingml/2006/chart">
  <cdr:relSizeAnchor xmlns:cdr="http://schemas.openxmlformats.org/drawingml/2006/chartDrawing">
    <cdr:from>
      <cdr:x>0.09191</cdr:x>
      <cdr:y>0</cdr:y>
    </cdr:from>
    <cdr:to>
      <cdr:x>0.20477</cdr:x>
      <cdr:y>0.1051</cdr:y>
    </cdr:to>
    <cdr:sp macro="" textlink="">
      <cdr:nvSpPr>
        <cdr:cNvPr id="2" name="TextBox 36"/>
        <cdr:cNvSpPr txBox="1"/>
      </cdr:nvSpPr>
      <cdr:spPr>
        <a:xfrm xmlns:a="http://schemas.openxmlformats.org/drawingml/2006/main">
          <a:off x="489717" y="0"/>
          <a:ext cx="601318"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n-US" sz="800" b="1"/>
            <a:t>Dorsi Flex</a:t>
          </a:r>
        </a:p>
      </cdr:txBody>
    </cdr:sp>
  </cdr:relSizeAnchor>
  <cdr:relSizeAnchor xmlns:cdr="http://schemas.openxmlformats.org/drawingml/2006/chartDrawing">
    <cdr:from>
      <cdr:x>0.09375</cdr:x>
      <cdr:y>0.8949</cdr:y>
    </cdr:from>
    <cdr:to>
      <cdr:x>0.22273</cdr:x>
      <cdr:y>1</cdr:y>
    </cdr:to>
    <cdr:sp macro="" textlink="">
      <cdr:nvSpPr>
        <cdr:cNvPr id="3" name="TextBox 36"/>
        <cdr:cNvSpPr txBox="1"/>
      </cdr:nvSpPr>
      <cdr:spPr>
        <a:xfrm xmlns:a="http://schemas.openxmlformats.org/drawingml/2006/main">
          <a:off x="499523" y="1852440"/>
          <a:ext cx="687176"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800" b="1"/>
            <a:t>Plantar Flex</a:t>
          </a:r>
        </a:p>
      </cdr:txBody>
    </cdr:sp>
  </cdr:relSizeAnchor>
</c:userShapes>
</file>

<file path=xl/drawings/drawing12.xml><?xml version="1.0" encoding="utf-8"?>
<c:userShapes xmlns:c="http://schemas.openxmlformats.org/drawingml/2006/chart">
  <cdr:relSizeAnchor xmlns:cdr="http://schemas.openxmlformats.org/drawingml/2006/chartDrawing">
    <cdr:from>
      <cdr:x>0.09906</cdr:x>
      <cdr:y>0</cdr:y>
    </cdr:from>
    <cdr:to>
      <cdr:x>0.19124</cdr:x>
      <cdr:y>0.1051</cdr:y>
    </cdr:to>
    <cdr:sp macro="" textlink="">
      <cdr:nvSpPr>
        <cdr:cNvPr id="2" name="TextBox 36"/>
        <cdr:cNvSpPr txBox="1"/>
      </cdr:nvSpPr>
      <cdr:spPr>
        <a:xfrm xmlns:a="http://schemas.openxmlformats.org/drawingml/2006/main">
          <a:off x="527817" y="0"/>
          <a:ext cx="491096"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n-US" sz="800" b="1"/>
            <a:t>Flexion</a:t>
          </a:r>
        </a:p>
      </cdr:txBody>
    </cdr:sp>
  </cdr:relSizeAnchor>
  <cdr:relSizeAnchor xmlns:cdr="http://schemas.openxmlformats.org/drawingml/2006/chartDrawing">
    <cdr:from>
      <cdr:x>0.09912</cdr:x>
      <cdr:y>0.8949</cdr:y>
    </cdr:from>
    <cdr:to>
      <cdr:x>0.21181</cdr:x>
      <cdr:y>1</cdr:y>
    </cdr:to>
    <cdr:sp macro="" textlink="">
      <cdr:nvSpPr>
        <cdr:cNvPr id="3" name="TextBox 36"/>
        <cdr:cNvSpPr txBox="1"/>
      </cdr:nvSpPr>
      <cdr:spPr>
        <a:xfrm xmlns:a="http://schemas.openxmlformats.org/drawingml/2006/main">
          <a:off x="528098" y="1852440"/>
          <a:ext cx="600421"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800" b="1"/>
            <a:t>Extension</a:t>
          </a:r>
        </a:p>
      </cdr:txBody>
    </cdr:sp>
  </cdr:relSizeAnchor>
</c:userShapes>
</file>

<file path=xl/drawings/drawing13.xml><?xml version="1.0" encoding="utf-8"?>
<c:userShapes xmlns:c="http://schemas.openxmlformats.org/drawingml/2006/chart">
  <cdr:relSizeAnchor xmlns:cdr="http://schemas.openxmlformats.org/drawingml/2006/chartDrawing">
    <cdr:from>
      <cdr:x>0.09728</cdr:x>
      <cdr:y>0</cdr:y>
    </cdr:from>
    <cdr:to>
      <cdr:x>0.18945</cdr:x>
      <cdr:y>0.1051</cdr:y>
    </cdr:to>
    <cdr:sp macro="" textlink="">
      <cdr:nvSpPr>
        <cdr:cNvPr id="2" name="TextBox 36"/>
        <cdr:cNvSpPr txBox="1"/>
      </cdr:nvSpPr>
      <cdr:spPr>
        <a:xfrm xmlns:a="http://schemas.openxmlformats.org/drawingml/2006/main">
          <a:off x="518292" y="0"/>
          <a:ext cx="491096"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n-US" sz="800" b="1"/>
            <a:t>Flexion</a:t>
          </a:r>
        </a:p>
      </cdr:txBody>
    </cdr:sp>
  </cdr:relSizeAnchor>
  <cdr:relSizeAnchor xmlns:cdr="http://schemas.openxmlformats.org/drawingml/2006/chartDrawing">
    <cdr:from>
      <cdr:x>0.09733</cdr:x>
      <cdr:y>0.8949</cdr:y>
    </cdr:from>
    <cdr:to>
      <cdr:x>0.21002</cdr:x>
      <cdr:y>1</cdr:y>
    </cdr:to>
    <cdr:sp macro="" textlink="">
      <cdr:nvSpPr>
        <cdr:cNvPr id="3" name="TextBox 36"/>
        <cdr:cNvSpPr txBox="1"/>
      </cdr:nvSpPr>
      <cdr:spPr>
        <a:xfrm xmlns:a="http://schemas.openxmlformats.org/drawingml/2006/main">
          <a:off x="518573" y="1852440"/>
          <a:ext cx="600421"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800" b="1"/>
            <a:t>Extension</a:t>
          </a:r>
        </a:p>
      </cdr:txBody>
    </cdr:sp>
  </cdr:relSizeAnchor>
</c:userShapes>
</file>

<file path=xl/drawings/drawing14.xml><?xml version="1.0" encoding="utf-8"?>
<c:userShapes xmlns:c="http://schemas.openxmlformats.org/drawingml/2006/chart">
  <cdr:relSizeAnchor xmlns:cdr="http://schemas.openxmlformats.org/drawingml/2006/chartDrawing">
    <cdr:from>
      <cdr:x>0.08278</cdr:x>
      <cdr:y>0</cdr:y>
    </cdr:from>
    <cdr:to>
      <cdr:x>0.23192</cdr:x>
      <cdr:y>0.1051</cdr:y>
    </cdr:to>
    <cdr:sp macro="" textlink="">
      <cdr:nvSpPr>
        <cdr:cNvPr id="2" name="TextBox 36"/>
        <cdr:cNvSpPr txBox="1"/>
      </cdr:nvSpPr>
      <cdr:spPr>
        <a:xfrm xmlns:a="http://schemas.openxmlformats.org/drawingml/2006/main">
          <a:off x="333784" y="0"/>
          <a:ext cx="601318"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n-US" sz="800" b="1"/>
            <a:t>Dorsi Flex</a:t>
          </a:r>
        </a:p>
      </cdr:txBody>
    </cdr:sp>
  </cdr:relSizeAnchor>
  <cdr:relSizeAnchor xmlns:cdr="http://schemas.openxmlformats.org/drawingml/2006/chartDrawing">
    <cdr:from>
      <cdr:x>0.08418</cdr:x>
      <cdr:y>0.8949</cdr:y>
    </cdr:from>
    <cdr:to>
      <cdr:x>0.25461</cdr:x>
      <cdr:y>1</cdr:y>
    </cdr:to>
    <cdr:sp macro="" textlink="">
      <cdr:nvSpPr>
        <cdr:cNvPr id="3" name="TextBox 36"/>
        <cdr:cNvSpPr txBox="1"/>
      </cdr:nvSpPr>
      <cdr:spPr>
        <a:xfrm xmlns:a="http://schemas.openxmlformats.org/drawingml/2006/main">
          <a:off x="339402" y="1852440"/>
          <a:ext cx="687176"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800" b="1"/>
            <a:t>Plantar Flex</a:t>
          </a:r>
        </a:p>
      </cdr:txBody>
    </cdr:sp>
  </cdr:relSizeAnchor>
</c:userShapes>
</file>

<file path=xl/drawings/drawing15.xml><?xml version="1.0" encoding="utf-8"?>
<c:userShapes xmlns:c="http://schemas.openxmlformats.org/drawingml/2006/chart">
  <cdr:relSizeAnchor xmlns:cdr="http://schemas.openxmlformats.org/drawingml/2006/chartDrawing">
    <cdr:from>
      <cdr:x>0.08751</cdr:x>
      <cdr:y>0</cdr:y>
    </cdr:from>
    <cdr:to>
      <cdr:x>0.23642</cdr:x>
      <cdr:y>0.1051</cdr:y>
    </cdr:to>
    <cdr:sp macro="" textlink="">
      <cdr:nvSpPr>
        <cdr:cNvPr id="2" name="TextBox 36"/>
        <cdr:cNvSpPr txBox="1"/>
      </cdr:nvSpPr>
      <cdr:spPr>
        <a:xfrm xmlns:a="http://schemas.openxmlformats.org/drawingml/2006/main">
          <a:off x="352834" y="0"/>
          <a:ext cx="600421"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n-US" sz="800" b="1"/>
            <a:t>Extension</a:t>
          </a:r>
        </a:p>
      </cdr:txBody>
    </cdr:sp>
  </cdr:relSizeAnchor>
  <cdr:relSizeAnchor xmlns:cdr="http://schemas.openxmlformats.org/drawingml/2006/chartDrawing">
    <cdr:from>
      <cdr:x>0.08363</cdr:x>
      <cdr:y>0.8949</cdr:y>
    </cdr:from>
    <cdr:to>
      <cdr:x>0.20543</cdr:x>
      <cdr:y>1</cdr:y>
    </cdr:to>
    <cdr:sp macro="" textlink="">
      <cdr:nvSpPr>
        <cdr:cNvPr id="3" name="TextBox 36"/>
        <cdr:cNvSpPr txBox="1"/>
      </cdr:nvSpPr>
      <cdr:spPr>
        <a:xfrm xmlns:a="http://schemas.openxmlformats.org/drawingml/2006/main">
          <a:off x="337206" y="1852440"/>
          <a:ext cx="491096"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800" b="1"/>
            <a:t>Flexion</a:t>
          </a:r>
        </a:p>
      </cdr:txBody>
    </cdr:sp>
  </cdr:relSizeAnchor>
</c:userShapes>
</file>

<file path=xl/drawings/drawing16.xml><?xml version="1.0" encoding="utf-8"?>
<c:userShapes xmlns:c="http://schemas.openxmlformats.org/drawingml/2006/chart">
  <cdr:relSizeAnchor xmlns:cdr="http://schemas.openxmlformats.org/drawingml/2006/chartDrawing">
    <cdr:from>
      <cdr:x>0.08515</cdr:x>
      <cdr:y>0</cdr:y>
    </cdr:from>
    <cdr:to>
      <cdr:x>0.23406</cdr:x>
      <cdr:y>0.1051</cdr:y>
    </cdr:to>
    <cdr:sp macro="" textlink="">
      <cdr:nvSpPr>
        <cdr:cNvPr id="2" name="TextBox 36"/>
        <cdr:cNvSpPr txBox="1"/>
      </cdr:nvSpPr>
      <cdr:spPr>
        <a:xfrm xmlns:a="http://schemas.openxmlformats.org/drawingml/2006/main">
          <a:off x="343309" y="0"/>
          <a:ext cx="600421"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n-US" sz="800" b="1"/>
            <a:t>Extension</a:t>
          </a:r>
        </a:p>
      </cdr:txBody>
    </cdr:sp>
  </cdr:relSizeAnchor>
  <cdr:relSizeAnchor xmlns:cdr="http://schemas.openxmlformats.org/drawingml/2006/chartDrawing">
    <cdr:from>
      <cdr:x>0.08945</cdr:x>
      <cdr:y>0.8949</cdr:y>
    </cdr:from>
    <cdr:to>
      <cdr:x>0.21125</cdr:x>
      <cdr:y>1</cdr:y>
    </cdr:to>
    <cdr:sp macro="" textlink="">
      <cdr:nvSpPr>
        <cdr:cNvPr id="3" name="TextBox 36"/>
        <cdr:cNvSpPr txBox="1"/>
      </cdr:nvSpPr>
      <cdr:spPr>
        <a:xfrm xmlns:a="http://schemas.openxmlformats.org/drawingml/2006/main">
          <a:off x="360649" y="1852440"/>
          <a:ext cx="491096"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800" b="1"/>
            <a:t>Flexion</a:t>
          </a:r>
        </a:p>
      </cdr:txBody>
    </cdr:sp>
  </cdr:relSizeAnchor>
</c:userShapes>
</file>

<file path=xl/drawings/drawing17.xml><?xml version="1.0" encoding="utf-8"?>
<c:userShapes xmlns:c="http://schemas.openxmlformats.org/drawingml/2006/chart">
  <cdr:relSizeAnchor xmlns:cdr="http://schemas.openxmlformats.org/drawingml/2006/chartDrawing">
    <cdr:from>
      <cdr:x>0.10459</cdr:x>
      <cdr:y>0</cdr:y>
    </cdr:from>
    <cdr:to>
      <cdr:x>0.2699</cdr:x>
      <cdr:y>0.1051</cdr:y>
    </cdr:to>
    <cdr:sp macro="" textlink="">
      <cdr:nvSpPr>
        <cdr:cNvPr id="2" name="TextBox 36"/>
        <cdr:cNvSpPr txBox="1"/>
      </cdr:nvSpPr>
      <cdr:spPr>
        <a:xfrm xmlns:a="http://schemas.openxmlformats.org/drawingml/2006/main">
          <a:off x="421705" y="0"/>
          <a:ext cx="666529"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n-US" sz="800" b="1"/>
            <a:t>Generation</a:t>
          </a:r>
        </a:p>
      </cdr:txBody>
    </cdr:sp>
  </cdr:relSizeAnchor>
  <cdr:relSizeAnchor xmlns:cdr="http://schemas.openxmlformats.org/drawingml/2006/chartDrawing">
    <cdr:from>
      <cdr:x>0.10381</cdr:x>
      <cdr:y>0.8949</cdr:y>
    </cdr:from>
    <cdr:to>
      <cdr:x>0.26764</cdr:x>
      <cdr:y>1</cdr:y>
    </cdr:to>
    <cdr:sp macro="" textlink="">
      <cdr:nvSpPr>
        <cdr:cNvPr id="3" name="TextBox 36"/>
        <cdr:cNvSpPr txBox="1"/>
      </cdr:nvSpPr>
      <cdr:spPr>
        <a:xfrm xmlns:a="http://schemas.openxmlformats.org/drawingml/2006/main">
          <a:off x="418555" y="1852440"/>
          <a:ext cx="660565"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800" b="1"/>
            <a:t>Absorption</a:t>
          </a:r>
        </a:p>
      </cdr:txBody>
    </cdr:sp>
  </cdr:relSizeAnchor>
</c:userShapes>
</file>

<file path=xl/drawings/drawing18.xml><?xml version="1.0" encoding="utf-8"?>
<c:userShapes xmlns:c="http://schemas.openxmlformats.org/drawingml/2006/chart">
  <cdr:relSizeAnchor xmlns:cdr="http://schemas.openxmlformats.org/drawingml/2006/chartDrawing">
    <cdr:from>
      <cdr:x>0.10404</cdr:x>
      <cdr:y>0</cdr:y>
    </cdr:from>
    <cdr:to>
      <cdr:x>0.26935</cdr:x>
      <cdr:y>0.1051</cdr:y>
    </cdr:to>
    <cdr:sp macro="" textlink="">
      <cdr:nvSpPr>
        <cdr:cNvPr id="2" name="TextBox 36"/>
        <cdr:cNvSpPr txBox="1"/>
      </cdr:nvSpPr>
      <cdr:spPr>
        <a:xfrm xmlns:a="http://schemas.openxmlformats.org/drawingml/2006/main">
          <a:off x="419509" y="0"/>
          <a:ext cx="666529"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n-US" sz="800" b="1"/>
            <a:t>Generation</a:t>
          </a:r>
        </a:p>
      </cdr:txBody>
    </cdr:sp>
  </cdr:relSizeAnchor>
  <cdr:relSizeAnchor xmlns:cdr="http://schemas.openxmlformats.org/drawingml/2006/chartDrawing">
    <cdr:from>
      <cdr:x>0.10544</cdr:x>
      <cdr:y>0.8949</cdr:y>
    </cdr:from>
    <cdr:to>
      <cdr:x>0.26927</cdr:x>
      <cdr:y>1</cdr:y>
    </cdr:to>
    <cdr:sp macro="" textlink="">
      <cdr:nvSpPr>
        <cdr:cNvPr id="3" name="TextBox 36"/>
        <cdr:cNvSpPr txBox="1"/>
      </cdr:nvSpPr>
      <cdr:spPr>
        <a:xfrm xmlns:a="http://schemas.openxmlformats.org/drawingml/2006/main">
          <a:off x="425127" y="1852440"/>
          <a:ext cx="660565"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800" b="1"/>
            <a:t>Absorption</a:t>
          </a:r>
        </a:p>
      </cdr:txBody>
    </cdr:sp>
  </cdr:relSizeAnchor>
</c:userShapes>
</file>

<file path=xl/drawings/drawing19.xml><?xml version="1.0" encoding="utf-8"?>
<c:userShapes xmlns:c="http://schemas.openxmlformats.org/drawingml/2006/chart">
  <cdr:relSizeAnchor xmlns:cdr="http://schemas.openxmlformats.org/drawingml/2006/chartDrawing">
    <cdr:from>
      <cdr:x>0.11113</cdr:x>
      <cdr:y>0</cdr:y>
    </cdr:from>
    <cdr:to>
      <cdr:x>0.27644</cdr:x>
      <cdr:y>0.1051</cdr:y>
    </cdr:to>
    <cdr:sp macro="" textlink="">
      <cdr:nvSpPr>
        <cdr:cNvPr id="2" name="TextBox 36"/>
        <cdr:cNvSpPr txBox="1"/>
      </cdr:nvSpPr>
      <cdr:spPr>
        <a:xfrm xmlns:a="http://schemas.openxmlformats.org/drawingml/2006/main">
          <a:off x="448084" y="0"/>
          <a:ext cx="666529"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r>
            <a:rPr lang="en-US" sz="800" b="1"/>
            <a:t>Generation</a:t>
          </a:r>
        </a:p>
      </cdr:txBody>
    </cdr:sp>
  </cdr:relSizeAnchor>
  <cdr:relSizeAnchor xmlns:cdr="http://schemas.openxmlformats.org/drawingml/2006/chartDrawing">
    <cdr:from>
      <cdr:x>0.11489</cdr:x>
      <cdr:y>0.8949</cdr:y>
    </cdr:from>
    <cdr:to>
      <cdr:x>0.27872</cdr:x>
      <cdr:y>1</cdr:y>
    </cdr:to>
    <cdr:sp macro="" textlink="">
      <cdr:nvSpPr>
        <cdr:cNvPr id="3" name="TextBox 36"/>
        <cdr:cNvSpPr txBox="1"/>
      </cdr:nvSpPr>
      <cdr:spPr>
        <a:xfrm xmlns:a="http://schemas.openxmlformats.org/drawingml/2006/main">
          <a:off x="463227" y="1852440"/>
          <a:ext cx="660565" cy="2175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800" b="1"/>
            <a:t>Absorption</a:t>
          </a:r>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8FD455-ABBC-4F07-B5A5-60C8D9760ED6}">
  <sheetPr codeName="Sheet1">
    <tabColor rgb="FF6495EC"/>
    <pageSetUpPr fitToPage="1"/>
  </sheetPr>
  <dimension ref="A1:W310"/>
  <sheetViews>
    <sheetView tabSelected="1" view="pageBreakPreview" topLeftCell="A127" zoomScaleNormal="100" zoomScaleSheetLayoutView="100" zoomScalePageLayoutView="130" workbookViewId="0">
      <selection activeCell="S164" sqref="S164"/>
    </sheetView>
  </sheetViews>
  <sheetFormatPr defaultColWidth="8.140625" defaultRowHeight="11.25" x14ac:dyDescent="0.2"/>
  <cols>
    <col min="1" max="10" width="8.140625" style="7"/>
    <col min="11" max="15" width="8.140625" style="7" customWidth="1"/>
    <col min="16" max="20" width="8.140625" style="7"/>
    <col min="21" max="21" width="11.85546875" style="7" bestFit="1" customWidth="1"/>
    <col min="22" max="22" width="20.5703125" style="7" bestFit="1" customWidth="1"/>
    <col min="23" max="23" width="15.85546875" style="7" bestFit="1" customWidth="1"/>
    <col min="24" max="16384" width="8.140625" style="7"/>
  </cols>
  <sheetData>
    <row r="1" spans="1:23" x14ac:dyDescent="0.2">
      <c r="F1" s="135" t="s">
        <v>88</v>
      </c>
      <c r="G1" s="145"/>
      <c r="H1" s="145"/>
      <c r="I1" s="136"/>
    </row>
    <row r="2" spans="1:23" x14ac:dyDescent="0.2">
      <c r="F2" s="146"/>
      <c r="G2" s="147"/>
      <c r="H2" s="147"/>
      <c r="I2" s="148"/>
    </row>
    <row r="3" spans="1:23" x14ac:dyDescent="0.2">
      <c r="A3" s="8"/>
      <c r="B3" s="9"/>
      <c r="C3" s="9"/>
      <c r="F3" s="135" t="s">
        <v>4</v>
      </c>
      <c r="G3" s="136"/>
      <c r="H3" s="139">
        <v>43608</v>
      </c>
      <c r="I3" s="140"/>
    </row>
    <row r="4" spans="1:23" x14ac:dyDescent="0.2">
      <c r="A4" s="8"/>
      <c r="B4" s="10"/>
      <c r="C4" s="10"/>
      <c r="F4" s="137"/>
      <c r="G4" s="138"/>
      <c r="H4" s="141"/>
      <c r="I4" s="142"/>
    </row>
    <row r="5" spans="1:23" x14ac:dyDescent="0.2">
      <c r="A5" s="23"/>
      <c r="B5" s="23" t="s">
        <v>169</v>
      </c>
      <c r="C5" s="24"/>
      <c r="D5" s="24"/>
      <c r="E5" s="24" t="s">
        <v>217</v>
      </c>
      <c r="F5" s="24"/>
      <c r="G5" s="24"/>
      <c r="H5" s="24"/>
      <c r="I5" s="24"/>
      <c r="J5" s="24"/>
      <c r="K5" s="24"/>
      <c r="L5" s="24"/>
      <c r="M5" s="24"/>
      <c r="N5" s="24"/>
      <c r="O5" s="25"/>
      <c r="R5" s="7" t="s">
        <v>112</v>
      </c>
    </row>
    <row r="6" spans="1:23" x14ac:dyDescent="0.2">
      <c r="R6" s="7">
        <f>'Right 3 ST'!J3</f>
        <v>11.92660550458716</v>
      </c>
      <c r="S6" s="7">
        <v>-1000</v>
      </c>
      <c r="U6" s="7" t="s">
        <v>211</v>
      </c>
    </row>
    <row r="7" spans="1:23" x14ac:dyDescent="0.2">
      <c r="B7" s="31" t="s">
        <v>172</v>
      </c>
      <c r="C7" s="27">
        <v>35065</v>
      </c>
      <c r="E7" s="22"/>
      <c r="F7" s="34" t="s">
        <v>77</v>
      </c>
      <c r="G7" s="34" t="s">
        <v>170</v>
      </c>
      <c r="H7" s="34" t="s">
        <v>171</v>
      </c>
      <c r="I7" s="35" t="s">
        <v>249</v>
      </c>
      <c r="J7" s="36" t="s">
        <v>107</v>
      </c>
      <c r="K7" s="37" t="s">
        <v>108</v>
      </c>
      <c r="L7" s="36" t="s">
        <v>210</v>
      </c>
      <c r="M7" s="36" t="s">
        <v>107</v>
      </c>
      <c r="N7" s="37" t="s">
        <v>108</v>
      </c>
      <c r="R7" s="7">
        <f>'Right 3 ST'!J3</f>
        <v>11.92660550458716</v>
      </c>
      <c r="S7" s="7">
        <v>1000</v>
      </c>
      <c r="U7" s="7" t="s">
        <v>209</v>
      </c>
      <c r="V7" s="7" t="s">
        <v>216</v>
      </c>
      <c r="W7" s="7" t="s">
        <v>108</v>
      </c>
    </row>
    <row r="8" spans="1:23" x14ac:dyDescent="0.2">
      <c r="B8" s="32" t="s">
        <v>175</v>
      </c>
      <c r="C8" s="28">
        <f>DATEDIF(C7,H3,"y")</f>
        <v>23</v>
      </c>
      <c r="E8" s="110" t="s">
        <v>94</v>
      </c>
      <c r="F8" s="111">
        <f>Static!F6</f>
        <v>11.3941</v>
      </c>
      <c r="G8" s="111">
        <f>Static!U6</f>
        <v>6.8958500000000003</v>
      </c>
      <c r="H8" s="111">
        <f>Static!R6</f>
        <v>12.2963</v>
      </c>
      <c r="I8" s="112">
        <f>Static!AA6</f>
        <v>16.351199999999999</v>
      </c>
      <c r="J8" s="113">
        <f>Static!AB6</f>
        <v>-5.4288400000000001</v>
      </c>
      <c r="K8" s="114">
        <f>Static!AC6</f>
        <v>-1.86528</v>
      </c>
      <c r="L8" s="113">
        <f>Static!AJ6</f>
        <v>-0.27244600000000002</v>
      </c>
      <c r="M8" s="113">
        <f>Static!AK6</f>
        <v>-0.228911</v>
      </c>
      <c r="N8" s="114">
        <f>Static!AL6</f>
        <v>-0.39917399999999997</v>
      </c>
      <c r="R8" s="7" t="s">
        <v>246</v>
      </c>
      <c r="T8" s="7" t="s">
        <v>73</v>
      </c>
      <c r="U8" s="7" t="s">
        <v>212</v>
      </c>
      <c r="V8" s="7" t="s">
        <v>214</v>
      </c>
      <c r="W8" s="7" t="s">
        <v>215</v>
      </c>
    </row>
    <row r="9" spans="1:23" x14ac:dyDescent="0.2">
      <c r="B9" s="32" t="s">
        <v>173</v>
      </c>
      <c r="C9" s="29">
        <f>'Right 3 ST'!B6/1000</f>
        <v>1.82</v>
      </c>
      <c r="E9" s="115" t="s">
        <v>98</v>
      </c>
      <c r="F9" s="116">
        <f>Static!AS6</f>
        <v>13.278600000000001</v>
      </c>
      <c r="G9" s="116">
        <f>Static!BH6</f>
        <v>7.7617900000000004</v>
      </c>
      <c r="H9" s="116">
        <f>Static!BE6</f>
        <v>10.718</v>
      </c>
      <c r="I9" s="117">
        <f>Static!BN6</f>
        <v>16.351199999999999</v>
      </c>
      <c r="J9" s="118">
        <f>Static!BO6</f>
        <v>5.4288400000000001</v>
      </c>
      <c r="K9" s="119">
        <f>Static!BP6</f>
        <v>1.86528</v>
      </c>
      <c r="L9" s="118">
        <f>Static!BW6</f>
        <v>-0.27244600000000002</v>
      </c>
      <c r="M9" s="118">
        <f>Static!BX6</f>
        <v>0.228911</v>
      </c>
      <c r="N9" s="119">
        <f>Static!BY6</f>
        <v>0.39917399999999997</v>
      </c>
      <c r="R9" s="7">
        <f>(I78+I82)/2</f>
        <v>22.65199406941732</v>
      </c>
      <c r="S9" s="7">
        <v>-10000</v>
      </c>
      <c r="T9" s="7" t="s">
        <v>74</v>
      </c>
      <c r="U9" s="7" t="s">
        <v>212</v>
      </c>
      <c r="V9" s="7" t="s">
        <v>214</v>
      </c>
      <c r="W9" s="7" t="s">
        <v>213</v>
      </c>
    </row>
    <row r="10" spans="1:23" x14ac:dyDescent="0.2">
      <c r="B10" s="33" t="s">
        <v>174</v>
      </c>
      <c r="C10" s="30">
        <f>'Right 3 ST'!B5</f>
        <v>70.360000610351563</v>
      </c>
      <c r="H10" s="11"/>
      <c r="I10" s="14"/>
      <c r="J10" s="14"/>
      <c r="K10" s="14"/>
      <c r="L10" s="14"/>
      <c r="R10" s="7">
        <f>(I78+I82)/2</f>
        <v>22.65199406941732</v>
      </c>
      <c r="S10" s="7">
        <v>10000</v>
      </c>
    </row>
    <row r="11" spans="1:23" x14ac:dyDescent="0.2">
      <c r="A11" s="8"/>
      <c r="B11" s="9"/>
      <c r="C11" s="9"/>
      <c r="H11" s="11"/>
    </row>
    <row r="12" spans="1:23" x14ac:dyDescent="0.2">
      <c r="A12" s="123" t="s">
        <v>89</v>
      </c>
      <c r="B12" s="124"/>
      <c r="C12" s="124"/>
      <c r="D12" s="124"/>
      <c r="E12" s="124"/>
      <c r="F12" s="124"/>
      <c r="G12" s="124"/>
      <c r="H12" s="124"/>
      <c r="I12" s="124"/>
      <c r="J12" s="124"/>
      <c r="K12" s="124"/>
      <c r="L12" s="124"/>
      <c r="M12" s="124"/>
      <c r="N12" s="124"/>
      <c r="O12" s="125"/>
      <c r="R12" s="7" t="s">
        <v>112</v>
      </c>
    </row>
    <row r="13" spans="1:23" x14ac:dyDescent="0.2">
      <c r="R13" s="7" t="str">
        <f>MinMax!AA2</f>
        <v>#AVERAGE('Left 1 ST'!J3,'Left 2 ST'!J3,'Left 3 ST'!J3,'Right 1 ST'!J3,'Right 2 ST'!J3,'Right 3 ST'!J3)</v>
      </c>
      <c r="S13" s="7">
        <v>-1000</v>
      </c>
    </row>
    <row r="14" spans="1:23" x14ac:dyDescent="0.2">
      <c r="I14" s="41"/>
      <c r="J14" s="46"/>
      <c r="K14" s="40" t="s">
        <v>90</v>
      </c>
      <c r="L14" s="38" t="s">
        <v>91</v>
      </c>
      <c r="M14" s="38" t="s">
        <v>92</v>
      </c>
      <c r="N14" s="6" t="s">
        <v>168</v>
      </c>
      <c r="O14" s="45" t="s">
        <v>93</v>
      </c>
      <c r="R14" s="7" t="str">
        <f>MinMax!AA2</f>
        <v>#AVERAGE('Left 1 ST'!J3,'Left 2 ST'!J3,'Left 3 ST'!J3,'Right 1 ST'!J3,'Right 2 ST'!J3,'Right 3 ST'!J3)</v>
      </c>
      <c r="S14" s="7">
        <v>1000</v>
      </c>
    </row>
    <row r="15" spans="1:23" x14ac:dyDescent="0.2">
      <c r="I15" s="129" t="s">
        <v>94</v>
      </c>
      <c r="J15" s="51" t="s">
        <v>95</v>
      </c>
      <c r="K15" s="52">
        <f>'Left 1 ST'!G3</f>
        <v>9.4355000000000029</v>
      </c>
      <c r="L15" s="52">
        <f>'Left 1 ST'!G4</f>
        <v>9.371249999999975</v>
      </c>
      <c r="M15" s="52">
        <f>'Left 1 ST'!G5</f>
        <v>9.7337499999999846</v>
      </c>
      <c r="N15" s="52">
        <f>'Left 1 ST'!G6</f>
        <v>6.4250000000027896E-2</v>
      </c>
      <c r="O15" s="52">
        <f>'Left 1 ST'!G7</f>
        <v>1.0316093476763271</v>
      </c>
    </row>
    <row r="16" spans="1:23" x14ac:dyDescent="0.2">
      <c r="I16" s="130"/>
      <c r="J16" s="53" t="s">
        <v>96</v>
      </c>
      <c r="K16" s="54">
        <f>'Left 2 ST'!G3</f>
        <v>9.3549999999999898</v>
      </c>
      <c r="L16" s="54">
        <f>'Left 2 ST'!G4</f>
        <v>9.3512499999999932</v>
      </c>
      <c r="M16" s="54">
        <f>'Left 2 ST'!G5</f>
        <v>9.6100000000000119</v>
      </c>
      <c r="N16" s="54">
        <f>'Left 2 ST'!G6</f>
        <v>3.749999999996589E-3</v>
      </c>
      <c r="O16" s="54">
        <f>'Left 2 ST'!G7</f>
        <v>1.0272581507215419</v>
      </c>
    </row>
    <row r="17" spans="9:21" x14ac:dyDescent="0.2">
      <c r="I17" s="130"/>
      <c r="J17" s="53" t="s">
        <v>97</v>
      </c>
      <c r="K17" s="54">
        <f>'Left 3 ST'!G3</f>
        <v>9.4699999999999989</v>
      </c>
      <c r="L17" s="54">
        <f>'Left 3 ST'!G4</f>
        <v>9.397500000000008</v>
      </c>
      <c r="M17" s="54">
        <f>'Left 3 ST'!G5</f>
        <v>9.7549999999999937</v>
      </c>
      <c r="N17" s="54">
        <f>'Left 3 ST'!G6</f>
        <v>7.2499999999990905E-2</v>
      </c>
      <c r="O17" s="54">
        <f>'Left 3 ST'!G7</f>
        <v>1.0300950369588171</v>
      </c>
      <c r="Q17" s="7" t="s">
        <v>231</v>
      </c>
      <c r="R17" s="7">
        <f>IF(MinMax!B2&lt;&gt;0,MinMax!B2)</f>
        <v>9.0774999999999917</v>
      </c>
      <c r="S17" s="7">
        <f t="array" ref="S17">ROUND(R17-(R17*0.04),1)</f>
        <v>8.6999999999999993</v>
      </c>
      <c r="U17" s="7" t="str">
        <f>setChartAxis("Report","Chart 1","Min","Value","Primary",S17)</f>
        <v>Value Primary Min: 8.7</v>
      </c>
    </row>
    <row r="18" spans="9:21" x14ac:dyDescent="0.2">
      <c r="I18" s="131"/>
      <c r="J18" s="94" t="s">
        <v>101</v>
      </c>
      <c r="K18" s="104">
        <f>AVERAGE(K15:K17)</f>
        <v>9.420166666666665</v>
      </c>
      <c r="L18" s="104">
        <f t="shared" ref="L18:O18" si="0">AVERAGE(L15:L17)</f>
        <v>9.373333333333326</v>
      </c>
      <c r="M18" s="104">
        <f t="shared" si="0"/>
        <v>9.6995833333333294</v>
      </c>
      <c r="N18" s="104">
        <f t="shared" si="0"/>
        <v>4.6833333333338466E-2</v>
      </c>
      <c r="O18" s="104">
        <f t="shared" si="0"/>
        <v>1.0296541784522286</v>
      </c>
      <c r="Q18" s="7" t="s">
        <v>232</v>
      </c>
      <c r="R18" s="7">
        <f>IF(MinMax!B3&lt;&gt;0,MinMax!B3)</f>
        <v>9.8136500000000257</v>
      </c>
      <c r="S18" s="7">
        <f t="array" ref="S18">ROUND(R18+(R18*0.05),1)</f>
        <v>10.3</v>
      </c>
      <c r="U18" s="7" t="str">
        <f>setChartAxis("Report","Chart 1","Max","Value","Primary",S18)</f>
        <v>Value Primary Max: 10.3</v>
      </c>
    </row>
    <row r="19" spans="9:21" x14ac:dyDescent="0.2">
      <c r="I19" s="132" t="s">
        <v>98</v>
      </c>
      <c r="J19" s="55" t="s">
        <v>95</v>
      </c>
      <c r="K19" s="56">
        <f>'Right 1 ST'!G3</f>
        <v>9.1612499999999937</v>
      </c>
      <c r="L19" s="56">
        <f>'Right 1 ST'!G4</f>
        <v>9.0774999999999846</v>
      </c>
      <c r="M19" s="56">
        <f>'Right 1 ST'!G5</f>
        <v>9.4862499999999841</v>
      </c>
      <c r="N19" s="56">
        <f>'Right 1 ST'!G6</f>
        <v>8.3750000000009095E-2</v>
      </c>
      <c r="O19" s="56">
        <f>'Right 1 ST'!G7</f>
        <v>1.035475508254877</v>
      </c>
    </row>
    <row r="20" spans="9:21" x14ac:dyDescent="0.2">
      <c r="I20" s="133"/>
      <c r="J20" s="57" t="s">
        <v>96</v>
      </c>
      <c r="K20" s="56">
        <f>'Right 2 ST'!G3</f>
        <v>9.3462499999999977</v>
      </c>
      <c r="L20" s="56">
        <f>'Right 2 ST'!G4</f>
        <v>9.3037499999999795</v>
      </c>
      <c r="M20" s="56">
        <f>'Right 2 ST'!G5</f>
        <v>9.6274999999999977</v>
      </c>
      <c r="N20" s="56">
        <f>'Right 2 ST'!G6</f>
        <v>4.250000000001819E-2</v>
      </c>
      <c r="O20" s="56">
        <f>'Right 2 ST'!G7</f>
        <v>1.030092283001204</v>
      </c>
    </row>
    <row r="21" spans="9:21" x14ac:dyDescent="0.2">
      <c r="I21" s="133"/>
      <c r="J21" s="57" t="s">
        <v>97</v>
      </c>
      <c r="K21" s="56">
        <f>'Right 3 ST'!G3</f>
        <v>9.3799999999999937</v>
      </c>
      <c r="L21" s="56">
        <f>'Right 3 ST'!G4</f>
        <v>9.3662499999999795</v>
      </c>
      <c r="M21" s="56">
        <f>'Right 3 ST'!G5</f>
        <v>9.7425000000000068</v>
      </c>
      <c r="N21" s="56">
        <f>'Right 3 ST'!G6</f>
        <v>1.375000000001414E-2</v>
      </c>
      <c r="O21" s="56">
        <f>'Right 3 ST'!G7</f>
        <v>1.038646055437102</v>
      </c>
    </row>
    <row r="22" spans="9:21" x14ac:dyDescent="0.2">
      <c r="I22" s="134"/>
      <c r="J22" s="97" t="s">
        <v>101</v>
      </c>
      <c r="K22" s="106">
        <f>AVERAGEIF(K19:K21,"&lt;&gt;0")</f>
        <v>9.295833333333329</v>
      </c>
      <c r="L22" s="106">
        <f t="shared" ref="L22:O22" si="1">AVERAGEIF(L19:L21,"&lt;&gt;0")</f>
        <v>9.2491666666666479</v>
      </c>
      <c r="M22" s="106">
        <f t="shared" si="1"/>
        <v>9.6187499999999968</v>
      </c>
      <c r="N22" s="106">
        <f t="shared" si="1"/>
        <v>4.6666666666680477E-2</v>
      </c>
      <c r="O22" s="106">
        <f t="shared" si="1"/>
        <v>1.0347379488977275</v>
      </c>
    </row>
    <row r="23" spans="9:21" x14ac:dyDescent="0.2">
      <c r="I23" s="164" t="s">
        <v>99</v>
      </c>
      <c r="J23" s="165"/>
      <c r="K23" s="167">
        <v>8.9588971822916594</v>
      </c>
      <c r="L23" s="167">
        <v>8.7026653854166636</v>
      </c>
      <c r="M23" s="167">
        <v>9.3190397499999911</v>
      </c>
      <c r="N23" s="167">
        <v>0.25623179687499587</v>
      </c>
      <c r="O23" s="168">
        <v>1.0401994308429163</v>
      </c>
    </row>
    <row r="33" spans="1:21" x14ac:dyDescent="0.2">
      <c r="A33" s="123" t="s">
        <v>100</v>
      </c>
      <c r="B33" s="124"/>
      <c r="C33" s="124"/>
      <c r="D33" s="124"/>
      <c r="E33" s="124"/>
      <c r="F33" s="124"/>
      <c r="G33" s="124"/>
      <c r="H33" s="124"/>
      <c r="I33" s="124"/>
      <c r="J33" s="124"/>
      <c r="K33" s="124"/>
      <c r="L33" s="124"/>
      <c r="M33" s="124"/>
      <c r="N33" s="124"/>
      <c r="O33" s="125"/>
    </row>
    <row r="35" spans="1:21" x14ac:dyDescent="0.2">
      <c r="J35" s="39"/>
      <c r="K35" s="47"/>
      <c r="L35" s="151" t="s">
        <v>252</v>
      </c>
      <c r="M35" s="152"/>
      <c r="N35" s="152"/>
      <c r="O35" s="153"/>
    </row>
    <row r="36" spans="1:21" x14ac:dyDescent="0.2">
      <c r="J36" s="48"/>
      <c r="K36" s="3"/>
      <c r="L36" s="40" t="s">
        <v>90</v>
      </c>
      <c r="M36" s="38" t="s">
        <v>91</v>
      </c>
      <c r="N36" s="38" t="s">
        <v>92</v>
      </c>
      <c r="O36" s="42" t="s">
        <v>168</v>
      </c>
    </row>
    <row r="37" spans="1:21" x14ac:dyDescent="0.2">
      <c r="J37" s="129" t="s">
        <v>94</v>
      </c>
      <c r="K37" s="51" t="s">
        <v>95</v>
      </c>
      <c r="L37" s="62">
        <f>'Left 1 ST'!H3</f>
        <v>0.55906593406593408</v>
      </c>
      <c r="M37" s="62">
        <f>'Left 1 ST'!H4</f>
        <v>0.54412747252747251</v>
      </c>
      <c r="N37" s="62">
        <f>'Left 1 ST'!H5</f>
        <v>0.55606043956043949</v>
      </c>
      <c r="O37" s="63">
        <f>'Left 1 ST'!H6</f>
        <v>1.4938461538461571E-2</v>
      </c>
      <c r="Q37" s="7" t="s">
        <v>231</v>
      </c>
      <c r="R37" s="7">
        <f>IF(MinMax!C2&lt;&gt;0,MinMax!C2)</f>
        <v>0.53242556593406587</v>
      </c>
      <c r="S37" s="7">
        <f>ROUND(R37-(R37*0.04),1)</f>
        <v>0.5</v>
      </c>
      <c r="U37" s="7" t="str">
        <f>setChartAxis("Report","Chart 2","Min","Value","Primary",S37)</f>
        <v>Value Primary Min: 0.5</v>
      </c>
    </row>
    <row r="38" spans="1:21" x14ac:dyDescent="0.2">
      <c r="J38" s="130"/>
      <c r="K38" s="53" t="s">
        <v>96</v>
      </c>
      <c r="L38" s="62">
        <f>'Left 2 ST'!H3</f>
        <v>0.55966483516483523</v>
      </c>
      <c r="M38" s="62">
        <f>'Left 2 ST'!H4</f>
        <v>0.54655769230769236</v>
      </c>
      <c r="N38" s="62">
        <f>'Left 2 ST'!H5</f>
        <v>0.55599450549450546</v>
      </c>
      <c r="O38" s="63">
        <f>'Left 2 ST'!H6</f>
        <v>1.3107142857142869E-2</v>
      </c>
      <c r="Q38" s="7" t="s">
        <v>232</v>
      </c>
      <c r="R38" s="7">
        <f>IF(MinMax!C2&lt;&gt;0,MinMax!C2)</f>
        <v>0.53242556593406587</v>
      </c>
      <c r="S38" s="7">
        <f>ROUND(R38+(R38*0.05),1)</f>
        <v>0.6</v>
      </c>
      <c r="U38" s="7" t="str">
        <f>setChartAxis("Report","Chart 2","Max","Value","Primary",S38)</f>
        <v>Value Primary Max: 0.6</v>
      </c>
    </row>
    <row r="39" spans="1:21" x14ac:dyDescent="0.2">
      <c r="J39" s="130"/>
      <c r="K39" s="53" t="s">
        <v>97</v>
      </c>
      <c r="L39" s="62">
        <f>'Left 3 ST'!H3</f>
        <v>0.55685714285714283</v>
      </c>
      <c r="M39" s="62">
        <f>'Left 3 ST'!H4</f>
        <v>0.53977197802197807</v>
      </c>
      <c r="N39" s="62">
        <f>'Left 3 ST'!H5</f>
        <v>0.54913516483516489</v>
      </c>
      <c r="O39" s="63">
        <f>'Left 3 ST'!H6</f>
        <v>1.708516483516476E-2</v>
      </c>
    </row>
    <row r="40" spans="1:21" x14ac:dyDescent="0.2">
      <c r="J40" s="131"/>
      <c r="K40" s="94" t="s">
        <v>101</v>
      </c>
      <c r="L40" s="104">
        <f>AVERAGE(L37:L39)</f>
        <v>0.55852930402930401</v>
      </c>
      <c r="M40" s="104">
        <f t="shared" ref="M40:O40" si="2">AVERAGE(M37:M39)</f>
        <v>0.54348571428571424</v>
      </c>
      <c r="N40" s="104">
        <f t="shared" si="2"/>
        <v>0.55373003663003662</v>
      </c>
      <c r="O40" s="104">
        <f t="shared" si="2"/>
        <v>1.5043589743589733E-2</v>
      </c>
    </row>
    <row r="41" spans="1:21" x14ac:dyDescent="0.2">
      <c r="J41" s="132" t="s">
        <v>98</v>
      </c>
      <c r="K41" s="55" t="s">
        <v>95</v>
      </c>
      <c r="L41" s="58">
        <f>'Right 1 ST'!H3</f>
        <v>0.54745329670329668</v>
      </c>
      <c r="M41" s="58">
        <f>'Right 1 ST'!H4</f>
        <v>0.53242417582417578</v>
      </c>
      <c r="N41" s="58">
        <f>'Right 1 ST'!H5</f>
        <v>0.55047802197802198</v>
      </c>
      <c r="O41" s="59">
        <f>'Right 1 ST'!H6</f>
        <v>1.5029120879120891E-2</v>
      </c>
    </row>
    <row r="42" spans="1:21" x14ac:dyDescent="0.2">
      <c r="J42" s="133"/>
      <c r="K42" s="57" t="s">
        <v>96</v>
      </c>
      <c r="L42" s="60">
        <f>'Right 2 ST'!H3</f>
        <v>0.55588461538461542</v>
      </c>
      <c r="M42" s="60">
        <f>'Right 2 ST'!H4</f>
        <v>0.539178021978022</v>
      </c>
      <c r="N42" s="60">
        <f>'Right 2 ST'!H5</f>
        <v>0.5514230769230769</v>
      </c>
      <c r="O42" s="61">
        <f>'Right 2 ST'!H6</f>
        <v>1.6706593406593421E-2</v>
      </c>
    </row>
    <row r="43" spans="1:21" x14ac:dyDescent="0.2">
      <c r="J43" s="133"/>
      <c r="K43" s="57" t="s">
        <v>97</v>
      </c>
      <c r="L43" s="60">
        <f>'Right 3 ST'!H3</f>
        <v>0.55475274725274726</v>
      </c>
      <c r="M43" s="60">
        <f>'Right 3 ST'!H4</f>
        <v>0.54181978021978017</v>
      </c>
      <c r="N43" s="60">
        <f>'Right 3 ST'!H5</f>
        <v>0.55387362637362636</v>
      </c>
      <c r="O43" s="61">
        <f>'Right 3 ST'!H6</f>
        <v>1.2932967032967089E-2</v>
      </c>
    </row>
    <row r="44" spans="1:21" x14ac:dyDescent="0.2">
      <c r="J44" s="134"/>
      <c r="K44" s="97" t="s">
        <v>101</v>
      </c>
      <c r="L44" s="106">
        <f>AVERAGEIF(L41:L43,"&lt;&gt;0")</f>
        <v>0.55269688644688653</v>
      </c>
      <c r="M44" s="106">
        <f t="shared" ref="M44:O44" si="3">AVERAGEIF(M41:M43,"&lt;&gt;0")</f>
        <v>0.53780732600732595</v>
      </c>
      <c r="N44" s="106">
        <f t="shared" si="3"/>
        <v>0.55192490842490838</v>
      </c>
      <c r="O44" s="106">
        <f t="shared" si="3"/>
        <v>1.4889560439560467E-2</v>
      </c>
    </row>
    <row r="45" spans="1:21" x14ac:dyDescent="0.2">
      <c r="J45" s="164" t="s">
        <v>99</v>
      </c>
      <c r="K45" s="165"/>
      <c r="L45" s="168">
        <v>0.57220067342915626</v>
      </c>
      <c r="M45" s="168">
        <v>0.56455504559876557</v>
      </c>
      <c r="N45" s="168">
        <v>0.59516750371602678</v>
      </c>
      <c r="O45" s="169">
        <v>3.061245811726121E-2</v>
      </c>
    </row>
    <row r="54" spans="1:21" x14ac:dyDescent="0.2">
      <c r="A54" s="123" t="s">
        <v>102</v>
      </c>
      <c r="B54" s="124"/>
      <c r="C54" s="124"/>
      <c r="D54" s="124"/>
      <c r="E54" s="124"/>
      <c r="F54" s="124"/>
      <c r="G54" s="124"/>
      <c r="H54" s="124"/>
      <c r="I54" s="124"/>
      <c r="J54" s="124"/>
      <c r="K54" s="124"/>
      <c r="L54" s="124"/>
      <c r="M54" s="124"/>
      <c r="N54" s="124"/>
      <c r="O54" s="125"/>
    </row>
    <row r="58" spans="1:21" x14ac:dyDescent="0.2">
      <c r="Q58" s="7" t="s">
        <v>231</v>
      </c>
      <c r="R58" s="7" t="b">
        <f>IF(MinMax!D2&lt;&gt;0,MinMax!D2)</f>
        <v>0</v>
      </c>
      <c r="S58" s="7">
        <f>ROUND(R58-(R58*0.04),1)</f>
        <v>0</v>
      </c>
      <c r="U58" s="7" t="str">
        <f>setChartAxis("Report","Chart 3","Min","Value","Primary",S58)</f>
        <v>Value Primary Min: 0</v>
      </c>
    </row>
    <row r="59" spans="1:21" x14ac:dyDescent="0.2">
      <c r="Q59" s="7" t="s">
        <v>232</v>
      </c>
      <c r="R59" s="7">
        <f>IF(MinMax!D3&lt;&gt;0,MinMax!D3)</f>
        <v>4.1702511066350754</v>
      </c>
      <c r="S59" s="7">
        <f>ROUND(R59+(R59*0.05),1)</f>
        <v>4.4000000000000004</v>
      </c>
      <c r="U59" s="7" t="str">
        <f>setChartAxis("Report","Chart 3","Max","Value","Primary",S59)</f>
        <v>Value Primary Max: 4.4</v>
      </c>
    </row>
    <row r="61" spans="1:21" x14ac:dyDescent="0.2">
      <c r="Q61" s="7" t="s">
        <v>231</v>
      </c>
      <c r="R61" s="7">
        <f>IF(MinMax!E2&lt;&gt;0,MinMax!E2)</f>
        <v>-1.1030361711710452</v>
      </c>
      <c r="S61" s="7">
        <f>ROUND(R61+(R61*0.2),1)</f>
        <v>-1.3</v>
      </c>
      <c r="U61" s="7" t="str">
        <f>setChartAxis("Report","Chart 4","Min","Value","Primary",S61)</f>
        <v>Value Primary Min: -1.3</v>
      </c>
    </row>
    <row r="62" spans="1:21" x14ac:dyDescent="0.2">
      <c r="Q62" s="7" t="s">
        <v>232</v>
      </c>
      <c r="R62" s="7">
        <f>IF(MinMax!E3&lt;&gt;0,MinMax!E3)</f>
        <v>0.86086192478710222</v>
      </c>
      <c r="S62" s="7">
        <f>ROUND(R62+(R62*0.2),1)</f>
        <v>1</v>
      </c>
      <c r="U62" s="7" t="str">
        <f>setChartAxis("Report","Chart 4","Max","Value","Primary",S62)</f>
        <v>Value Primary Max: 1</v>
      </c>
    </row>
    <row r="67" spans="2:14" x14ac:dyDescent="0.2">
      <c r="L67" s="5"/>
      <c r="M67" s="15"/>
      <c r="N67" s="13"/>
    </row>
    <row r="68" spans="2:14" x14ac:dyDescent="0.2">
      <c r="L68" s="5"/>
      <c r="M68" s="15"/>
      <c r="N68" s="13"/>
    </row>
    <row r="69" spans="2:14" x14ac:dyDescent="0.2">
      <c r="L69" s="5"/>
      <c r="M69" s="15"/>
      <c r="N69" s="13"/>
    </row>
    <row r="70" spans="2:14" x14ac:dyDescent="0.2">
      <c r="L70" s="5"/>
      <c r="M70" s="15"/>
      <c r="N70" s="13"/>
    </row>
    <row r="71" spans="2:14" x14ac:dyDescent="0.2">
      <c r="L71" s="5"/>
      <c r="M71" s="15"/>
      <c r="N71" s="13"/>
    </row>
    <row r="74" spans="2:14" ht="33.75" x14ac:dyDescent="0.2">
      <c r="B74" s="31"/>
      <c r="C74" s="143" t="s">
        <v>230</v>
      </c>
      <c r="D74" s="144"/>
      <c r="G74" s="39"/>
      <c r="H74" s="49"/>
      <c r="I74" s="91" t="s">
        <v>218</v>
      </c>
      <c r="J74" s="91" t="s">
        <v>219</v>
      </c>
      <c r="K74" s="91" t="s">
        <v>247</v>
      </c>
      <c r="L74" s="92" t="s">
        <v>248</v>
      </c>
      <c r="M74" s="91" t="s">
        <v>220</v>
      </c>
      <c r="N74" s="93" t="s">
        <v>221</v>
      </c>
    </row>
    <row r="75" spans="2:14" x14ac:dyDescent="0.2">
      <c r="B75" s="129" t="s">
        <v>94</v>
      </c>
      <c r="C75" s="64" t="s">
        <v>95</v>
      </c>
      <c r="D75" s="65">
        <f>'Left 1 ST'!J3</f>
        <v>12.264150943396229</v>
      </c>
      <c r="G75" s="129" t="s">
        <v>94</v>
      </c>
      <c r="H75" s="53" t="s">
        <v>95</v>
      </c>
      <c r="I75" s="67">
        <f>100-J75</f>
        <v>22.222244262695313</v>
      </c>
      <c r="J75" s="68">
        <f>'Left 1 ST'!D16</f>
        <v>77.777755737304688</v>
      </c>
      <c r="K75" s="68">
        <f>'Left 1 ST'!D11</f>
        <v>2.2033569812774658</v>
      </c>
      <c r="L75" s="68">
        <f>'Left 1 ST'!D12</f>
        <v>20.023371279239651</v>
      </c>
      <c r="M75" s="68">
        <f>'Left 1 ST'!D17</f>
        <v>39.316263944686881</v>
      </c>
      <c r="N75" s="69">
        <f>'Left 1 ST'!$I$3</f>
        <v>227.3119999999999</v>
      </c>
    </row>
    <row r="76" spans="2:14" x14ac:dyDescent="0.2">
      <c r="B76" s="130"/>
      <c r="C76" s="66" t="s">
        <v>96</v>
      </c>
      <c r="D76" s="65">
        <f>'Left 2 ST'!J3</f>
        <v>12.38095238095238</v>
      </c>
      <c r="G76" s="130"/>
      <c r="H76" s="53" t="s">
        <v>96</v>
      </c>
      <c r="I76" s="67">
        <f>100-J76</f>
        <v>21.186426162719727</v>
      </c>
      <c r="J76" s="68">
        <f>'Left 2 ST'!D16</f>
        <v>78.813573837280273</v>
      </c>
      <c r="K76" s="68">
        <f>'Left 2 ST'!D11</f>
        <v>2.2385730743408199</v>
      </c>
      <c r="L76" s="68">
        <f>'Left 2 ST'!D12</f>
        <v>17.769518494606022</v>
      </c>
      <c r="M76" s="68">
        <f>'Left 2 ST'!D17</f>
        <v>32.203377791000811</v>
      </c>
      <c r="N76" s="69">
        <f>'Left 2 ST'!$I$3</f>
        <v>177.18000000000009</v>
      </c>
    </row>
    <row r="77" spans="2:14" x14ac:dyDescent="0.2">
      <c r="B77" s="130"/>
      <c r="C77" s="66" t="s">
        <v>97</v>
      </c>
      <c r="D77" s="65">
        <f>'Left 3 ST'!J3</f>
        <v>12.264150943396229</v>
      </c>
      <c r="G77" s="130"/>
      <c r="H77" s="53" t="s">
        <v>97</v>
      </c>
      <c r="I77" s="67">
        <f>100-J77</f>
        <v>22.99348258972168</v>
      </c>
      <c r="J77" s="68">
        <f>'Left 3 ST'!D16</f>
        <v>77.00651741027832</v>
      </c>
      <c r="K77" s="68">
        <f>'Left 3 ST'!D11</f>
        <v>2.254286527633667</v>
      </c>
      <c r="L77" s="68">
        <f>'Left 3 ST'!D12</f>
        <v>20.310746133327481</v>
      </c>
      <c r="M77" s="68">
        <f>'Left 3 ST'!D17</f>
        <v>35.140987621885692</v>
      </c>
      <c r="N77" s="69">
        <f>'Left 3 ST'!$I$3</f>
        <v>227.61999999999989</v>
      </c>
    </row>
    <row r="78" spans="2:14" x14ac:dyDescent="0.2">
      <c r="B78" s="131"/>
      <c r="C78" s="100" t="s">
        <v>101</v>
      </c>
      <c r="D78" s="101">
        <f>AVERAGE(D75:D77)</f>
        <v>12.303084755914947</v>
      </c>
      <c r="G78" s="131"/>
      <c r="H78" s="94" t="s">
        <v>101</v>
      </c>
      <c r="I78" s="95">
        <f t="shared" ref="I78:N78" si="4">AVERAGE(I75:I77)</f>
        <v>22.134051005045574</v>
      </c>
      <c r="J78" s="95">
        <f t="shared" si="4"/>
        <v>77.865948994954422</v>
      </c>
      <c r="K78" s="95">
        <f t="shared" si="4"/>
        <v>2.2320721944173179</v>
      </c>
      <c r="L78" s="95">
        <f t="shared" si="4"/>
        <v>19.367878635724384</v>
      </c>
      <c r="M78" s="95">
        <f t="shared" si="4"/>
        <v>35.553543119191126</v>
      </c>
      <c r="N78" s="96">
        <f t="shared" si="4"/>
        <v>210.70399999999995</v>
      </c>
    </row>
    <row r="79" spans="2:14" x14ac:dyDescent="0.2">
      <c r="B79" s="132" t="s">
        <v>98</v>
      </c>
      <c r="C79" s="77" t="s">
        <v>95</v>
      </c>
      <c r="D79" s="76">
        <f>'Right 1 ST'!J3</f>
        <v>10.92436974789916</v>
      </c>
      <c r="G79" s="132" t="s">
        <v>98</v>
      </c>
      <c r="H79" s="55" t="s">
        <v>95</v>
      </c>
      <c r="I79" s="88">
        <f>100-J79</f>
        <v>23.517824172973633</v>
      </c>
      <c r="J79" s="89">
        <f>'Right 1 ST'!D16</f>
        <v>76.482175827026367</v>
      </c>
      <c r="K79" s="89">
        <f>'Right 1 ST'!D11</f>
        <v>2.3109734058380131</v>
      </c>
      <c r="L79" s="89">
        <f>'Right 1 ST'!D12</f>
        <v>20.186898112297062</v>
      </c>
      <c r="M79" s="89">
        <f>'Right 1 ST'!D17</f>
        <v>34.585018008611343</v>
      </c>
      <c r="N79" s="90">
        <f>'Right 1 ST'!$I$3</f>
        <v>252.23</v>
      </c>
    </row>
    <row r="80" spans="2:14" x14ac:dyDescent="0.2">
      <c r="B80" s="133"/>
      <c r="C80" s="79" t="s">
        <v>96</v>
      </c>
      <c r="D80" s="76">
        <f>'Right 2 ST'!J3</f>
        <v>11.607142857142859</v>
      </c>
      <c r="G80" s="133"/>
      <c r="H80" s="57" t="s">
        <v>96</v>
      </c>
      <c r="I80" s="88">
        <f>100-J80</f>
        <v>23.09278678894043</v>
      </c>
      <c r="J80" s="89">
        <f>'Right 2 ST'!D16</f>
        <v>76.90721321105957</v>
      </c>
      <c r="K80" s="89">
        <f>'Right 2 ST'!D11</f>
        <v>2.2998538017272949</v>
      </c>
      <c r="L80" s="89">
        <f>'Right 2 ST'!D12</f>
        <v>16.688202321529388</v>
      </c>
      <c r="M80" s="89">
        <f>'Right 2 ST'!D17</f>
        <v>37.938149537148327</v>
      </c>
      <c r="N80" s="90">
        <f>'Right 2 ST'!$I$3</f>
        <v>246.71</v>
      </c>
    </row>
    <row r="81" spans="1:21" x14ac:dyDescent="0.2">
      <c r="B81" s="133"/>
      <c r="C81" s="79" t="s">
        <v>97</v>
      </c>
      <c r="D81" s="76">
        <f>'Right 3 ST'!J3</f>
        <v>11.92660550458716</v>
      </c>
      <c r="G81" s="133"/>
      <c r="H81" s="57" t="s">
        <v>97</v>
      </c>
      <c r="I81" s="88">
        <f>100-J81</f>
        <v>22.899200439453125</v>
      </c>
      <c r="J81" s="89">
        <f>'Right 3 ST'!D16</f>
        <v>77.100799560546875</v>
      </c>
      <c r="K81" s="89">
        <f>'Right 3 ST'!D11</f>
        <v>2.2927179336547852</v>
      </c>
      <c r="L81" s="89">
        <f>'Right 3 ST'!D12</f>
        <v>22.697347402572628</v>
      </c>
      <c r="M81" s="89">
        <f>'Right 3 ST'!D17</f>
        <v>38.025203244295348</v>
      </c>
      <c r="N81" s="90">
        <f>'Right 3 ST'!$I$3</f>
        <v>191.25</v>
      </c>
    </row>
    <row r="82" spans="1:21" x14ac:dyDescent="0.2">
      <c r="B82" s="134"/>
      <c r="C82" s="102" t="s">
        <v>101</v>
      </c>
      <c r="D82" s="103">
        <f>AVERAGE(D79:D81)</f>
        <v>11.486039369876393</v>
      </c>
      <c r="G82" s="134"/>
      <c r="H82" s="97" t="s">
        <v>101</v>
      </c>
      <c r="I82" s="98">
        <f t="shared" ref="I82:N82" si="5">AVERAGE(I79:I81)</f>
        <v>23.169937133789063</v>
      </c>
      <c r="J82" s="98">
        <f t="shared" si="5"/>
        <v>76.830062866210938</v>
      </c>
      <c r="K82" s="98">
        <f t="shared" si="5"/>
        <v>2.3011817137400308</v>
      </c>
      <c r="L82" s="98">
        <f t="shared" si="5"/>
        <v>19.857482612133026</v>
      </c>
      <c r="M82" s="98">
        <f t="shared" si="5"/>
        <v>36.849456930018334</v>
      </c>
      <c r="N82" s="99">
        <f t="shared" si="5"/>
        <v>230.06333333333336</v>
      </c>
    </row>
    <row r="87" spans="1:21" x14ac:dyDescent="0.2">
      <c r="B87" s="4"/>
      <c r="C87" s="15"/>
      <c r="D87" s="13"/>
    </row>
    <row r="91" spans="1:21" x14ac:dyDescent="0.2">
      <c r="A91" s="123" t="s">
        <v>103</v>
      </c>
      <c r="B91" s="124"/>
      <c r="C91" s="124"/>
      <c r="D91" s="124"/>
      <c r="E91" s="124"/>
      <c r="F91" s="124"/>
      <c r="G91" s="124"/>
      <c r="H91" s="124"/>
      <c r="I91" s="124"/>
      <c r="J91" s="124"/>
      <c r="K91" s="124"/>
      <c r="L91" s="124"/>
      <c r="M91" s="124"/>
      <c r="N91" s="124"/>
      <c r="O91" s="125"/>
    </row>
    <row r="93" spans="1:21" x14ac:dyDescent="0.2">
      <c r="K93" s="39"/>
      <c r="L93" s="43"/>
      <c r="M93" s="126" t="s">
        <v>104</v>
      </c>
      <c r="N93" s="127"/>
      <c r="O93" s="128"/>
    </row>
    <row r="94" spans="1:21" x14ac:dyDescent="0.2">
      <c r="K94" s="44"/>
      <c r="L94" s="3"/>
      <c r="M94" s="40" t="s">
        <v>77</v>
      </c>
      <c r="N94" s="38" t="s">
        <v>76</v>
      </c>
      <c r="O94" s="45" t="s">
        <v>75</v>
      </c>
    </row>
    <row r="95" spans="1:21" x14ac:dyDescent="0.2">
      <c r="K95" s="129" t="s">
        <v>94</v>
      </c>
      <c r="L95" s="64" t="s">
        <v>95</v>
      </c>
      <c r="M95" s="70">
        <f>'Left 1 ST'!P3</f>
        <v>29.671299999999999</v>
      </c>
      <c r="N95" s="71">
        <f>'Left 1 ST'!O3</f>
        <v>44.733800000000002</v>
      </c>
      <c r="O95" s="65">
        <f>'Left 1 ST'!N3</f>
        <v>43.163899999999998</v>
      </c>
      <c r="Q95" s="7" t="s">
        <v>231</v>
      </c>
      <c r="R95" s="7" t="str">
        <f t="array" ref="R95">IF(MinMax!H2&lt;&gt;0,MinMax!H2)</f>
        <v>#MIN('Left 1 Kin'!$S$2:$S$102,'Left 2 Kin'!$S$2:$S$102,'Left 3 Kin'!$S$2:$S$102,'Right 1 Kin'!$S$2:$S$102,'Right 2 Kin'!$S$2:$S$102,'Right 3 Kin'!$S$2:$S$102,Normative!$S$2:$S$102)</v>
      </c>
      <c r="S95" s="7" t="e">
        <f>ROUND(R95+(R95*0.1),1)</f>
        <v>#VALUE!</v>
      </c>
      <c r="U95" s="7" t="str">
        <f>setChartAxis("Report","Chart 5","Min","Value","Primary",S95)</f>
        <v>Value Primary Min: Auto</v>
      </c>
    </row>
    <row r="96" spans="1:21" x14ac:dyDescent="0.2">
      <c r="K96" s="130"/>
      <c r="L96" s="66" t="s">
        <v>96</v>
      </c>
      <c r="M96" s="70">
        <f>'Left 2 ST'!P3</f>
        <v>26.284400000000002</v>
      </c>
      <c r="N96" s="71">
        <f>'Left 2 ST'!O3</f>
        <v>43.240499999999997</v>
      </c>
      <c r="O96" s="65">
        <f>'Left 2 ST'!N3</f>
        <v>40.481200000000001</v>
      </c>
      <c r="Q96" s="7" t="s">
        <v>232</v>
      </c>
      <c r="R96" s="7" t="str">
        <f t="array" ref="R96">IF(MinMax!H3&lt;&gt;0,MinMax!H3)</f>
        <v>#MAX('Left 1 Kin'!$S$2:$S$102,'Left 2 Kin'!$S$2:$S$102,'Left 3 Kin'!$S$2:$S$102,'Right 1 Kin'!$S$2:$S$102,'Right 2 Kin'!$S$2:$S$102,'Right 3 Kin'!$S$2:$S$102,Normative!$S$2:$S$102)</v>
      </c>
      <c r="S96" s="7" t="e">
        <f>ROUND(R96+(R96*0.1),1)</f>
        <v>#VALUE!</v>
      </c>
      <c r="U96" s="7" t="str">
        <f>setChartAxis("Report","Chart 5","Max","Value","Primary",S96)</f>
        <v>Value Primary Max: Auto</v>
      </c>
    </row>
    <row r="97" spans="11:21" x14ac:dyDescent="0.2">
      <c r="K97" s="130"/>
      <c r="L97" s="66" t="s">
        <v>97</v>
      </c>
      <c r="M97" s="70">
        <f>'Left 3 ST'!P3</f>
        <v>26.839600000000001</v>
      </c>
      <c r="N97" s="71">
        <f>'Left 3 ST'!O3</f>
        <v>43.694800000000001</v>
      </c>
      <c r="O97" s="65">
        <f>'Left 3 ST'!N3</f>
        <v>46.789200000000001</v>
      </c>
    </row>
    <row r="98" spans="11:21" x14ac:dyDescent="0.2">
      <c r="K98" s="131"/>
      <c r="L98" s="100" t="s">
        <v>101</v>
      </c>
      <c r="M98" s="108">
        <f>AVERAGE(M95:M97)</f>
        <v>27.598433333333332</v>
      </c>
      <c r="N98" s="104">
        <f t="shared" ref="N98:O98" si="6">AVERAGE(N95:N97)</f>
        <v>43.889700000000005</v>
      </c>
      <c r="O98" s="105">
        <f t="shared" si="6"/>
        <v>43.478100000000005</v>
      </c>
    </row>
    <row r="99" spans="11:21" x14ac:dyDescent="0.2">
      <c r="K99" s="132" t="s">
        <v>98</v>
      </c>
      <c r="L99" s="83" t="s">
        <v>95</v>
      </c>
      <c r="M99" s="84">
        <f>'Right 1 ST'!P3</f>
        <v>27.278600000000001</v>
      </c>
      <c r="N99" s="85">
        <f>'Right 1 ST'!O3</f>
        <v>49.830800000000004</v>
      </c>
      <c r="O99" s="86">
        <f>'Right 1 ST'!N3</f>
        <v>41.419800000000002</v>
      </c>
    </row>
    <row r="100" spans="11:21" x14ac:dyDescent="0.2">
      <c r="K100" s="133"/>
      <c r="L100" s="87" t="s">
        <v>96</v>
      </c>
      <c r="M100" s="78">
        <f>'Right 2 ST'!P3</f>
        <v>28.332699999999999</v>
      </c>
      <c r="N100" s="75">
        <f>'Right 2 ST'!O3</f>
        <v>48.211300000000001</v>
      </c>
      <c r="O100" s="76">
        <f>'Right 2 ST'!N3</f>
        <v>39.211599999999997</v>
      </c>
    </row>
    <row r="101" spans="11:21" x14ac:dyDescent="0.2">
      <c r="K101" s="133"/>
      <c r="L101" s="87" t="s">
        <v>97</v>
      </c>
      <c r="M101" s="78">
        <f>'Right 3 ST'!P3</f>
        <v>26.429400000000001</v>
      </c>
      <c r="N101" s="75">
        <f>'Right 3 ST'!O3</f>
        <v>46.747700000000002</v>
      </c>
      <c r="O101" s="76">
        <f>'Right 3 ST'!N3</f>
        <v>36.3474</v>
      </c>
    </row>
    <row r="102" spans="11:21" x14ac:dyDescent="0.2">
      <c r="K102" s="134"/>
      <c r="L102" s="102" t="s">
        <v>101</v>
      </c>
      <c r="M102" s="109">
        <f>AVERAGE(M99:M101)</f>
        <v>27.346900000000002</v>
      </c>
      <c r="N102" s="106">
        <f t="shared" ref="N102" si="7">AVERAGE(N99:N101)</f>
        <v>48.263266666666674</v>
      </c>
      <c r="O102" s="107">
        <f t="shared" ref="O102" si="8">AVERAGE(O99:O101)</f>
        <v>38.992933333333333</v>
      </c>
    </row>
    <row r="103" spans="11:21" x14ac:dyDescent="0.2">
      <c r="K103" s="164" t="s">
        <v>99</v>
      </c>
      <c r="L103" s="165"/>
      <c r="M103" s="161">
        <v>24.71672714</v>
      </c>
      <c r="N103" s="162">
        <v>43.375962533333336</v>
      </c>
      <c r="O103" s="163">
        <v>47.2</v>
      </c>
    </row>
    <row r="107" spans="11:21" x14ac:dyDescent="0.2">
      <c r="K107" s="39"/>
      <c r="L107" s="43"/>
      <c r="M107" s="126" t="s">
        <v>105</v>
      </c>
      <c r="N107" s="127"/>
      <c r="O107" s="128"/>
    </row>
    <row r="108" spans="11:21" x14ac:dyDescent="0.2">
      <c r="K108" s="44"/>
      <c r="L108" s="3"/>
      <c r="M108" s="40" t="s">
        <v>77</v>
      </c>
      <c r="N108" s="38" t="s">
        <v>76</v>
      </c>
      <c r="O108" s="45" t="s">
        <v>75</v>
      </c>
    </row>
    <row r="109" spans="11:21" x14ac:dyDescent="0.2">
      <c r="K109" s="129" t="s">
        <v>94</v>
      </c>
      <c r="L109" s="51" t="s">
        <v>95</v>
      </c>
      <c r="M109" s="70">
        <f>'Left 1 ST'!P6</f>
        <v>66.508200000000002</v>
      </c>
      <c r="N109" s="71">
        <f>'Left 1 ST'!O6</f>
        <v>29.086099999999998</v>
      </c>
      <c r="O109" s="65">
        <f>'Left 1 ST'!N6</f>
        <v>60.110699999999987</v>
      </c>
      <c r="Q109" s="7" t="s">
        <v>231</v>
      </c>
      <c r="R109" s="7" t="str">
        <f t="array" ref="R109">IF(MinMax!I2&lt;&gt;0,MinMax!I2)</f>
        <v>#MIN('Left 1 Kin'!$P$2:$P$102,'Left 2 Kin'!$P$2:$P$102,'Left 3 Kin'!$P$2:$P$102,'Right 1 Kin'!$P$2:$P$102,'Right 2 Kin'!$P$2:$P$102,'Right 3 Kin'!$P$2:$P$102,Normative!$P$2:$P$102)</v>
      </c>
      <c r="S109" s="7" t="e">
        <f>ROUND(R109-(R109*0.1),1)</f>
        <v>#VALUE!</v>
      </c>
      <c r="U109" s="7" t="str">
        <f>setChartAxis("Report","Chart 6","Min","Value","Primary",S109)</f>
        <v>Value Primary Min: Auto</v>
      </c>
    </row>
    <row r="110" spans="11:21" x14ac:dyDescent="0.2">
      <c r="K110" s="130"/>
      <c r="L110" s="53" t="s">
        <v>96</v>
      </c>
      <c r="M110" s="70">
        <f>'Left 2 ST'!P6</f>
        <v>64.324600000000004</v>
      </c>
      <c r="N110" s="71">
        <f>'Left 2 ST'!O6</f>
        <v>24.5929</v>
      </c>
      <c r="O110" s="65">
        <f>'Left 2 ST'!N6</f>
        <v>54.751199999999997</v>
      </c>
      <c r="Q110" s="7" t="s">
        <v>232</v>
      </c>
      <c r="R110" s="7" t="str">
        <f t="array" ref="R110">IF(MinMax!I3&lt;&gt;0,MinMax!I3)</f>
        <v>#MAX('Left 1 Kin'!$P$2:$P$102,'Left 2 Kin'!$P$2:$P$102,'Left 3 Kin'!$P$2:$P$102,'Right 1 Kin'!$P$2:$P$102,'Right 2 Kin'!$P$2:$P$102,'Right 3 Kin'!$P$2:$P$102,Normative!$P$2:$P$102)</v>
      </c>
      <c r="S110" s="7" t="e">
        <f>ROUND(R110+(R110*0.1),1)</f>
        <v>#VALUE!</v>
      </c>
      <c r="U110" s="7" t="str">
        <f>setChartAxis("Report","Chart 6","Max","Value","Primary",S110)</f>
        <v>Value Primary Max: Auto</v>
      </c>
    </row>
    <row r="111" spans="11:21" x14ac:dyDescent="0.2">
      <c r="K111" s="130"/>
      <c r="L111" s="53" t="s">
        <v>97</v>
      </c>
      <c r="M111" s="70">
        <f>'Left 3 ST'!P6</f>
        <v>68.979200000000006</v>
      </c>
      <c r="N111" s="71">
        <f>'Left 3 ST'!O6</f>
        <v>28.1389</v>
      </c>
      <c r="O111" s="65">
        <f>'Left 3 ST'!N6</f>
        <v>60.556199999999997</v>
      </c>
    </row>
    <row r="112" spans="11:21" x14ac:dyDescent="0.2">
      <c r="K112" s="131"/>
      <c r="L112" s="94" t="s">
        <v>101</v>
      </c>
      <c r="M112" s="108">
        <f>AVERAGE(M109:M111)</f>
        <v>66.603999999999999</v>
      </c>
      <c r="N112" s="104">
        <f t="shared" ref="N112" si="9">AVERAGE(N109:N111)</f>
        <v>27.272633333333335</v>
      </c>
      <c r="O112" s="105">
        <f t="shared" ref="O112" si="10">AVERAGE(O109:O111)</f>
        <v>58.472699999999996</v>
      </c>
    </row>
    <row r="113" spans="11:21" x14ac:dyDescent="0.2">
      <c r="K113" s="132" t="s">
        <v>98</v>
      </c>
      <c r="L113" s="55" t="s">
        <v>95</v>
      </c>
      <c r="M113" s="78">
        <f>'Right 1 ST'!P6</f>
        <v>66.512200000000007</v>
      </c>
      <c r="N113" s="75">
        <f>'Right 1 ST'!O6</f>
        <v>30.670999999999999</v>
      </c>
      <c r="O113" s="76">
        <f>'Right 1 ST'!N6</f>
        <v>56.4803</v>
      </c>
    </row>
    <row r="114" spans="11:21" x14ac:dyDescent="0.2">
      <c r="K114" s="133"/>
      <c r="L114" s="57" t="s">
        <v>96</v>
      </c>
      <c r="M114" s="78">
        <f>'Right 2 ST'!P6</f>
        <v>64.7072</v>
      </c>
      <c r="N114" s="75">
        <f>'Right 2 ST'!O6</f>
        <v>24.255600000000001</v>
      </c>
      <c r="O114" s="76">
        <f>'Right 2 ST'!N6</f>
        <v>52.530500000000004</v>
      </c>
    </row>
    <row r="115" spans="11:21" x14ac:dyDescent="0.2">
      <c r="K115" s="133"/>
      <c r="L115" s="57" t="s">
        <v>97</v>
      </c>
      <c r="M115" s="78">
        <f>'Right 3 ST'!P6</f>
        <v>62.952300000000001</v>
      </c>
      <c r="N115" s="75">
        <f>'Right 3 ST'!O6</f>
        <v>29.7029</v>
      </c>
      <c r="O115" s="76">
        <f>'Right 3 ST'!N6</f>
        <v>52.906799999999997</v>
      </c>
    </row>
    <row r="116" spans="11:21" x14ac:dyDescent="0.2">
      <c r="K116" s="134"/>
      <c r="L116" s="97" t="s">
        <v>101</v>
      </c>
      <c r="M116" s="109">
        <f>AVERAGE(M113:M115)</f>
        <v>64.7239</v>
      </c>
      <c r="N116" s="106">
        <f t="shared" ref="N116" si="11">AVERAGE(N113:N115)</f>
        <v>28.209833333333336</v>
      </c>
      <c r="O116" s="107">
        <f t="shared" ref="O116" si="12">AVERAGE(O113:O115)</f>
        <v>53.972533333333331</v>
      </c>
    </row>
    <row r="117" spans="11:21" x14ac:dyDescent="0.2">
      <c r="K117" s="164" t="s">
        <v>99</v>
      </c>
      <c r="L117" s="165"/>
      <c r="M117" s="159">
        <v>61.677755516666664</v>
      </c>
      <c r="N117" s="160">
        <v>23.658498003333335</v>
      </c>
      <c r="O117" s="166">
        <v>63.056323833333337</v>
      </c>
    </row>
    <row r="122" spans="11:21" ht="11.25" customHeight="1" x14ac:dyDescent="0.2"/>
    <row r="125" spans="11:21" x14ac:dyDescent="0.2">
      <c r="Q125" s="7" t="s">
        <v>231</v>
      </c>
      <c r="R125" s="7" t="str">
        <f t="array" ref="R125">IF(MinMax!J2&lt;&gt;0,MinMax!J2)</f>
        <v>#MIN('Left 1 Kin'!$M$2:$M$102,'Left 2 Kin'!$M$2:$M$102,'Left 3 Kin'!$M$2:$M$102,'Right 1 Kin'!$M$2:$M$102,'Right 2 Kin'!$M$2:$M$102,'Right 3 Kin'!$M$2:$M$102,Normative!$M$2:$M$102)</v>
      </c>
      <c r="S125" s="7" t="e">
        <f>ROUND(R125+(R125*0.1),1)</f>
        <v>#VALUE!</v>
      </c>
      <c r="U125" s="7" t="str">
        <f t="array" ref="U125">setChartAxis("Report","Chart 7","Min","Value","Primary",S125)</f>
        <v>Value Primary Min: Auto</v>
      </c>
    </row>
    <row r="126" spans="11:21" x14ac:dyDescent="0.2">
      <c r="Q126" s="7" t="s">
        <v>232</v>
      </c>
      <c r="R126" s="7" t="str">
        <f t="array" ref="R126">IF(MinMax!J3&lt;&gt;0,MinMax!J3)</f>
        <v>#MAX('Left 1 Kin'!$M$2:$M$102,'Left 2 Kin'!$M$2:$M$102,'Left 3 Kin'!$M$2:$M$102,'Right 1 Kin'!$M$2:$M$102,'Right 2 Kin'!$M$2:$M$102,'Right 3 Kin'!$M$2:$M$102,Normative!$M$2:$M$102)</v>
      </c>
      <c r="S126" s="7" t="e">
        <f>ROUND(R126+(R126*0.1),1)</f>
        <v>#VALUE!</v>
      </c>
      <c r="U126" s="7" t="str">
        <f t="array" ref="U126">setChartAxis("Report","Chart 7","Max","Value","Primary",S126)</f>
        <v>Value Primary Max: Auto</v>
      </c>
    </row>
    <row r="136" spans="1:21" x14ac:dyDescent="0.2">
      <c r="A136" s="17"/>
      <c r="B136" s="18"/>
      <c r="C136" s="18"/>
      <c r="D136" s="18"/>
      <c r="E136" s="19"/>
      <c r="F136" s="17"/>
      <c r="G136" s="17"/>
      <c r="H136" s="16"/>
      <c r="I136" s="16"/>
    </row>
    <row r="137" spans="1:21" x14ac:dyDescent="0.2">
      <c r="A137" s="123" t="s">
        <v>229</v>
      </c>
      <c r="B137" s="124"/>
      <c r="C137" s="124"/>
      <c r="D137" s="124"/>
      <c r="E137" s="124"/>
      <c r="F137" s="124"/>
      <c r="G137" s="124"/>
      <c r="H137" s="124"/>
      <c r="I137" s="124"/>
      <c r="J137" s="124"/>
      <c r="K137" s="124"/>
      <c r="L137" s="124"/>
      <c r="M137" s="124"/>
      <c r="N137" s="124"/>
      <c r="O137" s="125"/>
    </row>
    <row r="140" spans="1:21" x14ac:dyDescent="0.2">
      <c r="K140" s="39"/>
      <c r="L140" s="43"/>
      <c r="M140" s="126" t="s">
        <v>104</v>
      </c>
      <c r="N140" s="127"/>
      <c r="O140" s="128"/>
    </row>
    <row r="141" spans="1:21" x14ac:dyDescent="0.2">
      <c r="K141" s="44"/>
      <c r="L141" s="3"/>
      <c r="M141" s="40" t="s">
        <v>106</v>
      </c>
      <c r="N141" s="38" t="s">
        <v>107</v>
      </c>
      <c r="O141" s="45" t="s">
        <v>108</v>
      </c>
    </row>
    <row r="142" spans="1:21" x14ac:dyDescent="0.2">
      <c r="K142" s="156" t="s">
        <v>94</v>
      </c>
      <c r="L142" s="51" t="s">
        <v>95</v>
      </c>
      <c r="M142" s="70">
        <f>'Left 1 ST'!L3</f>
        <v>15.5222</v>
      </c>
      <c r="N142" s="71">
        <f>'Left 1 ST'!L4</f>
        <v>0.13389200000000001</v>
      </c>
      <c r="O142" s="65">
        <f>'Left 1 ST'!L5</f>
        <v>-9.0325600000000001</v>
      </c>
      <c r="Q142" s="7" t="s">
        <v>231</v>
      </c>
      <c r="R142" s="7" t="str">
        <f t="array" ref="R142">IF(MinMax!K2&lt;&gt;0,MinMax!K2)</f>
        <v>#MIN('Left 1 Kin'!$J$2:$J$102,'Left 2 Kin'!$J$2:$J$102,'Left 3 Kin'!$J$2:$J$102,'Right 1 Kin'!$J$2:$J$102,'Right 2 Kin'!$J$2:$J$102,'Right 3 Kin'!$J$2:$J$102,Normative!$J$2:$J$102)</v>
      </c>
      <c r="S142" s="7" t="e">
        <f>ROUND(R142-(R142*0.1),1)</f>
        <v>#VALUE!</v>
      </c>
      <c r="U142" s="7" t="str">
        <f t="array" ref="U142">setChartAxis("Report","Chart 8","Min","Value","Primary",S142)</f>
        <v>Value Primary Min: Auto</v>
      </c>
    </row>
    <row r="143" spans="1:21" x14ac:dyDescent="0.2">
      <c r="K143" s="157"/>
      <c r="L143" s="53" t="s">
        <v>96</v>
      </c>
      <c r="M143" s="70">
        <f>'Left 2 ST'!L3</f>
        <v>15.9046</v>
      </c>
      <c r="N143" s="71">
        <f>'Left 2 ST'!L4</f>
        <v>-0.16703599999999999</v>
      </c>
      <c r="O143" s="65">
        <f>'Left 2 ST'!L5</f>
        <v>-9.8569399999999998</v>
      </c>
      <c r="Q143" s="7" t="s">
        <v>232</v>
      </c>
      <c r="R143" s="7" t="str">
        <f t="array" ref="R143">IF(MinMax!K3&lt;&gt;0,MinMax!K3)</f>
        <v>#MAX('Left 1 Kin'!$J$2:$J$102,'Left 2 Kin'!$J$2:$J$102,'Left 3 Kin'!$J$2:$J$102,'Right 1 Kin'!$J$2:$J$102,'Right 2 Kin'!$J$2:$J$102,'Right 3 Kin'!$J$2:$J$102,Normative!$J$2:$J$102)</v>
      </c>
      <c r="S143" s="7" t="e">
        <f>ROUND(R143+(R143*0.1),1)</f>
        <v>#VALUE!</v>
      </c>
      <c r="U143" s="7" t="str">
        <f t="array" ref="U143">setChartAxis("Report","Chart 8","Max","Value","Primary",S143)</f>
        <v>Value Primary Max: Auto</v>
      </c>
    </row>
    <row r="144" spans="1:21" x14ac:dyDescent="0.2">
      <c r="K144" s="157"/>
      <c r="L144" s="53" t="s">
        <v>97</v>
      </c>
      <c r="M144" s="70">
        <f>'Left 3 ST'!L3</f>
        <v>19.515999999999998</v>
      </c>
      <c r="N144" s="71">
        <f>'Left 3 ST'!L4</f>
        <v>1.5611699999999999</v>
      </c>
      <c r="O144" s="65">
        <f>'Left 3 ST'!L5</f>
        <v>-7.0110799999999998</v>
      </c>
    </row>
    <row r="145" spans="11:21" x14ac:dyDescent="0.2">
      <c r="K145" s="158"/>
      <c r="L145" s="94" t="s">
        <v>101</v>
      </c>
      <c r="M145" s="108">
        <f>AVERAGE(M142:M144)</f>
        <v>16.980933333333333</v>
      </c>
      <c r="N145" s="104">
        <f t="shared" ref="N145" si="13">AVERAGE(N142:N144)</f>
        <v>0.50934199999999996</v>
      </c>
      <c r="O145" s="105">
        <f t="shared" ref="O145" si="14">AVERAGE(O142:O144)</f>
        <v>-8.6335266666666666</v>
      </c>
    </row>
    <row r="146" spans="11:21" x14ac:dyDescent="0.2">
      <c r="K146" s="149" t="s">
        <v>98</v>
      </c>
      <c r="L146" s="55" t="s">
        <v>95</v>
      </c>
      <c r="M146" s="78">
        <f>'Right 1 ST'!L3</f>
        <v>19.668099999999999</v>
      </c>
      <c r="N146" s="75">
        <f>'Right 1 ST'!L4</f>
        <v>6.8967299999999998</v>
      </c>
      <c r="O146" s="76">
        <f>'Right 1 ST'!L5</f>
        <v>-0.40233799999999997</v>
      </c>
    </row>
    <row r="147" spans="11:21" x14ac:dyDescent="0.2">
      <c r="K147" s="150"/>
      <c r="L147" s="57" t="s">
        <v>96</v>
      </c>
      <c r="M147" s="78">
        <f>'Right 2 ST'!L3</f>
        <v>17.097899999999999</v>
      </c>
      <c r="N147" s="75">
        <f>'Right 2 ST'!L4</f>
        <v>6.4579399999999998</v>
      </c>
      <c r="O147" s="76">
        <f>'Right 2 ST'!L5</f>
        <v>1.2585599999999999</v>
      </c>
    </row>
    <row r="148" spans="11:21" x14ac:dyDescent="0.2">
      <c r="K148" s="150"/>
      <c r="L148" s="57" t="s">
        <v>97</v>
      </c>
      <c r="M148" s="78">
        <f>'Right 3 ST'!L3</f>
        <v>19.296299999999999</v>
      </c>
      <c r="N148" s="75">
        <f>'Right 3 ST'!L4</f>
        <v>6.0208000000000004</v>
      </c>
      <c r="O148" s="76">
        <f>'Right 3 ST'!L5</f>
        <v>3.1621000000000001</v>
      </c>
    </row>
    <row r="149" spans="11:21" x14ac:dyDescent="0.2">
      <c r="K149" s="150"/>
      <c r="L149" s="97" t="s">
        <v>101</v>
      </c>
      <c r="M149" s="109">
        <f>AVERAGE(M146:M148)</f>
        <v>18.687433333333331</v>
      </c>
      <c r="N149" s="106">
        <f t="shared" ref="N149" si="15">AVERAGE(N146:N148)</f>
        <v>6.4584900000000003</v>
      </c>
      <c r="O149" s="107">
        <f t="shared" ref="O149" si="16">AVERAGE(O146:O148)</f>
        <v>1.3394406666666667</v>
      </c>
    </row>
    <row r="150" spans="11:21" x14ac:dyDescent="0.2">
      <c r="K150" s="164" t="s">
        <v>99</v>
      </c>
      <c r="L150" s="165"/>
      <c r="M150" s="159">
        <v>18.059115276666667</v>
      </c>
      <c r="N150" s="160">
        <v>2.9450556899999998</v>
      </c>
      <c r="O150" s="166">
        <v>-17.092520226666664</v>
      </c>
    </row>
    <row r="152" spans="11:21" x14ac:dyDescent="0.2">
      <c r="M152" s="126" t="s">
        <v>105</v>
      </c>
      <c r="N152" s="127"/>
      <c r="O152" s="128"/>
    </row>
    <row r="153" spans="11:21" x14ac:dyDescent="0.2">
      <c r="K153" s="12"/>
      <c r="L153" s="12"/>
      <c r="M153" s="40" t="s">
        <v>106</v>
      </c>
      <c r="N153" s="38" t="s">
        <v>107</v>
      </c>
      <c r="O153" s="45" t="s">
        <v>108</v>
      </c>
    </row>
    <row r="154" spans="11:21" x14ac:dyDescent="0.2">
      <c r="K154" s="129" t="s">
        <v>94</v>
      </c>
      <c r="L154" s="72" t="s">
        <v>95</v>
      </c>
      <c r="M154" s="73">
        <f>'Left 1 ST'!L6</f>
        <v>8.635110000000001</v>
      </c>
      <c r="N154" s="73">
        <f>'Left 1 ST'!L7</f>
        <v>9.3131219999999999</v>
      </c>
      <c r="O154" s="73">
        <f>'Left 1 ST'!L8</f>
        <v>15.23554</v>
      </c>
    </row>
    <row r="155" spans="11:21" x14ac:dyDescent="0.2">
      <c r="K155" s="130"/>
      <c r="L155" s="74" t="s">
        <v>96</v>
      </c>
      <c r="M155" s="73">
        <f>'Left 2 ST'!L6</f>
        <v>9.5951200000000014</v>
      </c>
      <c r="N155" s="73">
        <f>'Left 2 ST'!L7</f>
        <v>8.2171540000000007</v>
      </c>
      <c r="O155" s="73">
        <f>'Left 2 ST'!L8</f>
        <v>11.02636</v>
      </c>
    </row>
    <row r="156" spans="11:21" x14ac:dyDescent="0.2">
      <c r="K156" s="130"/>
      <c r="L156" s="74" t="s">
        <v>97</v>
      </c>
      <c r="M156" s="73">
        <f>'Left 3 ST'!L6</f>
        <v>9.5391699999999986</v>
      </c>
      <c r="N156" s="73">
        <f>'Left 3 ST'!L7</f>
        <v>9.2862500000000008</v>
      </c>
      <c r="O156" s="73">
        <f>'Left 3 ST'!L8</f>
        <v>12.382720000000001</v>
      </c>
    </row>
    <row r="157" spans="11:21" x14ac:dyDescent="0.2">
      <c r="K157" s="131"/>
      <c r="L157" s="94" t="s">
        <v>101</v>
      </c>
      <c r="M157" s="104">
        <f>AVERAGE(M154:M156)</f>
        <v>9.2564666666666664</v>
      </c>
      <c r="N157" s="104">
        <f t="shared" ref="N157" si="17">AVERAGE(N154:N156)</f>
        <v>8.9388420000000011</v>
      </c>
      <c r="O157" s="105">
        <f t="shared" ref="O157" si="18">AVERAGE(O154:O156)</f>
        <v>12.881540000000001</v>
      </c>
      <c r="Q157" s="7" t="s">
        <v>231</v>
      </c>
      <c r="R157" s="7" t="str">
        <f t="array" ref="R157">IF(MinMax!L2&lt;&gt;0,MinMax!L2)</f>
        <v>#MIN('Left 1 Kin'!$K$2:$K$102,'Left 2 Kin'!$K$2:$K$102,'Left 3 Kin'!$K$2:$K$102,'Right 1 Kin'!$K$2:$K$102,'Right 2 Kin'!$K$2:$K$102,'Right 3 Kin'!$K$2:$K$102,Normative!$K$2:$K$102)</v>
      </c>
      <c r="S157" s="7" t="e">
        <f t="array" ref="S157">ROUND(R157+(R157*0.1),1)</f>
        <v>#VALUE!</v>
      </c>
      <c r="U157" s="7" t="str">
        <f t="array" ref="U157">setChartAxis("Report","Chart 9","Min","Value","Primary",S157)</f>
        <v>Value Primary Min: Auto</v>
      </c>
    </row>
    <row r="158" spans="11:21" x14ac:dyDescent="0.2">
      <c r="K158" s="132" t="s">
        <v>98</v>
      </c>
      <c r="L158" s="80" t="s">
        <v>95</v>
      </c>
      <c r="M158" s="81">
        <f>'Right 1 ST'!L6</f>
        <v>9.0432999999999986</v>
      </c>
      <c r="N158" s="81">
        <f>'Right 1 ST'!L7</f>
        <v>11.23029</v>
      </c>
      <c r="O158" s="81">
        <f>'Right 1 ST'!L8</f>
        <v>10.215662</v>
      </c>
      <c r="Q158" s="7" t="s">
        <v>232</v>
      </c>
      <c r="R158" s="7" t="str">
        <f t="array" ref="R158">IF(MinMax!L3&lt;&gt;0,MinMax!L3)</f>
        <v>#MAX('Left 1 Kin'!$K$2:$K$102,'Left 2 Kin'!$K$2:$K$102,'Left 3 Kin'!$K$2:$K$102,'Right 1 Kin'!$K$2:$K$102,'Right 2 Kin'!$K$2:$K$102,'Right 3 Kin'!$K$2:$K$102,Normative!$K$2:$K$102)</v>
      </c>
      <c r="S158" s="7" t="e">
        <f t="array" ref="S158">ROUND(R158+(R158*0.1),1)</f>
        <v>#VALUE!</v>
      </c>
      <c r="U158" s="7" t="str">
        <f t="array" ref="U158">setChartAxis("Report","Chart 9","Max","Value","Primary",S158)</f>
        <v>Value Primary Max: Auto</v>
      </c>
    </row>
    <row r="159" spans="11:21" x14ac:dyDescent="0.2">
      <c r="K159" s="133"/>
      <c r="L159" s="82" t="s">
        <v>96</v>
      </c>
      <c r="M159" s="81">
        <f>'Right 2 ST'!L6</f>
        <v>9.5008199999999992</v>
      </c>
      <c r="N159" s="81">
        <f>'Right 2 ST'!L7</f>
        <v>9.2055699999999998</v>
      </c>
      <c r="O159" s="81">
        <f>'Right 2 ST'!L8</f>
        <v>10.53392</v>
      </c>
    </row>
    <row r="160" spans="11:21" x14ac:dyDescent="0.2">
      <c r="K160" s="133"/>
      <c r="L160" s="82" t="s">
        <v>97</v>
      </c>
      <c r="M160" s="81">
        <f>'Right 3 ST'!L6</f>
        <v>11.235609999999999</v>
      </c>
      <c r="N160" s="81">
        <f>'Right 3 ST'!L7</f>
        <v>9.6177200000000003</v>
      </c>
      <c r="O160" s="81">
        <f>'Right 3 ST'!L8</f>
        <v>12.034800000000001</v>
      </c>
    </row>
    <row r="161" spans="11:21" x14ac:dyDescent="0.2">
      <c r="K161" s="134"/>
      <c r="L161" s="97" t="s">
        <v>101</v>
      </c>
      <c r="M161" s="106">
        <f>AVERAGE(M158:M160)</f>
        <v>9.9265766666666675</v>
      </c>
      <c r="N161" s="106">
        <f t="shared" ref="N161" si="19">AVERAGE(N158:N160)</f>
        <v>10.017859999999999</v>
      </c>
      <c r="O161" s="107">
        <f t="shared" ref="O161" si="20">AVERAGE(O158:O160)</f>
        <v>10.928127333333334</v>
      </c>
    </row>
    <row r="162" spans="11:21" x14ac:dyDescent="0.2">
      <c r="K162" s="164" t="s">
        <v>99</v>
      </c>
      <c r="L162" s="165"/>
      <c r="M162" s="160">
        <v>8.6374714733333331</v>
      </c>
      <c r="N162" s="160">
        <v>13.304254096666668</v>
      </c>
      <c r="O162" s="160">
        <v>14.771488899999998</v>
      </c>
    </row>
    <row r="172" spans="11:21" x14ac:dyDescent="0.2">
      <c r="Q172" s="7" t="s">
        <v>231</v>
      </c>
      <c r="R172" s="7" t="str">
        <f t="array" ref="R172">IF(MinMax!M2&lt;&gt;0,MinMax!M2)</f>
        <v>#MIN('Left 1 Kin'!$L$2:$L$102,'Left 2 Kin'!$L$2:$L$102,'Left 3 Kin'!$L$2:$L$102,'Right 1 Kin'!$L$2:$L$102,'Right 2 Kin'!$L$2:$L$102,'Right 3 Kin'!$L$2:$L$102,Normative!$L$2:$L$102)</v>
      </c>
      <c r="S172" s="7" t="e">
        <f t="array" ref="S172">ROUND(R172+(R172*0.1),1)</f>
        <v>#VALUE!</v>
      </c>
      <c r="U172" s="7" t="str">
        <f t="array" ref="U172">setChartAxis("Report","Chart 10","Min","Value","Primary",S172)</f>
        <v>Value Primary Min: Auto</v>
      </c>
    </row>
    <row r="173" spans="11:21" x14ac:dyDescent="0.2">
      <c r="Q173" s="7" t="s">
        <v>232</v>
      </c>
      <c r="R173" s="7" t="str">
        <f t="array" ref="R173">IF(MinMax!M3&lt;&gt;0,MinMax!M3)</f>
        <v>#MAX('Left 1 Kin'!$L$2:$L$102,'Left 2 Kin'!$L$2:$L$102,'Left 3 Kin'!$L$2:$L$102,'Right 1 Kin'!$L$2:$L$102,'Right 2 Kin'!$L$2:$L$102,'Right 3 Kin'!$L$2:$L$102,Normative!$L$2:$L$102)</v>
      </c>
      <c r="S173" s="7" t="e">
        <f t="array" ref="S173">ROUND(R173+(R173*0.1),1)</f>
        <v>#VALUE!</v>
      </c>
      <c r="U173" s="7" t="str">
        <f t="array" ref="U173">setChartAxis("Report","Chart 10","Max","Value","Primary",S173)</f>
        <v>Value Primary Max: Auto</v>
      </c>
    </row>
    <row r="182" spans="1:21" x14ac:dyDescent="0.2">
      <c r="A182" s="123" t="s">
        <v>245</v>
      </c>
      <c r="B182" s="124"/>
      <c r="C182" s="124"/>
      <c r="D182" s="124"/>
      <c r="E182" s="124"/>
      <c r="F182" s="124"/>
      <c r="G182" s="124"/>
      <c r="H182" s="124"/>
      <c r="I182" s="124"/>
      <c r="J182" s="124"/>
      <c r="K182" s="124"/>
      <c r="L182" s="124"/>
      <c r="M182" s="124"/>
      <c r="N182" s="124"/>
      <c r="O182" s="125"/>
    </row>
    <row r="183" spans="1:21" x14ac:dyDescent="0.2">
      <c r="A183" s="20"/>
      <c r="B183" s="20"/>
      <c r="C183" s="20"/>
      <c r="D183" s="20"/>
      <c r="E183" s="20"/>
      <c r="F183" s="20"/>
      <c r="G183" s="20"/>
      <c r="H183" s="20"/>
      <c r="I183" s="20"/>
      <c r="J183" s="20"/>
      <c r="K183" s="20"/>
    </row>
    <row r="184" spans="1:21" x14ac:dyDescent="0.2">
      <c r="A184" s="20"/>
      <c r="B184" s="20"/>
      <c r="C184" s="20"/>
      <c r="D184" s="20"/>
      <c r="E184" s="20"/>
      <c r="F184" s="20"/>
      <c r="G184" s="20"/>
      <c r="H184" s="20"/>
      <c r="I184" s="20"/>
      <c r="K184" s="39"/>
      <c r="L184" s="43"/>
      <c r="M184" s="126" t="s">
        <v>104</v>
      </c>
      <c r="N184" s="127"/>
      <c r="O184" s="128"/>
    </row>
    <row r="185" spans="1:21" x14ac:dyDescent="0.2">
      <c r="A185" s="20"/>
      <c r="B185" s="20"/>
      <c r="C185" s="20"/>
      <c r="D185" s="20"/>
      <c r="E185" s="20"/>
      <c r="F185" s="20"/>
      <c r="G185" s="20"/>
      <c r="H185" s="20"/>
      <c r="I185" s="20"/>
      <c r="K185" s="44"/>
      <c r="L185" s="3"/>
      <c r="M185" s="40" t="s">
        <v>106</v>
      </c>
      <c r="N185" s="38" t="s">
        <v>107</v>
      </c>
      <c r="O185" s="45" t="s">
        <v>108</v>
      </c>
    </row>
    <row r="186" spans="1:21" x14ac:dyDescent="0.2">
      <c r="A186" s="20"/>
      <c r="B186" s="20"/>
      <c r="C186" s="20"/>
      <c r="D186" s="20"/>
      <c r="E186" s="20"/>
      <c r="F186" s="20"/>
      <c r="G186" s="20"/>
      <c r="H186" s="20"/>
      <c r="I186" s="20"/>
      <c r="K186" s="129" t="s">
        <v>94</v>
      </c>
      <c r="L186" s="64" t="s">
        <v>95</v>
      </c>
      <c r="M186" s="70">
        <f>'Left 1 ST'!M3</f>
        <v>9.8840299999999992</v>
      </c>
      <c r="N186" s="71">
        <f>'Left 1 ST'!M4</f>
        <v>-4.5002899999999997</v>
      </c>
      <c r="O186" s="65">
        <f>'Left 1 ST'!M5</f>
        <v>5.6239100000000004</v>
      </c>
    </row>
    <row r="187" spans="1:21" x14ac:dyDescent="0.2">
      <c r="A187" s="20"/>
      <c r="B187" s="20"/>
      <c r="C187" s="20"/>
      <c r="D187" s="20"/>
      <c r="E187" s="20"/>
      <c r="F187" s="20"/>
      <c r="G187" s="20"/>
      <c r="H187" s="20"/>
      <c r="I187" s="20"/>
      <c r="K187" s="130"/>
      <c r="L187" s="66" t="s">
        <v>96</v>
      </c>
      <c r="M187" s="70">
        <f>'Left 2 ST'!M3</f>
        <v>12.742699999999999</v>
      </c>
      <c r="N187" s="71">
        <f>'Left 2 ST'!M4</f>
        <v>-1.54131</v>
      </c>
      <c r="O187" s="65">
        <f>'Left 2 ST'!M5</f>
        <v>5.67774</v>
      </c>
    </row>
    <row r="188" spans="1:21" x14ac:dyDescent="0.2">
      <c r="A188" s="20"/>
      <c r="B188" s="20"/>
      <c r="C188" s="20"/>
      <c r="D188" s="20"/>
      <c r="E188" s="20"/>
      <c r="F188" s="20"/>
      <c r="G188" s="20"/>
      <c r="H188" s="20"/>
      <c r="I188" s="20"/>
      <c r="K188" s="130"/>
      <c r="L188" s="66" t="s">
        <v>97</v>
      </c>
      <c r="M188" s="70">
        <f>'Left 3 ST'!M3</f>
        <v>13.223100000000001</v>
      </c>
      <c r="N188" s="71">
        <f>'Left 3 ST'!M4</f>
        <v>-3.2102499999999998</v>
      </c>
      <c r="O188" s="65">
        <f>'Left 3 ST'!M5</f>
        <v>8.3766700000000007</v>
      </c>
      <c r="Q188" s="7" t="s">
        <v>231</v>
      </c>
      <c r="R188" s="7" t="str">
        <f t="array" ref="R188">IF(MinMax!N2&lt;&gt;0,MinMax!N2)</f>
        <v>#MIN('Left 1 Kin'!$G$2:$G$102,'Left 2 Kin'!$G$2:$G$102,'Left 3 Kin'!$G$2:$G$102,'Right 1 Kin'!$G$2:$G$102,'Right 2 Kin'!$G$2:$G$102,'Right 3 Kin'!$G$2:$G$102,Normative!$G$2:$G$102)</v>
      </c>
      <c r="S188" s="7" t="e">
        <f>ROUND(R188+(R188*0.1),1)</f>
        <v>#VALUE!</v>
      </c>
      <c r="U188" s="7" t="str">
        <f t="array" ref="U188">setChartAxis("Report","Chart 11","Min","Value","Primary",S188)</f>
        <v>Value Primary Min: Auto</v>
      </c>
    </row>
    <row r="189" spans="1:21" x14ac:dyDescent="0.2">
      <c r="A189" s="20"/>
      <c r="B189" s="20"/>
      <c r="C189" s="20"/>
      <c r="D189" s="20"/>
      <c r="E189" s="20"/>
      <c r="F189" s="20"/>
      <c r="G189" s="20"/>
      <c r="H189" s="20"/>
      <c r="I189" s="20"/>
      <c r="K189" s="131"/>
      <c r="L189" s="100" t="s">
        <v>101</v>
      </c>
      <c r="M189" s="108">
        <f>AVERAGE(M186:M188)</f>
        <v>11.949943333333332</v>
      </c>
      <c r="N189" s="104">
        <f t="shared" ref="N189" si="21">AVERAGE(N186:N188)</f>
        <v>-3.0839499999999997</v>
      </c>
      <c r="O189" s="105">
        <f t="shared" ref="O189" si="22">AVERAGE(O186:O188)</f>
        <v>6.5594399999999995</v>
      </c>
      <c r="Q189" s="7" t="s">
        <v>232</v>
      </c>
      <c r="R189" s="7" t="str">
        <f t="array" ref="R189">IF(MinMax!N3&lt;&gt;0,MinMax!N3)</f>
        <v>#MAX('Left 1 Kin'!$G$2:$G$102,'Left 2 Kin'!$G$2:$G$102,'Left 3 Kin'!$G$2:$G$102,'Right 1 Kin'!$G$2:$G$102,'Right 2 Kin'!$G$2:$G$102,'Right 3 Kin'!$G$2:$G$102,Normative!$G$2:$G$102)</v>
      </c>
      <c r="S189" s="7" t="e">
        <f>ROUND(R189+(R189*0.1),1)</f>
        <v>#VALUE!</v>
      </c>
      <c r="U189" s="7" t="str">
        <f t="array" ref="U189">setChartAxis("Report","Chart 11","Max","Value","Primary",S189)</f>
        <v>Value Primary Max: Auto</v>
      </c>
    </row>
    <row r="190" spans="1:21" x14ac:dyDescent="0.2">
      <c r="A190" s="20"/>
      <c r="B190" s="20"/>
      <c r="C190" s="20"/>
      <c r="D190" s="20"/>
      <c r="E190" s="20"/>
      <c r="F190" s="20"/>
      <c r="G190" s="20"/>
      <c r="H190" s="20"/>
      <c r="I190" s="20"/>
      <c r="K190" s="132" t="s">
        <v>98</v>
      </c>
      <c r="L190" s="77" t="s">
        <v>95</v>
      </c>
      <c r="M190" s="78">
        <f>'Right 1 ST'!M3</f>
        <v>9.5479299999999991</v>
      </c>
      <c r="N190" s="75">
        <f>'Right 1 ST'!M4</f>
        <v>-5.9626099999999997</v>
      </c>
      <c r="O190" s="76">
        <f>'Right 1 ST'!M5</f>
        <v>9.3308700000000009</v>
      </c>
    </row>
    <row r="191" spans="1:21" x14ac:dyDescent="0.2">
      <c r="K191" s="133"/>
      <c r="L191" s="79" t="s">
        <v>96</v>
      </c>
      <c r="M191" s="78">
        <f>'Right 2 ST'!M3</f>
        <v>10.4725</v>
      </c>
      <c r="N191" s="75">
        <f>'Right 2 ST'!M4</f>
        <v>-6.4523799999999998</v>
      </c>
      <c r="O191" s="76">
        <f>'Right 2 ST'!M5</f>
        <v>8.1796399999999991</v>
      </c>
    </row>
    <row r="192" spans="1:21" x14ac:dyDescent="0.2">
      <c r="K192" s="133"/>
      <c r="L192" s="79" t="s">
        <v>97</v>
      </c>
      <c r="M192" s="78">
        <f>'Right 3 ST'!M3</f>
        <v>10.901300000000001</v>
      </c>
      <c r="N192" s="75">
        <f>'Right 3 ST'!M4</f>
        <v>-5.6941800000000002</v>
      </c>
      <c r="O192" s="76">
        <f>'Right 3 ST'!M5</f>
        <v>12.7371</v>
      </c>
    </row>
    <row r="193" spans="11:21" x14ac:dyDescent="0.2">
      <c r="K193" s="134"/>
      <c r="L193" s="102" t="s">
        <v>101</v>
      </c>
      <c r="M193" s="109">
        <f>AVERAGE(M190:M192)</f>
        <v>10.307243333333332</v>
      </c>
      <c r="N193" s="106">
        <f t="shared" ref="N193" si="23">AVERAGE(N190:N192)</f>
        <v>-6.0363899999999999</v>
      </c>
      <c r="O193" s="107">
        <f t="shared" ref="O193" si="24">AVERAGE(O190:O192)</f>
        <v>10.082536666666668</v>
      </c>
    </row>
    <row r="194" spans="11:21" x14ac:dyDescent="0.2">
      <c r="K194" s="164" t="s">
        <v>99</v>
      </c>
      <c r="L194" s="165"/>
      <c r="M194" s="159">
        <v>17.147572708333335</v>
      </c>
      <c r="N194" s="160">
        <v>-8.3725893333333339</v>
      </c>
      <c r="O194" s="166">
        <v>-10.262355895833334</v>
      </c>
    </row>
    <row r="196" spans="11:21" x14ac:dyDescent="0.2">
      <c r="K196" s="39"/>
      <c r="L196" s="47"/>
      <c r="M196" s="126" t="s">
        <v>105</v>
      </c>
      <c r="N196" s="127"/>
      <c r="O196" s="128"/>
    </row>
    <row r="197" spans="11:21" x14ac:dyDescent="0.2">
      <c r="K197" s="48"/>
      <c r="L197" s="3"/>
      <c r="M197" s="40" t="s">
        <v>106</v>
      </c>
      <c r="N197" s="38" t="s">
        <v>107</v>
      </c>
      <c r="O197" s="45" t="s">
        <v>108</v>
      </c>
    </row>
    <row r="198" spans="11:21" x14ac:dyDescent="0.2">
      <c r="K198" s="129" t="s">
        <v>94</v>
      </c>
      <c r="L198" s="51" t="s">
        <v>95</v>
      </c>
      <c r="M198" s="71">
        <f>'Left 1 ST'!M6</f>
        <v>12.382949999999999</v>
      </c>
      <c r="N198" s="71">
        <f>'Left 1 ST'!M7</f>
        <v>5.7920099999999994</v>
      </c>
      <c r="O198" s="65">
        <f>'Left 1 ST'!M8</f>
        <v>18.85031</v>
      </c>
    </row>
    <row r="199" spans="11:21" x14ac:dyDescent="0.2">
      <c r="K199" s="130"/>
      <c r="L199" s="53" t="s">
        <v>96</v>
      </c>
      <c r="M199" s="71">
        <f>'Left 2 ST'!M6</f>
        <v>12.203374999999999</v>
      </c>
      <c r="N199" s="71">
        <f>'Left 2 ST'!M7</f>
        <v>7.2561600000000004</v>
      </c>
      <c r="O199" s="65">
        <f>'Left 2 ST'!M8</f>
        <v>13.9589</v>
      </c>
    </row>
    <row r="200" spans="11:21" x14ac:dyDescent="0.2">
      <c r="K200" s="130"/>
      <c r="L200" s="53" t="s">
        <v>97</v>
      </c>
      <c r="M200" s="71">
        <f>'Left 3 ST'!M6</f>
        <v>11.71893</v>
      </c>
      <c r="N200" s="71">
        <f>'Left 3 ST'!M7</f>
        <v>6.9929500000000004</v>
      </c>
      <c r="O200" s="65">
        <f>'Left 3 ST'!M8</f>
        <v>17.718979999999998</v>
      </c>
    </row>
    <row r="201" spans="11:21" x14ac:dyDescent="0.2">
      <c r="K201" s="131"/>
      <c r="L201" s="94" t="s">
        <v>101</v>
      </c>
      <c r="M201" s="104">
        <f>AVERAGE(M198:M200)</f>
        <v>12.101751666666667</v>
      </c>
      <c r="N201" s="104">
        <f t="shared" ref="N201" si="25">AVERAGE(N198:N200)</f>
        <v>6.6803733333333328</v>
      </c>
      <c r="O201" s="105">
        <f t="shared" ref="O201" si="26">AVERAGE(O198:O200)</f>
        <v>16.84273</v>
      </c>
      <c r="Q201" s="7" t="s">
        <v>231</v>
      </c>
      <c r="R201" s="7" t="str">
        <f t="array" ref="R201">IF(MinMax!O2&lt;&gt;0,MinMax!O2)</f>
        <v>#MIN('Left 1 Kin'!$H$2:$H$102,'Left 2 Kin'!$H$2:$H$102,'Left 3 Kin'!$H$2:$H$102,'Right 1 Kin'!$H$2:$H$102,'Right 2 Kin'!$H$2:$H$102,'Right 3 Kin'!$H$2:$H$102,Normative!$H$2:$H$102)</v>
      </c>
      <c r="S201" s="7" t="e">
        <f>ROUND(R201+(R201*0.1),1)</f>
        <v>#VALUE!</v>
      </c>
      <c r="U201" s="7" t="str">
        <f>setChartAxis("Report","Chart 12","Min","Value","Primary",S201)</f>
        <v>Value Primary Min: Auto</v>
      </c>
    </row>
    <row r="202" spans="11:21" x14ac:dyDescent="0.2">
      <c r="K202" s="132" t="s">
        <v>98</v>
      </c>
      <c r="L202" s="55" t="s">
        <v>95</v>
      </c>
      <c r="M202" s="75">
        <f>'Right 1 ST'!M6</f>
        <v>8.7826639999999987</v>
      </c>
      <c r="N202" s="75">
        <f>'Right 1 ST'!M7</f>
        <v>6.5181900000000006</v>
      </c>
      <c r="O202" s="76">
        <f>'Right 1 ST'!M8</f>
        <v>21.118970000000001</v>
      </c>
      <c r="Q202" s="7" t="s">
        <v>232</v>
      </c>
      <c r="R202" s="7" t="str">
        <f t="array" ref="R202">IF(MinMax!O3&lt;&gt;0,MinMax!O3)</f>
        <v>#MAX('Left 1 Kin'!$H$2:$H$102,'Left 2 Kin'!$H$2:$H$102,'Left 3 Kin'!$H$2:$H$102,'Right 1 Kin'!$H$2:$H$102,'Right 2 Kin'!$H$2:$H$102,'Right 3 Kin'!$H$2:$H$102,Normative!$H$2:$H$102)</v>
      </c>
      <c r="S202" s="7" t="e">
        <f>ROUND(R202+(R202*0.1),1)</f>
        <v>#VALUE!</v>
      </c>
      <c r="U202" s="7" t="str">
        <f>setChartAxis("Report","Chart 12","Max","Value","Primary",S202)</f>
        <v>Value Primary Max: Auto</v>
      </c>
    </row>
    <row r="203" spans="11:21" x14ac:dyDescent="0.2">
      <c r="K203" s="133"/>
      <c r="L203" s="57" t="s">
        <v>96</v>
      </c>
      <c r="M203" s="75">
        <f>'Right 2 ST'!M6</f>
        <v>10.687214000000001</v>
      </c>
      <c r="N203" s="75">
        <f>'Right 2 ST'!M7</f>
        <v>4.7583199999999994</v>
      </c>
      <c r="O203" s="76">
        <f>'Right 2 ST'!M8</f>
        <v>18.68234</v>
      </c>
    </row>
    <row r="204" spans="11:21" x14ac:dyDescent="0.2">
      <c r="K204" s="133"/>
      <c r="L204" s="57" t="s">
        <v>97</v>
      </c>
      <c r="M204" s="75">
        <f>'Right 3 ST'!M6</f>
        <v>10.844303999999999</v>
      </c>
      <c r="N204" s="75">
        <f>'Right 3 ST'!M7</f>
        <v>4.5742200000000004</v>
      </c>
      <c r="O204" s="76">
        <f>'Right 3 ST'!M8</f>
        <v>21.120439999999999</v>
      </c>
    </row>
    <row r="205" spans="11:21" x14ac:dyDescent="0.2">
      <c r="K205" s="133"/>
      <c r="L205" s="97" t="s">
        <v>101</v>
      </c>
      <c r="M205" s="106">
        <f>AVERAGE(M202:M204)</f>
        <v>10.104727333333335</v>
      </c>
      <c r="N205" s="106">
        <f t="shared" ref="N205" si="27">AVERAGE(N202:N204)</f>
        <v>5.2835766666666668</v>
      </c>
      <c r="O205" s="107">
        <f t="shared" ref="O205" si="28">AVERAGE(O202:O204)</f>
        <v>20.30725</v>
      </c>
    </row>
    <row r="206" spans="11:21" x14ac:dyDescent="0.2">
      <c r="K206" s="164" t="s">
        <v>99</v>
      </c>
      <c r="L206" s="165"/>
      <c r="M206" s="160">
        <v>15.998794335000001</v>
      </c>
      <c r="N206" s="160">
        <v>8.4841878266666679</v>
      </c>
      <c r="O206" s="166">
        <v>21.546178695833333</v>
      </c>
    </row>
    <row r="215" spans="1:21" x14ac:dyDescent="0.2">
      <c r="Q215" s="7" t="s">
        <v>231</v>
      </c>
      <c r="R215" s="7" t="str">
        <f t="array" ref="R215">IF(MinMax!P2&lt;&gt;0,MinMax!P2)</f>
        <v>#MIN('Left 1 Kin'!$I$2:$I$102,'Left 2 Kin'!$I$2:$I$102,'Left 3 Kin'!$I$2:$I$102,'Right 1 Kin'!$I$2:$I$102,'Right 2 Kin'!$I$2:$I$102,'Right 3 Kin'!$I$2:$I$102,Normative!$I$2:$I$102)</v>
      </c>
      <c r="S215" s="7" t="e">
        <f>ROUND(R215+(R215*0.1),1)</f>
        <v>#VALUE!</v>
      </c>
      <c r="U215" s="7" t="str">
        <f>setChartAxis("Report","Chart 13","Min","Value","Primary",S215)</f>
        <v>Value Primary Min: Auto</v>
      </c>
    </row>
    <row r="216" spans="1:21" x14ac:dyDescent="0.2">
      <c r="Q216" s="7" t="s">
        <v>232</v>
      </c>
      <c r="R216" s="7" t="str">
        <f t="array" ref="R216">IF(MinMax!P3&lt;&gt;0,MinMax!P3)</f>
        <v>#MAX('Left 1 Kin'!$I$2:$I$102,'Left 2 Kin'!$I$2:$I$102,'Left 3 Kin'!$I$2:$I$102,'Right 1 Kin'!$I$2:$I$102,'Right 2 Kin'!$I$2:$I$102,'Right 3 Kin'!$I$2:$I$102,Normative!$I$2:$I$102)</v>
      </c>
      <c r="S216" s="7" t="e">
        <f>ROUND(R216+(R216*0.1),1)</f>
        <v>#VALUE!</v>
      </c>
      <c r="U216" s="7" t="str">
        <f>setChartAxis("Report","Chart 13","Max","Value","Primary",S216)</f>
        <v>Value Primary Max: Auto</v>
      </c>
    </row>
    <row r="224" spans="1:21" x14ac:dyDescent="0.2">
      <c r="A224" s="19"/>
      <c r="B224" s="17"/>
      <c r="C224" s="18"/>
      <c r="D224" s="18"/>
      <c r="E224" s="18"/>
      <c r="F224" s="19"/>
      <c r="G224" s="17"/>
      <c r="H224" s="18"/>
      <c r="I224" s="18"/>
      <c r="J224" s="18"/>
    </row>
    <row r="227" spans="1:21" x14ac:dyDescent="0.2">
      <c r="A227" s="123" t="s">
        <v>109</v>
      </c>
      <c r="B227" s="124"/>
      <c r="C227" s="124"/>
      <c r="D227" s="124"/>
      <c r="E227" s="124"/>
      <c r="F227" s="124"/>
      <c r="G227" s="124"/>
      <c r="H227" s="124"/>
      <c r="I227" s="124"/>
      <c r="J227" s="124"/>
      <c r="K227" s="124"/>
      <c r="L227" s="124"/>
      <c r="M227" s="124"/>
      <c r="N227" s="124"/>
      <c r="O227" s="125"/>
    </row>
    <row r="229" spans="1:21" x14ac:dyDescent="0.2">
      <c r="K229" s="39"/>
      <c r="L229" s="43"/>
      <c r="M229" s="126" t="s">
        <v>222</v>
      </c>
      <c r="N229" s="127"/>
      <c r="O229" s="128"/>
    </row>
    <row r="230" spans="1:21" x14ac:dyDescent="0.2">
      <c r="K230" s="44"/>
      <c r="L230" s="3"/>
      <c r="M230" s="40" t="s">
        <v>226</v>
      </c>
      <c r="N230" s="38" t="s">
        <v>223</v>
      </c>
      <c r="O230" s="45" t="s">
        <v>227</v>
      </c>
    </row>
    <row r="231" spans="1:21" x14ac:dyDescent="0.2">
      <c r="K231" s="129" t="s">
        <v>94</v>
      </c>
      <c r="L231" s="51" t="s">
        <v>95</v>
      </c>
      <c r="M231" s="71">
        <f>'Left 1 ST'!P9</f>
        <v>1115.2262499999999</v>
      </c>
      <c r="N231" s="71">
        <f>'Left 1 ST'!M47</f>
        <v>0</v>
      </c>
      <c r="O231" s="71">
        <f>'Left 1 ST'!O9</f>
        <v>191.37499999999989</v>
      </c>
    </row>
    <row r="232" spans="1:21" x14ac:dyDescent="0.2">
      <c r="K232" s="130"/>
      <c r="L232" s="53" t="s">
        <v>96</v>
      </c>
      <c r="M232" s="71">
        <f>'Left 2 ST'!P9</f>
        <v>875.04624999999999</v>
      </c>
      <c r="N232" s="71">
        <f>'Left 2 ST'!M47</f>
        <v>0</v>
      </c>
      <c r="O232" s="71">
        <f>'Left 2 ST'!O9</f>
        <v>209.82500000000039</v>
      </c>
      <c r="Q232" s="7" t="s">
        <v>231</v>
      </c>
      <c r="R232" s="7" t="str">
        <f t="array" ref="R232">IF(MinMax!Q2&lt;&gt;0,MinMax!Q2)</f>
        <v>#MIN('Left 1 Kin'!$AG$2:$AG$102,'Left 2 Kin'!$AG$2:$AG$102,'Left 3 Kin'!$AG$2:$AG$102,'Right 1 Kin'!$AG$2:$AG$102,'Right 2 Kin'!$AG$2:$AG$102,'Right 3 Kin'!$AG$2:$AG$102,Normative!$AG$2:$AG$102)</v>
      </c>
      <c r="S232" s="7" t="e">
        <f>ROUND(R232+(R232*0.1),1)</f>
        <v>#VALUE!</v>
      </c>
      <c r="U232" s="7" t="str">
        <f>setChartAxis("Report","Chart 14","Min","Value","Primary",S232)</f>
        <v>Value Primary Min: Auto</v>
      </c>
    </row>
    <row r="233" spans="1:21" x14ac:dyDescent="0.2">
      <c r="K233" s="130"/>
      <c r="L233" s="53" t="s">
        <v>97</v>
      </c>
      <c r="M233" s="71">
        <f>'Left 3 ST'!P9</f>
        <v>1162.2562499999999</v>
      </c>
      <c r="N233" s="71">
        <f>'Left 3 ST'!M47</f>
        <v>0</v>
      </c>
      <c r="O233" s="71">
        <f>'Left 3 ST'!O9</f>
        <v>229.60000000000051</v>
      </c>
      <c r="Q233" s="7" t="s">
        <v>232</v>
      </c>
      <c r="R233" s="7" t="str">
        <f t="array" ref="R233">IF(MinMax!Q3&lt;&gt;0,MinMax!Q3)</f>
        <v>#MAX('Left 1 Kin'!$AG$2:$AG$102,'Left 2 Kin'!$AG$2:$AG$102,'Left 3 Kin'!$AG$2:$AG$102,'Right 1 Kin'!$AG$2:$AG$102,'Right 2 Kin'!$AG$2:$AG$102,'Right 3 Kin'!$AG$2:$AG$102,Normative!$AG$2:$AG$102)</v>
      </c>
      <c r="S233" s="7" t="e">
        <f>ROUND(R233+(R233*0.1),1)</f>
        <v>#VALUE!</v>
      </c>
      <c r="U233" s="7" t="str">
        <f>setChartAxis("Report","Chart 14","Max","Value","Primary",S233)</f>
        <v>Value Primary Max: Auto</v>
      </c>
    </row>
    <row r="234" spans="1:21" x14ac:dyDescent="0.2">
      <c r="K234" s="131"/>
      <c r="L234" s="94" t="s">
        <v>101</v>
      </c>
      <c r="M234" s="104">
        <f>AVERAGE(M231:M233)</f>
        <v>1050.8429166666667</v>
      </c>
      <c r="N234" s="104">
        <f t="shared" ref="N234" si="29">AVERAGE(N231:N233)</f>
        <v>0</v>
      </c>
      <c r="O234" s="105">
        <f>AVERAGE(O231:O233)</f>
        <v>210.26666666666691</v>
      </c>
    </row>
    <row r="235" spans="1:21" x14ac:dyDescent="0.2">
      <c r="K235" s="132" t="s">
        <v>98</v>
      </c>
      <c r="L235" s="55" t="s">
        <v>95</v>
      </c>
      <c r="M235" s="75">
        <f>'Right 1 ST'!P9</f>
        <v>834.37</v>
      </c>
      <c r="N235" s="75">
        <f>'Right 1 ST'!M47</f>
        <v>0</v>
      </c>
      <c r="O235" s="76">
        <f>'Right 1 ST'!O9</f>
        <v>397.20000000000073</v>
      </c>
    </row>
    <row r="236" spans="1:21" x14ac:dyDescent="0.2">
      <c r="K236" s="133"/>
      <c r="L236" s="57" t="s">
        <v>96</v>
      </c>
      <c r="M236" s="75">
        <f>'Right 2 ST'!P9</f>
        <v>872.98874999999998</v>
      </c>
      <c r="N236" s="75">
        <f>'Right 2 ST'!M47</f>
        <v>0</v>
      </c>
      <c r="O236" s="76">
        <f>'Right 2 ST'!O9</f>
        <v>311.90000000000049</v>
      </c>
    </row>
    <row r="237" spans="1:21" x14ac:dyDescent="0.2">
      <c r="K237" s="133"/>
      <c r="L237" s="57" t="s">
        <v>97</v>
      </c>
      <c r="M237" s="75">
        <f>'Right 3 ST'!P9</f>
        <v>847.04374999999982</v>
      </c>
      <c r="N237" s="75">
        <f>'Right 3 ST'!M47</f>
        <v>0</v>
      </c>
      <c r="O237" s="76">
        <f>'Right 3 ST'!O9</f>
        <v>319.71249999999958</v>
      </c>
    </row>
    <row r="238" spans="1:21" x14ac:dyDescent="0.2">
      <c r="K238" s="134"/>
      <c r="L238" s="97" t="s">
        <v>101</v>
      </c>
      <c r="M238" s="106">
        <f>AVERAGE(M235:M237)</f>
        <v>851.46749999999986</v>
      </c>
      <c r="N238" s="106">
        <f t="shared" ref="N238:O238" si="30">AVERAGE(N235:N237)</f>
        <v>0</v>
      </c>
      <c r="O238" s="107">
        <f t="shared" si="30"/>
        <v>342.93750000000028</v>
      </c>
    </row>
    <row r="239" spans="1:21" x14ac:dyDescent="0.2">
      <c r="K239" s="154" t="s">
        <v>99</v>
      </c>
      <c r="L239" s="155"/>
      <c r="M239" s="21"/>
      <c r="N239" s="21"/>
      <c r="O239" s="50"/>
    </row>
    <row r="242" spans="11:21" x14ac:dyDescent="0.2">
      <c r="K242" s="39"/>
      <c r="L242" s="43"/>
      <c r="M242" s="126" t="s">
        <v>222</v>
      </c>
      <c r="N242" s="127"/>
      <c r="O242" s="128"/>
    </row>
    <row r="243" spans="11:21" x14ac:dyDescent="0.2">
      <c r="K243" s="44"/>
      <c r="L243" s="3"/>
      <c r="M243" s="40" t="s">
        <v>224</v>
      </c>
      <c r="N243" s="38" t="s">
        <v>225</v>
      </c>
      <c r="O243" s="45" t="s">
        <v>228</v>
      </c>
    </row>
    <row r="244" spans="11:21" x14ac:dyDescent="0.2">
      <c r="K244" s="129" t="s">
        <v>94</v>
      </c>
      <c r="L244" s="51" t="s">
        <v>95</v>
      </c>
      <c r="M244" s="71">
        <f>'Left 1 ST'!M58</f>
        <v>0</v>
      </c>
      <c r="N244" s="71">
        <f>'Left 1 ST'!N9</f>
        <v>-127.6375000000001</v>
      </c>
      <c r="O244" s="65">
        <f>'Left 1 ST'!M60</f>
        <v>0</v>
      </c>
    </row>
    <row r="245" spans="11:21" x14ac:dyDescent="0.2">
      <c r="K245" s="130"/>
      <c r="L245" s="53" t="s">
        <v>96</v>
      </c>
      <c r="M245" s="71">
        <f>'Left 2 ST'!M58</f>
        <v>0</v>
      </c>
      <c r="N245" s="71">
        <f>'Left 2 ST'!N9</f>
        <v>-46.624999999999908</v>
      </c>
      <c r="O245" s="65">
        <f>'Left 2 ST'!M60</f>
        <v>0</v>
      </c>
    </row>
    <row r="246" spans="11:21" x14ac:dyDescent="0.2">
      <c r="K246" s="130"/>
      <c r="L246" s="53" t="s">
        <v>97</v>
      </c>
      <c r="M246" s="71">
        <f>'Left 3 ST'!M58</f>
        <v>0</v>
      </c>
      <c r="N246" s="71">
        <f>'Left 3 ST'!N9</f>
        <v>24.43750000000011</v>
      </c>
      <c r="O246" s="65">
        <f>'Left 3 ST'!M60</f>
        <v>0</v>
      </c>
    </row>
    <row r="247" spans="11:21" x14ac:dyDescent="0.2">
      <c r="K247" s="131"/>
      <c r="L247" s="94" t="s">
        <v>101</v>
      </c>
      <c r="M247" s="104">
        <f>AVERAGE(M244:M246)</f>
        <v>0</v>
      </c>
      <c r="N247" s="104">
        <f t="shared" ref="N247:O247" si="31">AVERAGE(N244:N246)</f>
        <v>-49.941666666666634</v>
      </c>
      <c r="O247" s="105">
        <f t="shared" si="31"/>
        <v>0</v>
      </c>
      <c r="Q247" s="7" t="s">
        <v>231</v>
      </c>
      <c r="R247" s="7" t="str">
        <f t="array" ref="R247">IF(MinMax!R2&lt;&gt;0,MinMax!R2)</f>
        <v>#MIN('Left 1 Kin'!$AD$2:$AD$102,'Left 2 Kin'!$AD$2:$AD$102,'Left 3 Kin'!$AD$2:$AD$102,'Right 1 Kin'!$AD$2:$AD$102,'Right 2 Kin'!$AD$2:$AD$102,'Right 3 Kin'!$AD$2:$AD$102,Normative!$AD$2:$AD$102)</v>
      </c>
      <c r="S247" s="7" t="e">
        <f>ROUND(R247+(R247*0.1),1)</f>
        <v>#VALUE!</v>
      </c>
      <c r="U247" s="7" t="str">
        <f>setChartAxis("Report","Chart 15","Min","Value","Primary",S247)</f>
        <v>Value Primary Min: Auto</v>
      </c>
    </row>
    <row r="248" spans="11:21" x14ac:dyDescent="0.2">
      <c r="K248" s="132" t="s">
        <v>98</v>
      </c>
      <c r="L248" s="55" t="s">
        <v>95</v>
      </c>
      <c r="M248" s="75">
        <f>'Right 1 ST'!M58</f>
        <v>0</v>
      </c>
      <c r="N248" s="75">
        <f>'Right 1 ST'!N9</f>
        <v>-129.31249999999989</v>
      </c>
      <c r="O248" s="76">
        <f>'Right 1 ST'!M60</f>
        <v>0</v>
      </c>
      <c r="Q248" s="7" t="s">
        <v>232</v>
      </c>
      <c r="R248" s="7" t="str">
        <f t="array" ref="R248">IF(MinMax!R3&lt;&gt;0,MinMax!R3)</f>
        <v>#MAX('Left 1 Kin'!$AD$2:$AD$102,'Left 2 Kin'!$AD$2:$AD$102,'Left 3 Kin'!$AD$2:$AD$102,'Right 1 Kin'!$AD$2:$AD$102,'Right 2 Kin'!$AD$2:$AD$102,'Right 3 Kin'!$AD$2:$AD$102,Normative!$AD$2:$AD$102)</v>
      </c>
      <c r="S248" s="7" t="e">
        <f>ROUND(R248+(R248*0.1),1)</f>
        <v>#VALUE!</v>
      </c>
      <c r="U248" s="7" t="str">
        <f>setChartAxis("Report","Chart 15","Max","Value","Primary",S248)</f>
        <v>Value Primary Max: Auto</v>
      </c>
    </row>
    <row r="249" spans="11:21" x14ac:dyDescent="0.2">
      <c r="K249" s="133"/>
      <c r="L249" s="57" t="s">
        <v>96</v>
      </c>
      <c r="M249" s="75">
        <f>'Right 2 ST'!M58</f>
        <v>0</v>
      </c>
      <c r="N249" s="75">
        <f>'Right 2 ST'!N9</f>
        <v>-107.2499999999998</v>
      </c>
      <c r="O249" s="76">
        <f>'Right 2 ST'!M60</f>
        <v>0</v>
      </c>
    </row>
    <row r="250" spans="11:21" x14ac:dyDescent="0.2">
      <c r="K250" s="133"/>
      <c r="L250" s="57" t="s">
        <v>97</v>
      </c>
      <c r="M250" s="75">
        <f>'Right 3 ST'!M58</f>
        <v>0</v>
      </c>
      <c r="N250" s="75">
        <f>'Right 3 ST'!N9</f>
        <v>65.287500000000165</v>
      </c>
      <c r="O250" s="76">
        <f>'Right 3 ST'!M60</f>
        <v>0</v>
      </c>
    </row>
    <row r="251" spans="11:21" x14ac:dyDescent="0.2">
      <c r="K251" s="134"/>
      <c r="L251" s="97" t="s">
        <v>101</v>
      </c>
      <c r="M251" s="106">
        <f>AVERAGE(M248:M250)</f>
        <v>0</v>
      </c>
      <c r="N251" s="106">
        <f t="shared" ref="N251:O251" si="32">AVERAGE(N248:N250)</f>
        <v>-57.091666666666505</v>
      </c>
      <c r="O251" s="107">
        <f t="shared" si="32"/>
        <v>0</v>
      </c>
    </row>
    <row r="252" spans="11:21" x14ac:dyDescent="0.2">
      <c r="K252" s="154" t="s">
        <v>99</v>
      </c>
      <c r="L252" s="155"/>
      <c r="M252" s="21"/>
      <c r="N252" s="21"/>
      <c r="O252" s="50"/>
    </row>
    <row r="262" spans="17:21" x14ac:dyDescent="0.2">
      <c r="Q262" s="7" t="s">
        <v>231</v>
      </c>
      <c r="R262" s="7" t="str">
        <f t="array" ref="R262">IF(MinMax!S2&lt;&gt;0,MinMax!S2)</f>
        <v>#MIN('Left 1 Kin'!$AA$2:$AA$102,'Left 2 Kin'!$AA$2:$AA$102,'Left 3 Kin'!$AA$2:$AA$102,'Right 1 Kin'!$AA$2:$AA$102,'Right 2 Kin'!$AA$2:$AA$102,'Right 3 Kin'!$AA$2:$AA$102,Normative!$AA$2:$AA$102)</v>
      </c>
      <c r="S262" s="7" t="e">
        <f>ROUND(R262+(R262*0.1),1)</f>
        <v>#VALUE!</v>
      </c>
      <c r="U262" s="7" t="str">
        <f>setChartAxis("Report","Chart 16","Min","Value","Primary",S262)</f>
        <v>Value Primary Min: Auto</v>
      </c>
    </row>
    <row r="263" spans="17:21" x14ac:dyDescent="0.2">
      <c r="Q263" s="7" t="s">
        <v>232</v>
      </c>
      <c r="R263" s="7" t="str">
        <f t="array" ref="R263">IF(MinMax!S3&lt;&gt;0,MinMax!S3)</f>
        <v>#MAX('Left 1 Kin'!$AA$2:$AA$102,'Left 2 Kin'!$AA$2:$AA$102,'Left 3 Kin'!$AA$2:$AA$102,'Right 1 Kin'!$AA$2:$AA$102,'Right 2 Kin'!$AA$2:$AA$102,'Right 3 Kin'!$AA$2:$AA$102,Normative!$AA$2:$AA$102)</v>
      </c>
      <c r="S263" s="7" t="e">
        <f>ROUND(R263+(R263*0.1),1)</f>
        <v>#VALUE!</v>
      </c>
      <c r="U263" s="7" t="str">
        <f>setChartAxis("Report","Chart 16","Max","Value","Primary",S263)</f>
        <v>Value Primary Max: Auto</v>
      </c>
    </row>
    <row r="273" spans="1:21" x14ac:dyDescent="0.2">
      <c r="A273" s="120"/>
      <c r="B273" s="123" t="s">
        <v>110</v>
      </c>
      <c r="C273" s="124"/>
      <c r="D273" s="124"/>
      <c r="E273" s="124"/>
      <c r="F273" s="124"/>
      <c r="G273" s="125"/>
      <c r="H273" s="121"/>
      <c r="I273" s="123" t="s">
        <v>111</v>
      </c>
      <c r="J273" s="124"/>
      <c r="K273" s="124"/>
      <c r="L273" s="124"/>
      <c r="M273" s="124"/>
      <c r="N273" s="125"/>
      <c r="O273" s="122"/>
    </row>
    <row r="277" spans="1:21" x14ac:dyDescent="0.2">
      <c r="Q277" s="7" t="s">
        <v>231</v>
      </c>
      <c r="R277" s="7" t="str">
        <f t="array" ref="R277">IF(MinMax!T2&lt;&gt;0,MinMax!T2)</f>
        <v>#MIN('Left 1 Kin'!$AQ$2:$AQ$102,'Left 2 Kin'!$AQ$2:$AQ$102,'Left 3 Kin'!$AQ$2:$AQ$102,'Right 1 Kin'!$AQ$2:$AQ$102,'Right 2 Kin'!$AQ$2:$AQ$102,'Right 3 Kin'!$AQ$2:$AQ$102,Normative!$AQ$2:$AQ$102)</v>
      </c>
      <c r="S277" s="7" t="e">
        <f>ROUND(R277+(R277*0.1),1)</f>
        <v>#VALUE!</v>
      </c>
      <c r="U277" s="7" t="str">
        <f>setChartAxis("Report","Chart 17","Min","Value","Primary",S277)</f>
        <v>Value Primary Min: Auto</v>
      </c>
    </row>
    <row r="278" spans="1:21" x14ac:dyDescent="0.2">
      <c r="Q278" s="7" t="s">
        <v>232</v>
      </c>
      <c r="R278" s="7" t="str">
        <f t="array" ref="R278">IF(MinMax!T3&lt;&gt;0,MinMax!T3)</f>
        <v>#MAX('Left 1 Kin'!$AQ$2:$AQ$102,'Left 2 Kin'!$AQ$2:$AQ$102,'Left 3 Kin'!$AQ$2:$AQ$102,'Right 1 Kin'!$AQ$2:$AQ$102,'Right 2 Kin'!$AQ$2:$AQ$102,'Right 3 Kin'!$AQ$2:$AQ$102,Normative!$AQ$2:$AQ$102)</v>
      </c>
      <c r="S278" s="7" t="e">
        <f>ROUND(R278+(R278*0.1),1)</f>
        <v>#VALUE!</v>
      </c>
      <c r="U278" s="7" t="str">
        <f>setChartAxis("Report","Chart 17","Max","Value","Primary",S278)</f>
        <v>Value Primary Max: Auto</v>
      </c>
    </row>
    <row r="279" spans="1:21" x14ac:dyDescent="0.2">
      <c r="Q279" s="7" t="s">
        <v>231</v>
      </c>
      <c r="R279" s="7" t="str">
        <f t="array" ref="R279">IF(MinMax!U2&lt;&gt;0,MinMax!U2)</f>
        <v>#MIN('Left 1 Kin'!$AT$2:$AT$102,'Left 2 Kin'!$AT$2:$AT$102,'Left 3 Kin'!$AT$2:$AT$102,'Right 1 Kin'!$AT$2:$AT$102,'Right 2 Kin'!$AT$2:$AT$102,'Right 3 Kin'!$AT$2:$AT$102,Normative!$AT$2:$AT$102)</v>
      </c>
      <c r="S279" s="7" t="e">
        <f>ROUND(R279+(R279*0.1),1)</f>
        <v>#VALUE!</v>
      </c>
      <c r="U279" s="7" t="str">
        <f>setChartAxis("Report","Chart 18","Min","Value","Primary",S279)</f>
        <v>Value Primary Min: Auto</v>
      </c>
    </row>
    <row r="280" spans="1:21" x14ac:dyDescent="0.2">
      <c r="Q280" s="7" t="s">
        <v>232</v>
      </c>
      <c r="R280" s="7" t="str">
        <f t="array" ref="R280">IF(MinMax!U3&lt;&gt;0,MinMax!U3)</f>
        <v>#MAX('Left 1 Kin'!$AT$2:$AT$102,'Left 2 Kin'!$AT$2:$AT$102,'Left 3 Kin'!$AT$2:$AT$102,'Right 1 Kin'!$AT$2:$AT$102,'Right 2 Kin'!$AT$2:$AT$102,'Right 3 Kin'!$AT$2:$AT$102,Normative!$AT$2:$AT$102)</v>
      </c>
      <c r="S280" s="7" t="e">
        <f>ROUND(R280+(R280*0.1),1)</f>
        <v>#VALUE!</v>
      </c>
      <c r="U280" s="7" t="str">
        <f>setChartAxis("Report","Chart 18","Max","Value","Primary",S280)</f>
        <v>Value Primary Max: Auto</v>
      </c>
    </row>
    <row r="293" spans="17:21" x14ac:dyDescent="0.2">
      <c r="Q293" s="7" t="s">
        <v>231</v>
      </c>
      <c r="R293" s="7" t="str">
        <f t="array" ref="R293">IF(MinMax!V2&lt;&gt;0,MinMax!V2)</f>
        <v>#MIN('Left 1 Kin'!$AM$2:$AM$102,'Left 2 Kin'!$AM$2:$AM$102,'Left 3 Kin'!$AM$2:$AM$102,'Right 1 Kin'!$AM$2:$AM$102,'Right 2 Kin'!$AM$2:$AM$102,'Right 3 Kin'!$AM$2:$AM$102,Normative!$AM$2:$AM$102)</v>
      </c>
      <c r="S293" s="7" t="e">
        <f>ROUND(R293+(R293*0.1),1)</f>
        <v>#VALUE!</v>
      </c>
      <c r="U293" s="7" t="str">
        <f>setChartAxis("Report","Chart 19","Min","Value","Primary",S293)</f>
        <v>Value Primary Min: Auto</v>
      </c>
    </row>
    <row r="294" spans="17:21" x14ac:dyDescent="0.2">
      <c r="Q294" s="7" t="s">
        <v>232</v>
      </c>
      <c r="R294" s="7" t="str">
        <f t="array" ref="R294">IF(MinMax!V3&lt;&gt;0,MinMax!V3)</f>
        <v>#MAX('Left 1 Kin'!$AM$2:$AM$102,'Left 2 Kin'!$AM$2:$AM$102,'Left 3 Kin'!$AM$2:$AM$102,'Right 1 Kin'!$AM$2:$AM$102,'Right 2 Kin'!$AM$2:$AM$102,'Right 3 Kin'!$AM$2:$AM$102,Normative!$AM$2:$AM$102)</v>
      </c>
      <c r="S294" s="7" t="e">
        <f>ROUND(R294+(R294*0.1),1)</f>
        <v>#VALUE!</v>
      </c>
      <c r="U294" s="7" t="str">
        <f>setChartAxis("Report","Chart 19","Max","Value","Primary",S294)</f>
        <v>Value Primary Max: Auto</v>
      </c>
    </row>
    <row r="295" spans="17:21" x14ac:dyDescent="0.2">
      <c r="Q295" s="7" t="s">
        <v>231</v>
      </c>
      <c r="R295" s="7" t="str">
        <f t="array" ref="R295">IF(MinMax!W2&lt;&gt;0,MinMax!W2)</f>
        <v>#MIN('Left 1 Kin'!$AP$2:$AP$102,'Left 2 Kin'!$AP$2:$AP$102,'Left 3 Kin'!$AP$2:$AP$102,'Right 1 Kin'!$AP$2:$AP$102,'Right 2 Kin'!$AP$2:$AP$102,'Right 3 Kin'!$AP$2:$AP$102,Normative!$AP$2:$AP$102)</v>
      </c>
      <c r="S295" s="7" t="e">
        <f>ROUND(R295+(R295*0.1),1)</f>
        <v>#VALUE!</v>
      </c>
      <c r="U295" s="7" t="str">
        <f>setChartAxis("Report","Chart 20","Min","Value","Primary",S295)</f>
        <v>Value Primary Min: Auto</v>
      </c>
    </row>
    <row r="296" spans="17:21" x14ac:dyDescent="0.2">
      <c r="Q296" s="7" t="s">
        <v>232</v>
      </c>
      <c r="R296" s="7" t="str">
        <f t="array" ref="R296">IF(MinMax!W3&lt;&gt;0,MinMax!W3)</f>
        <v>#MAX('Left 1 Kin'!$AP$2:$AP$102,'Left 2 Kin'!$AP$2:$AP$102,'Left 3 Kin'!$AP$2:$AP$102,'Right 1 Kin'!$AP$2:$AP$102,'Right 2 Kin'!$AP$2:$AP$102,'Right 3 Kin'!$AP$2:$AP$102,Normative!$AP$2:$AP$102)</v>
      </c>
      <c r="S296" s="7" t="e">
        <f>ROUND(R296+(R296*0.1),1)</f>
        <v>#VALUE!</v>
      </c>
      <c r="U296" s="7" t="str">
        <f>setChartAxis("Report","Chart 20","Max","Value","Primary",S296)</f>
        <v>Value Primary Max: Auto</v>
      </c>
    </row>
    <row r="307" spans="17:21" x14ac:dyDescent="0.2">
      <c r="Q307" s="7" t="s">
        <v>231</v>
      </c>
      <c r="R307" s="7" t="str">
        <f t="array" ref="R307">IF(MinMax!X2&lt;&gt;0,MinMax!X2)</f>
        <v>#MIN('Left 1 Kin'!$AI$2:$AI$102,'Left 2 Kin'!$AI$2:$AI$102,'Left 3 Kin'!$AI$2:$AI$102,'Right 1 Kin'!$AI$2:$AI$102,'Right 2 Kin'!$AI$2:$AI$102,'Right 3 Kin'!$AI$2:$AI$102,Normative!$AI$2:$AI$102)</v>
      </c>
      <c r="S307" s="7" t="e">
        <f>ROUND(R307+(R307*0.1),1)</f>
        <v>#VALUE!</v>
      </c>
      <c r="U307" s="7" t="str">
        <f>setChartAxis("Report","Chart 21","Min","Value","Primary",S307)</f>
        <v>Value Primary Min: Auto</v>
      </c>
    </row>
    <row r="308" spans="17:21" x14ac:dyDescent="0.2">
      <c r="Q308" s="7" t="s">
        <v>232</v>
      </c>
      <c r="R308" s="7" t="str">
        <f t="array" ref="R308">IF(MinMax!X3&lt;&gt;0,MinMax!X3)</f>
        <v>#MAX('Left 1 Kin'!$AI$2:$AI$102,'Left 2 Kin'!$AI$2:$AI$102,'Left 3 Kin'!$AI$2:$AI$102,'Right 1 Kin'!$AI$2:$AI$102,'Right 2 Kin'!$AI$2:$AI$102,'Right 3 Kin'!$AI$2:$AI$102,Normative!$AI$2:$AI$102)</v>
      </c>
      <c r="S308" s="7" t="e">
        <f>ROUND(R308+(R308*0.1),1)</f>
        <v>#VALUE!</v>
      </c>
      <c r="U308" s="7" t="str">
        <f>setChartAxis("Report","Chart 21","Max","Value","Primary",S308)</f>
        <v>Value Primary Max: Auto</v>
      </c>
    </row>
    <row r="309" spans="17:21" x14ac:dyDescent="0.2">
      <c r="Q309" s="7" t="s">
        <v>231</v>
      </c>
      <c r="R309" s="7" t="str">
        <f t="array" ref="R309">IF(MinMax!Y2&lt;&gt;0,MinMax!Y2)</f>
        <v>#MIN('Left 1 Kin'!$AL$2:$AL$102,'Left 2 Kin'!$AL$2:$AL$102,'Left 3 Kin'!$AL$2:$AL$102,'Right 1 Kin'!$AL$2:$AL$102,'Right 2 Kin'!$AL$2:$AL$102,'Right 3 Kin'!$AL$2:$AL$102,Normative!$AL$2:$AL$102)</v>
      </c>
      <c r="S309" s="7" t="e">
        <f>ROUND(R309+(R309*0.1),1)</f>
        <v>#VALUE!</v>
      </c>
      <c r="U309" s="7" t="str">
        <f>setChartAxis("Report","Chart 22","Min","Value","Primary",S309)</f>
        <v>Value Primary Min: Auto</v>
      </c>
    </row>
    <row r="310" spans="17:21" x14ac:dyDescent="0.2">
      <c r="Q310" s="7" t="s">
        <v>232</v>
      </c>
      <c r="R310" s="7" t="str">
        <f t="array" ref="R310">IF(MinMax!Y3&lt;&gt;0,MinMax!Y3)</f>
        <v>#MAX('Left 1 Kin'!$AL$2:$AL$102,'Left 2 Kin'!$AL$2:$AL$102,'Left 3 Kin'!$AL$2:$AL$102,'Right 1 Kin'!$AL$2:$AL$102,'Right 2 Kin'!$AL$2:$AL$102,'Right 3 Kin'!$AL$2:$AL$102,Normative!$AL$2:$AL$102)</v>
      </c>
      <c r="S310" s="7" t="e">
        <f>ROUND(R310+(R310*0.1),1)</f>
        <v>#VALUE!</v>
      </c>
      <c r="U310" s="7" t="str">
        <f>setChartAxis("Report","Chart 22","Max","Value","Primary",S310)</f>
        <v>Value Primary Max: Auto</v>
      </c>
    </row>
  </sheetData>
  <mergeCells count="56">
    <mergeCell ref="K206:L206"/>
    <mergeCell ref="K252:L252"/>
    <mergeCell ref="K239:L239"/>
    <mergeCell ref="A182:O182"/>
    <mergeCell ref="M140:O140"/>
    <mergeCell ref="K186:K189"/>
    <mergeCell ref="K198:K201"/>
    <mergeCell ref="M152:O152"/>
    <mergeCell ref="K142:K145"/>
    <mergeCell ref="K154:K157"/>
    <mergeCell ref="M184:O184"/>
    <mergeCell ref="M196:O196"/>
    <mergeCell ref="K150:L150"/>
    <mergeCell ref="K162:L162"/>
    <mergeCell ref="K194:L194"/>
    <mergeCell ref="K248:K251"/>
    <mergeCell ref="B79:B82"/>
    <mergeCell ref="B75:B78"/>
    <mergeCell ref="L35:O35"/>
    <mergeCell ref="K117:L117"/>
    <mergeCell ref="K103:L103"/>
    <mergeCell ref="J45:K45"/>
    <mergeCell ref="M107:O107"/>
    <mergeCell ref="K95:K98"/>
    <mergeCell ref="K109:K112"/>
    <mergeCell ref="F1:I2"/>
    <mergeCell ref="A227:O227"/>
    <mergeCell ref="A91:O91"/>
    <mergeCell ref="A54:O54"/>
    <mergeCell ref="G79:G82"/>
    <mergeCell ref="G75:G78"/>
    <mergeCell ref="K190:K193"/>
    <mergeCell ref="K202:K205"/>
    <mergeCell ref="K158:K161"/>
    <mergeCell ref="K146:K149"/>
    <mergeCell ref="K113:K116"/>
    <mergeCell ref="K99:K102"/>
    <mergeCell ref="I19:I22"/>
    <mergeCell ref="I15:I18"/>
    <mergeCell ref="A137:O137"/>
    <mergeCell ref="M93:O93"/>
    <mergeCell ref="F3:G4"/>
    <mergeCell ref="H3:I4"/>
    <mergeCell ref="C74:D74"/>
    <mergeCell ref="J37:J40"/>
    <mergeCell ref="J41:J44"/>
    <mergeCell ref="A33:O33"/>
    <mergeCell ref="A12:O12"/>
    <mergeCell ref="I23:J23"/>
    <mergeCell ref="B273:G273"/>
    <mergeCell ref="I273:N273"/>
    <mergeCell ref="M229:O229"/>
    <mergeCell ref="K231:K234"/>
    <mergeCell ref="K235:K238"/>
    <mergeCell ref="M242:O242"/>
    <mergeCell ref="K244:K247"/>
  </mergeCells>
  <pageMargins left="0.23622047244094491" right="0.11811023622047245" top="0.27559055118110237" bottom="0.27559055118110237" header="0.31496062992125984" footer="0.31496062992125984"/>
  <pageSetup paperSize="9" scale="81" fitToHeight="0"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69D642-32FD-4181-89E9-D140BC6BCE36}">
  <sheetPr codeName="Sheet14">
    <tabColor rgb="FF6495EC"/>
  </sheetPr>
  <dimension ref="A1:CB6"/>
  <sheetViews>
    <sheetView workbookViewId="0">
      <selection activeCell="B38" sqref="B38"/>
    </sheetView>
  </sheetViews>
  <sheetFormatPr defaultRowHeight="15" x14ac:dyDescent="0.25"/>
  <sheetData>
    <row r="1" spans="1:80" x14ac:dyDescent="0.25">
      <c r="A1" t="s">
        <v>176</v>
      </c>
    </row>
    <row r="2" spans="1:80" x14ac:dyDescent="0.25">
      <c r="A2">
        <v>250</v>
      </c>
    </row>
    <row r="3" spans="1:80" x14ac:dyDescent="0.25">
      <c r="C3" t="s">
        <v>177</v>
      </c>
      <c r="F3" t="s">
        <v>178</v>
      </c>
      <c r="I3" t="s">
        <v>179</v>
      </c>
      <c r="L3" t="s">
        <v>201</v>
      </c>
      <c r="O3" t="s">
        <v>202</v>
      </c>
      <c r="R3" t="s">
        <v>180</v>
      </c>
      <c r="U3" t="s">
        <v>181</v>
      </c>
      <c r="X3" t="s">
        <v>182</v>
      </c>
      <c r="AA3" t="s">
        <v>203</v>
      </c>
      <c r="AD3" t="s">
        <v>183</v>
      </c>
      <c r="AG3" t="s">
        <v>184</v>
      </c>
      <c r="AJ3" t="s">
        <v>204</v>
      </c>
      <c r="AM3" t="s">
        <v>185</v>
      </c>
      <c r="AP3" t="s">
        <v>186</v>
      </c>
      <c r="AS3" t="s">
        <v>187</v>
      </c>
      <c r="AV3" t="s">
        <v>188</v>
      </c>
      <c r="AY3" t="s">
        <v>205</v>
      </c>
      <c r="BB3" t="s">
        <v>206</v>
      </c>
      <c r="BE3" t="s">
        <v>189</v>
      </c>
      <c r="BH3" t="s">
        <v>190</v>
      </c>
      <c r="BK3" t="s">
        <v>191</v>
      </c>
      <c r="BN3" t="s">
        <v>207</v>
      </c>
      <c r="BQ3" t="s">
        <v>192</v>
      </c>
      <c r="BT3" t="s">
        <v>193</v>
      </c>
      <c r="BW3" t="s">
        <v>208</v>
      </c>
      <c r="BZ3" t="s">
        <v>194</v>
      </c>
    </row>
    <row r="4" spans="1:80" x14ac:dyDescent="0.25">
      <c r="A4" t="s">
        <v>195</v>
      </c>
      <c r="B4" t="s">
        <v>196</v>
      </c>
      <c r="C4" t="s">
        <v>197</v>
      </c>
      <c r="D4" t="s">
        <v>198</v>
      </c>
      <c r="E4" t="s">
        <v>199</v>
      </c>
      <c r="F4" t="s">
        <v>197</v>
      </c>
      <c r="G4" t="s">
        <v>198</v>
      </c>
      <c r="H4" t="s">
        <v>199</v>
      </c>
      <c r="I4" t="s">
        <v>197</v>
      </c>
      <c r="J4" t="s">
        <v>198</v>
      </c>
      <c r="K4" t="s">
        <v>199</v>
      </c>
      <c r="L4" t="s">
        <v>197</v>
      </c>
      <c r="M4" t="s">
        <v>198</v>
      </c>
      <c r="N4" t="s">
        <v>199</v>
      </c>
      <c r="O4" t="s">
        <v>197</v>
      </c>
      <c r="P4" t="s">
        <v>198</v>
      </c>
      <c r="Q4" t="s">
        <v>199</v>
      </c>
      <c r="R4" t="s">
        <v>197</v>
      </c>
      <c r="S4" t="s">
        <v>198</v>
      </c>
      <c r="T4" t="s">
        <v>199</v>
      </c>
      <c r="U4" t="s">
        <v>197</v>
      </c>
      <c r="V4" t="s">
        <v>198</v>
      </c>
      <c r="W4" t="s">
        <v>199</v>
      </c>
      <c r="X4" t="s">
        <v>197</v>
      </c>
      <c r="Y4" t="s">
        <v>198</v>
      </c>
      <c r="Z4" t="s">
        <v>199</v>
      </c>
      <c r="AA4" t="s">
        <v>197</v>
      </c>
      <c r="AB4" t="s">
        <v>198</v>
      </c>
      <c r="AC4" t="s">
        <v>199</v>
      </c>
      <c r="AD4" t="s">
        <v>197</v>
      </c>
      <c r="AE4" t="s">
        <v>198</v>
      </c>
      <c r="AF4" t="s">
        <v>199</v>
      </c>
      <c r="AG4" t="s">
        <v>197</v>
      </c>
      <c r="AH4" t="s">
        <v>198</v>
      </c>
      <c r="AI4" t="s">
        <v>199</v>
      </c>
      <c r="AJ4" t="s">
        <v>197</v>
      </c>
      <c r="AK4" t="s">
        <v>198</v>
      </c>
      <c r="AL4" t="s">
        <v>199</v>
      </c>
      <c r="AM4" t="s">
        <v>197</v>
      </c>
      <c r="AN4" t="s">
        <v>198</v>
      </c>
      <c r="AO4" t="s">
        <v>199</v>
      </c>
      <c r="AP4" t="s">
        <v>197</v>
      </c>
      <c r="AQ4" t="s">
        <v>198</v>
      </c>
      <c r="AR4" t="s">
        <v>199</v>
      </c>
      <c r="AS4" t="s">
        <v>197</v>
      </c>
      <c r="AT4" t="s">
        <v>198</v>
      </c>
      <c r="AU4" t="s">
        <v>199</v>
      </c>
      <c r="AV4" t="s">
        <v>197</v>
      </c>
      <c r="AW4" t="s">
        <v>198</v>
      </c>
      <c r="AX4" t="s">
        <v>199</v>
      </c>
      <c r="AY4" t="s">
        <v>197</v>
      </c>
      <c r="AZ4" t="s">
        <v>198</v>
      </c>
      <c r="BA4" t="s">
        <v>199</v>
      </c>
      <c r="BB4" t="s">
        <v>197</v>
      </c>
      <c r="BC4" t="s">
        <v>198</v>
      </c>
      <c r="BD4" t="s">
        <v>199</v>
      </c>
      <c r="BE4" t="s">
        <v>197</v>
      </c>
      <c r="BF4" t="s">
        <v>198</v>
      </c>
      <c r="BG4" t="s">
        <v>199</v>
      </c>
      <c r="BH4" t="s">
        <v>197</v>
      </c>
      <c r="BI4" t="s">
        <v>198</v>
      </c>
      <c r="BJ4" t="s">
        <v>199</v>
      </c>
      <c r="BK4" t="s">
        <v>197</v>
      </c>
      <c r="BL4" t="s">
        <v>198</v>
      </c>
      <c r="BM4" t="s">
        <v>199</v>
      </c>
      <c r="BN4" t="s">
        <v>197</v>
      </c>
      <c r="BO4" t="s">
        <v>198</v>
      </c>
      <c r="BP4" t="s">
        <v>199</v>
      </c>
      <c r="BQ4" t="s">
        <v>197</v>
      </c>
      <c r="BR4" t="s">
        <v>198</v>
      </c>
      <c r="BS4" t="s">
        <v>199</v>
      </c>
      <c r="BT4" t="s">
        <v>197</v>
      </c>
      <c r="BU4" t="s">
        <v>198</v>
      </c>
      <c r="BV4" t="s">
        <v>199</v>
      </c>
      <c r="BW4" t="s">
        <v>197</v>
      </c>
      <c r="BX4" t="s">
        <v>198</v>
      </c>
      <c r="BY4" t="s">
        <v>199</v>
      </c>
      <c r="BZ4" t="s">
        <v>197</v>
      </c>
      <c r="CA4" t="s">
        <v>198</v>
      </c>
      <c r="CB4" t="s">
        <v>199</v>
      </c>
    </row>
    <row r="5" spans="1:80" x14ac:dyDescent="0.25">
      <c r="C5" t="s">
        <v>200</v>
      </c>
      <c r="D5" t="s">
        <v>200</v>
      </c>
      <c r="E5" t="s">
        <v>200</v>
      </c>
      <c r="F5" t="s">
        <v>200</v>
      </c>
      <c r="G5" t="s">
        <v>200</v>
      </c>
      <c r="H5" t="s">
        <v>200</v>
      </c>
      <c r="I5" t="s">
        <v>200</v>
      </c>
      <c r="J5" t="s">
        <v>200</v>
      </c>
      <c r="K5" t="s">
        <v>200</v>
      </c>
      <c r="L5" t="s">
        <v>200</v>
      </c>
      <c r="M5" t="s">
        <v>200</v>
      </c>
      <c r="N5" t="s">
        <v>200</v>
      </c>
      <c r="O5" t="s">
        <v>200</v>
      </c>
      <c r="P5" t="s">
        <v>200</v>
      </c>
      <c r="Q5" t="s">
        <v>200</v>
      </c>
      <c r="R5" t="s">
        <v>200</v>
      </c>
      <c r="S5" t="s">
        <v>200</v>
      </c>
      <c r="T5" t="s">
        <v>200</v>
      </c>
      <c r="U5" t="s">
        <v>200</v>
      </c>
      <c r="V5" t="s">
        <v>200</v>
      </c>
      <c r="W5" t="s">
        <v>200</v>
      </c>
      <c r="X5" t="s">
        <v>200</v>
      </c>
      <c r="Y5" t="s">
        <v>200</v>
      </c>
      <c r="Z5" t="s">
        <v>200</v>
      </c>
      <c r="AA5" t="s">
        <v>200</v>
      </c>
      <c r="AB5" t="s">
        <v>200</v>
      </c>
      <c r="AC5" t="s">
        <v>200</v>
      </c>
      <c r="AD5" t="s">
        <v>200</v>
      </c>
      <c r="AE5" t="s">
        <v>200</v>
      </c>
      <c r="AF5" t="s">
        <v>200</v>
      </c>
      <c r="AG5" t="s">
        <v>200</v>
      </c>
      <c r="AH5" t="s">
        <v>200</v>
      </c>
      <c r="AI5" t="s">
        <v>200</v>
      </c>
      <c r="AJ5" t="s">
        <v>200</v>
      </c>
      <c r="AK5" t="s">
        <v>200</v>
      </c>
      <c r="AL5" t="s">
        <v>200</v>
      </c>
      <c r="AM5" t="s">
        <v>200</v>
      </c>
      <c r="AN5" t="s">
        <v>200</v>
      </c>
      <c r="AO5" t="s">
        <v>200</v>
      </c>
      <c r="AP5" t="s">
        <v>200</v>
      </c>
      <c r="AQ5" t="s">
        <v>200</v>
      </c>
      <c r="AR5" t="s">
        <v>200</v>
      </c>
      <c r="AS5" t="s">
        <v>200</v>
      </c>
      <c r="AT5" t="s">
        <v>200</v>
      </c>
      <c r="AU5" t="s">
        <v>200</v>
      </c>
      <c r="AV5" t="s">
        <v>200</v>
      </c>
      <c r="AW5" t="s">
        <v>200</v>
      </c>
      <c r="AX5" t="s">
        <v>200</v>
      </c>
      <c r="AY5" t="s">
        <v>200</v>
      </c>
      <c r="AZ5" t="s">
        <v>200</v>
      </c>
      <c r="BA5" t="s">
        <v>200</v>
      </c>
      <c r="BB5" t="s">
        <v>200</v>
      </c>
      <c r="BC5" t="s">
        <v>200</v>
      </c>
      <c r="BD5" t="s">
        <v>200</v>
      </c>
      <c r="BE5" t="s">
        <v>200</v>
      </c>
      <c r="BF5" t="s">
        <v>200</v>
      </c>
      <c r="BG5" t="s">
        <v>200</v>
      </c>
      <c r="BH5" t="s">
        <v>200</v>
      </c>
      <c r="BI5" t="s">
        <v>200</v>
      </c>
      <c r="BJ5" t="s">
        <v>200</v>
      </c>
      <c r="BK5" t="s">
        <v>200</v>
      </c>
      <c r="BL5" t="s">
        <v>200</v>
      </c>
      <c r="BM5" t="s">
        <v>200</v>
      </c>
      <c r="BN5" t="s">
        <v>200</v>
      </c>
      <c r="BO5" t="s">
        <v>200</v>
      </c>
      <c r="BP5" t="s">
        <v>200</v>
      </c>
      <c r="BQ5" t="s">
        <v>200</v>
      </c>
      <c r="BR5" t="s">
        <v>200</v>
      </c>
      <c r="BS5" t="s">
        <v>200</v>
      </c>
      <c r="BT5" t="s">
        <v>200</v>
      </c>
      <c r="BU5" t="s">
        <v>200</v>
      </c>
      <c r="BV5" t="s">
        <v>200</v>
      </c>
      <c r="BW5" t="s">
        <v>200</v>
      </c>
      <c r="BX5" t="s">
        <v>200</v>
      </c>
      <c r="BY5" t="s">
        <v>200</v>
      </c>
      <c r="BZ5" t="s">
        <v>200</v>
      </c>
      <c r="CA5" t="s">
        <v>200</v>
      </c>
      <c r="CB5" t="s">
        <v>200</v>
      </c>
    </row>
    <row r="6" spans="1:80" x14ac:dyDescent="0.25">
      <c r="A6">
        <v>1</v>
      </c>
      <c r="B6">
        <v>0</v>
      </c>
      <c r="C6">
        <v>10.3009</v>
      </c>
      <c r="D6">
        <v>0</v>
      </c>
      <c r="E6">
        <v>0</v>
      </c>
      <c r="F6">
        <v>11.3941</v>
      </c>
      <c r="G6">
        <v>-6.5082800000000001</v>
      </c>
      <c r="H6">
        <v>25.155799999999999</v>
      </c>
      <c r="I6">
        <v>20.206900000000001</v>
      </c>
      <c r="J6" s="26">
        <v>-1.5902800000000001E-15</v>
      </c>
      <c r="K6" s="26">
        <v>4.5291100000000003E-12</v>
      </c>
      <c r="L6">
        <v>-90.919399999999996</v>
      </c>
      <c r="M6">
        <v>-3.7000799999999998</v>
      </c>
      <c r="N6">
        <v>-5.3236100000000004</v>
      </c>
      <c r="O6">
        <v>30.8643</v>
      </c>
      <c r="P6">
        <v>1.83518</v>
      </c>
      <c r="Q6">
        <v>-0.27836899999999998</v>
      </c>
      <c r="R6">
        <v>12.2963</v>
      </c>
      <c r="S6">
        <v>-14.724</v>
      </c>
      <c r="T6">
        <v>-21.2851</v>
      </c>
      <c r="U6">
        <v>6.8958500000000003</v>
      </c>
      <c r="V6">
        <v>2.9346999999999999</v>
      </c>
      <c r="W6">
        <v>-6.7038599999999997</v>
      </c>
      <c r="X6">
        <v>-30.6157</v>
      </c>
      <c r="Y6">
        <v>-1.6668099999999999</v>
      </c>
      <c r="Z6">
        <v>0.77481500000000003</v>
      </c>
      <c r="AA6">
        <v>16.351199999999999</v>
      </c>
      <c r="AB6">
        <v>-5.4288400000000001</v>
      </c>
      <c r="AC6">
        <v>-1.86528</v>
      </c>
      <c r="AD6">
        <v>1.97872</v>
      </c>
      <c r="AE6">
        <v>85.1006</v>
      </c>
      <c r="AF6">
        <v>-64.271100000000004</v>
      </c>
      <c r="AG6">
        <v>-16.652000000000001</v>
      </c>
      <c r="AH6">
        <v>-5.0952200000000003</v>
      </c>
      <c r="AI6">
        <v>-1.5470200000000001</v>
      </c>
      <c r="AJ6">
        <v>-0.27244600000000002</v>
      </c>
      <c r="AK6">
        <v>-0.228911</v>
      </c>
      <c r="AL6">
        <v>-0.39917399999999997</v>
      </c>
      <c r="AM6">
        <v>-11.754200000000001</v>
      </c>
      <c r="AN6">
        <v>20.6449</v>
      </c>
      <c r="AO6">
        <v>84.198300000000003</v>
      </c>
      <c r="AP6">
        <v>13.141500000000001</v>
      </c>
      <c r="AQ6">
        <v>0</v>
      </c>
      <c r="AR6">
        <v>0</v>
      </c>
      <c r="AS6">
        <v>13.278600000000001</v>
      </c>
      <c r="AT6">
        <v>-1.9435899999999999</v>
      </c>
      <c r="AU6">
        <v>8.1689000000000007</v>
      </c>
      <c r="AV6">
        <v>25.741299999999999</v>
      </c>
      <c r="AW6" s="26">
        <v>1.5902800000000001E-15</v>
      </c>
      <c r="AX6" s="26">
        <v>5.34333E-12</v>
      </c>
      <c r="AY6">
        <v>-91.740200000000002</v>
      </c>
      <c r="AZ6">
        <v>-3.8047399999999998</v>
      </c>
      <c r="BA6">
        <v>-9.9045000000000005</v>
      </c>
      <c r="BB6">
        <v>30.8643</v>
      </c>
      <c r="BC6">
        <v>-1.83518</v>
      </c>
      <c r="BD6">
        <v>0.27836899999999998</v>
      </c>
      <c r="BE6">
        <v>10.718</v>
      </c>
      <c r="BF6">
        <v>-4.4196999999999997</v>
      </c>
      <c r="BG6">
        <v>-12.361599999999999</v>
      </c>
      <c r="BH6">
        <v>7.7617900000000004</v>
      </c>
      <c r="BI6">
        <v>6.7273300000000003</v>
      </c>
      <c r="BJ6">
        <v>-8.3452300000000008</v>
      </c>
      <c r="BK6">
        <v>-30.6157</v>
      </c>
      <c r="BL6">
        <v>1.6668099999999999</v>
      </c>
      <c r="BM6">
        <v>-0.77481500000000003</v>
      </c>
      <c r="BN6">
        <v>16.351199999999999</v>
      </c>
      <c r="BO6">
        <v>5.4288400000000001</v>
      </c>
      <c r="BP6">
        <v>1.86528</v>
      </c>
      <c r="BQ6">
        <v>-3.9910000000000001</v>
      </c>
      <c r="BR6">
        <v>80.762600000000006</v>
      </c>
      <c r="BS6">
        <v>-55.4786</v>
      </c>
      <c r="BT6">
        <v>-16.652000000000001</v>
      </c>
      <c r="BU6">
        <v>5.0952200000000003</v>
      </c>
      <c r="BV6">
        <v>1.5470200000000001</v>
      </c>
      <c r="BW6">
        <v>-0.27244600000000002</v>
      </c>
      <c r="BX6">
        <v>0.228911</v>
      </c>
      <c r="BY6">
        <v>0.39917399999999997</v>
      </c>
      <c r="BZ6">
        <v>-26.557500000000001</v>
      </c>
      <c r="CA6">
        <v>24.304300000000001</v>
      </c>
      <c r="CB6">
        <v>59.384099999999997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6495EC"/>
  </sheetPr>
  <dimension ref="A1:Q17"/>
  <sheetViews>
    <sheetView workbookViewId="0">
      <selection sqref="A1:XFD1048576"/>
    </sheetView>
  </sheetViews>
  <sheetFormatPr defaultRowHeight="15" x14ac:dyDescent="0.25"/>
  <cols>
    <col min="1" max="1" width="20.7109375" customWidth="1"/>
  </cols>
  <sheetData>
    <row r="1" spans="1:17" x14ac:dyDescent="0.25">
      <c r="A1" s="1" t="s">
        <v>0</v>
      </c>
      <c r="C1" s="1" t="s">
        <v>10</v>
      </c>
    </row>
    <row r="2" spans="1:17" x14ac:dyDescent="0.25">
      <c r="A2" s="1" t="s">
        <v>1</v>
      </c>
      <c r="B2" t="s">
        <v>121</v>
      </c>
      <c r="G2" s="1" t="s">
        <v>69</v>
      </c>
      <c r="H2" s="1" t="s">
        <v>70</v>
      </c>
      <c r="I2" s="1" t="s">
        <v>71</v>
      </c>
      <c r="J2" s="1" t="s">
        <v>72</v>
      </c>
      <c r="L2" s="1" t="s">
        <v>73</v>
      </c>
      <c r="M2" s="1" t="s">
        <v>74</v>
      </c>
      <c r="N2" s="1" t="s">
        <v>75</v>
      </c>
      <c r="O2" s="1" t="s">
        <v>76</v>
      </c>
      <c r="P2" s="1" t="s">
        <v>77</v>
      </c>
      <c r="Q2" s="1" t="s">
        <v>78</v>
      </c>
    </row>
    <row r="3" spans="1:17" x14ac:dyDescent="0.25">
      <c r="D3" s="1" t="s">
        <v>122</v>
      </c>
      <c r="F3" s="1" t="s">
        <v>117</v>
      </c>
      <c r="G3">
        <v>9.4355000000000029</v>
      </c>
      <c r="H3">
        <v>0.55906593406593408</v>
      </c>
      <c r="I3">
        <v>227.3119999999999</v>
      </c>
      <c r="J3">
        <v>12.264150943396229</v>
      </c>
      <c r="K3" s="1" t="s">
        <v>79</v>
      </c>
      <c r="L3">
        <v>15.5222</v>
      </c>
      <c r="M3">
        <v>9.8840299999999992</v>
      </c>
      <c r="N3">
        <v>43.163899999999998</v>
      </c>
      <c r="O3">
        <v>44.733800000000002</v>
      </c>
      <c r="P3">
        <v>29.671299999999999</v>
      </c>
      <c r="Q3">
        <v>-12.009399999999999</v>
      </c>
    </row>
    <row r="4" spans="1:17" x14ac:dyDescent="0.25">
      <c r="A4" s="1" t="s">
        <v>3</v>
      </c>
      <c r="B4" t="s">
        <v>4</v>
      </c>
      <c r="C4" s="1" t="s">
        <v>12</v>
      </c>
      <c r="D4">
        <v>256.4102783203125</v>
      </c>
      <c r="F4" s="1" t="s">
        <v>113</v>
      </c>
      <c r="G4">
        <v>9.371249999999975</v>
      </c>
      <c r="H4">
        <v>0.54412747252747251</v>
      </c>
      <c r="K4" s="1" t="s">
        <v>80</v>
      </c>
      <c r="L4">
        <v>0.13389200000000001</v>
      </c>
      <c r="M4">
        <v>-4.5002899999999997</v>
      </c>
      <c r="N4">
        <v>1.02413</v>
      </c>
      <c r="O4">
        <v>-2.78681</v>
      </c>
    </row>
    <row r="5" spans="1:17" x14ac:dyDescent="0.25">
      <c r="A5" s="1" t="s">
        <v>5</v>
      </c>
      <c r="B5">
        <v>70.360000610351563</v>
      </c>
      <c r="C5" s="1" t="s">
        <v>13</v>
      </c>
      <c r="D5">
        <v>9.5108327865600586</v>
      </c>
      <c r="F5" s="1" t="s">
        <v>114</v>
      </c>
      <c r="G5">
        <v>9.7337499999999846</v>
      </c>
      <c r="H5">
        <v>0.55606043956043949</v>
      </c>
      <c r="K5" s="1" t="s">
        <v>81</v>
      </c>
      <c r="L5">
        <v>-9.0325600000000001</v>
      </c>
      <c r="M5">
        <v>5.6239100000000004</v>
      </c>
      <c r="N5">
        <v>-19.9529</v>
      </c>
      <c r="O5">
        <v>26.256</v>
      </c>
    </row>
    <row r="6" spans="1:17" x14ac:dyDescent="0.25">
      <c r="A6" s="1" t="s">
        <v>6</v>
      </c>
      <c r="B6">
        <v>1820</v>
      </c>
      <c r="C6" s="1" t="s">
        <v>14</v>
      </c>
      <c r="D6">
        <v>0.46799993515014648</v>
      </c>
      <c r="F6" s="1" t="s">
        <v>115</v>
      </c>
      <c r="G6">
        <v>6.4250000000027896E-2</v>
      </c>
      <c r="H6">
        <v>1.4938461538461571E-2</v>
      </c>
      <c r="K6" s="1" t="s">
        <v>82</v>
      </c>
      <c r="L6">
        <v>8.635110000000001</v>
      </c>
      <c r="M6">
        <v>12.382949999999999</v>
      </c>
      <c r="N6">
        <v>60.110699999999987</v>
      </c>
      <c r="O6">
        <v>29.086099999999998</v>
      </c>
      <c r="P6">
        <v>66.508200000000002</v>
      </c>
      <c r="Q6">
        <v>4.5165000000000006</v>
      </c>
    </row>
    <row r="7" spans="1:17" x14ac:dyDescent="0.25">
      <c r="A7" s="1" t="s">
        <v>123</v>
      </c>
      <c r="B7">
        <v>970</v>
      </c>
      <c r="C7" s="1" t="s">
        <v>15</v>
      </c>
      <c r="D7">
        <v>0.22399988770484919</v>
      </c>
      <c r="F7" s="1" t="s">
        <v>116</v>
      </c>
      <c r="G7">
        <v>1.0316093476763271</v>
      </c>
      <c r="H7">
        <v>0.99462407862407842</v>
      </c>
      <c r="K7" s="1" t="s">
        <v>83</v>
      </c>
      <c r="L7">
        <v>9.3131219999999999</v>
      </c>
      <c r="M7">
        <v>5.7920099999999994</v>
      </c>
      <c r="N7">
        <v>19.951830000000001</v>
      </c>
      <c r="O7">
        <v>17.128789999999999</v>
      </c>
    </row>
    <row r="8" spans="1:17" x14ac:dyDescent="0.25">
      <c r="A8" s="1" t="s">
        <v>124</v>
      </c>
      <c r="B8">
        <v>71</v>
      </c>
      <c r="C8" s="1" t="s">
        <v>16</v>
      </c>
      <c r="D8">
        <v>52.136768341064453</v>
      </c>
      <c r="K8" s="1" t="s">
        <v>84</v>
      </c>
      <c r="L8">
        <v>15.23554</v>
      </c>
      <c r="M8">
        <v>18.85031</v>
      </c>
      <c r="N8">
        <v>12.3917</v>
      </c>
      <c r="O8">
        <v>31.640450000000001</v>
      </c>
    </row>
    <row r="9" spans="1:17" x14ac:dyDescent="0.25">
      <c r="A9" s="1" t="s">
        <v>125</v>
      </c>
      <c r="B9">
        <v>73</v>
      </c>
      <c r="C9" s="1" t="s">
        <v>17</v>
      </c>
      <c r="D9">
        <v>22.222244262695309</v>
      </c>
      <c r="K9" s="1" t="s">
        <v>85</v>
      </c>
      <c r="L9">
        <v>327.52499999999998</v>
      </c>
      <c r="M9">
        <v>-46.43124999999992</v>
      </c>
      <c r="N9">
        <v>-127.6375000000001</v>
      </c>
      <c r="O9">
        <v>191.37499999999989</v>
      </c>
      <c r="P9">
        <v>1115.2262499999999</v>
      </c>
      <c r="Q9">
        <v>211.8249999999999</v>
      </c>
    </row>
    <row r="10" spans="1:17" x14ac:dyDescent="0.25">
      <c r="C10" s="1" t="s">
        <v>18</v>
      </c>
      <c r="D10">
        <v>4.4510688781738281</v>
      </c>
      <c r="K10" s="1" t="s">
        <v>86</v>
      </c>
      <c r="L10">
        <v>14.993750000000031</v>
      </c>
      <c r="M10">
        <v>96.772500000000036</v>
      </c>
      <c r="N10">
        <v>163.99999999999969</v>
      </c>
      <c r="O10">
        <v>606.45625000000018</v>
      </c>
    </row>
    <row r="11" spans="1:17" x14ac:dyDescent="0.25">
      <c r="C11" s="1" t="s">
        <v>19</v>
      </c>
      <c r="D11">
        <v>2.2033569812774658</v>
      </c>
      <c r="K11" s="1" t="s">
        <v>87</v>
      </c>
      <c r="L11">
        <v>429.75000000000011</v>
      </c>
      <c r="M11">
        <v>397.84474999999998</v>
      </c>
      <c r="N11">
        <v>147.30000000000001</v>
      </c>
      <c r="O11">
        <v>545.97500000000014</v>
      </c>
    </row>
    <row r="12" spans="1:17" x14ac:dyDescent="0.25">
      <c r="C12" s="1" t="s">
        <v>20</v>
      </c>
      <c r="D12">
        <v>20.023371279239651</v>
      </c>
    </row>
    <row r="13" spans="1:17" x14ac:dyDescent="0.25">
      <c r="C13" s="1" t="s">
        <v>21</v>
      </c>
      <c r="D13">
        <v>0</v>
      </c>
    </row>
    <row r="14" spans="1:17" x14ac:dyDescent="0.25">
      <c r="C14" s="1" t="s">
        <v>16</v>
      </c>
      <c r="D14">
        <v>52.136768341064453</v>
      </c>
    </row>
    <row r="15" spans="1:17" x14ac:dyDescent="0.25">
      <c r="C15" s="1" t="s">
        <v>22</v>
      </c>
      <c r="D15">
        <v>0.184000089764595</v>
      </c>
    </row>
    <row r="16" spans="1:17" x14ac:dyDescent="0.25">
      <c r="C16" s="1" t="s">
        <v>23</v>
      </c>
      <c r="D16">
        <v>77.777755737304688</v>
      </c>
    </row>
    <row r="17" spans="3:4" x14ac:dyDescent="0.25">
      <c r="C17" s="1" t="s">
        <v>118</v>
      </c>
      <c r="D17">
        <v>39.316263944686881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6495EC"/>
  </sheetPr>
  <dimension ref="A1:AT102"/>
  <sheetViews>
    <sheetView workbookViewId="0">
      <pane xSplit="1" ySplit="1" topLeftCell="M2" activePane="bottomRight" state="frozen"/>
      <selection pane="topRight" activeCell="B1" sqref="B1"/>
      <selection pane="bottomLeft" activeCell="A2" sqref="A2"/>
      <selection pane="bottomRight" activeCell="J9" sqref="J9:AA10"/>
    </sheetView>
  </sheetViews>
  <sheetFormatPr defaultRowHeight="15" x14ac:dyDescent="0.25"/>
  <cols>
    <col min="1" max="47" width="25.7109375" customWidth="1"/>
  </cols>
  <sheetData>
    <row r="1" spans="1:46" x14ac:dyDescent="0.25">
      <c r="A1" s="2" t="s">
        <v>250</v>
      </c>
      <c r="B1" s="2" t="s">
        <v>24</v>
      </c>
      <c r="C1" s="2" t="s">
        <v>251</v>
      </c>
      <c r="D1" s="2" t="s">
        <v>26</v>
      </c>
      <c r="E1" s="2" t="s">
        <v>27</v>
      </c>
      <c r="F1" s="2" t="s">
        <v>28</v>
      </c>
      <c r="G1" s="2" t="s">
        <v>126</v>
      </c>
      <c r="H1" s="2" t="s">
        <v>127</v>
      </c>
      <c r="I1" s="2" t="s">
        <v>128</v>
      </c>
      <c r="J1" s="2" t="s">
        <v>129</v>
      </c>
      <c r="K1" s="2" t="s">
        <v>130</v>
      </c>
      <c r="L1" s="2" t="s">
        <v>131</v>
      </c>
      <c r="M1" s="2" t="s">
        <v>132</v>
      </c>
      <c r="N1" s="2" t="s">
        <v>133</v>
      </c>
      <c r="O1" s="2" t="s">
        <v>134</v>
      </c>
      <c r="P1" s="2" t="s">
        <v>135</v>
      </c>
      <c r="Q1" s="2" t="s">
        <v>136</v>
      </c>
      <c r="R1" s="2" t="s">
        <v>137</v>
      </c>
      <c r="S1" s="2" t="s">
        <v>138</v>
      </c>
      <c r="T1" s="2" t="s">
        <v>139</v>
      </c>
      <c r="U1" s="2" t="s">
        <v>140</v>
      </c>
      <c r="V1" s="2" t="s">
        <v>141</v>
      </c>
      <c r="W1" s="2" t="s">
        <v>142</v>
      </c>
      <c r="X1" s="2" t="s">
        <v>143</v>
      </c>
      <c r="Y1" s="2" t="s">
        <v>144</v>
      </c>
      <c r="Z1" s="2" t="s">
        <v>145</v>
      </c>
      <c r="AA1" s="2" t="s">
        <v>146</v>
      </c>
      <c r="AB1" s="2" t="s">
        <v>147</v>
      </c>
      <c r="AC1" s="2" t="s">
        <v>148</v>
      </c>
      <c r="AD1" s="2" t="s">
        <v>149</v>
      </c>
      <c r="AE1" s="2" t="s">
        <v>150</v>
      </c>
      <c r="AF1" s="2" t="s">
        <v>151</v>
      </c>
      <c r="AG1" s="2" t="s">
        <v>152</v>
      </c>
      <c r="AH1" s="2" t="s">
        <v>153</v>
      </c>
      <c r="AI1" s="2" t="s">
        <v>154</v>
      </c>
      <c r="AJ1" s="2" t="s">
        <v>155</v>
      </c>
      <c r="AK1" s="2" t="s">
        <v>156</v>
      </c>
      <c r="AL1" s="2" t="s">
        <v>157</v>
      </c>
      <c r="AM1" s="2" t="s">
        <v>158</v>
      </c>
      <c r="AN1" s="2" t="s">
        <v>159</v>
      </c>
      <c r="AO1" s="2" t="s">
        <v>160</v>
      </c>
      <c r="AP1" s="2" t="s">
        <v>161</v>
      </c>
      <c r="AQ1" s="2" t="s">
        <v>162</v>
      </c>
      <c r="AR1" s="2" t="s">
        <v>163</v>
      </c>
      <c r="AS1" s="2" t="s">
        <v>164</v>
      </c>
      <c r="AT1" s="2" t="s">
        <v>165</v>
      </c>
    </row>
    <row r="2" spans="1:46" x14ac:dyDescent="0.25">
      <c r="A2">
        <v>0</v>
      </c>
      <c r="B2">
        <v>9.4355000000000029</v>
      </c>
      <c r="C2">
        <v>0.55906593406593408</v>
      </c>
      <c r="D2">
        <v>5.2153501653372569E-2</v>
      </c>
      <c r="E2">
        <v>4.7173718424535313E-2</v>
      </c>
      <c r="F2">
        <v>1.207560813740763</v>
      </c>
      <c r="G2">
        <v>9.8840299999999992</v>
      </c>
      <c r="H2">
        <v>-10.002800000000001</v>
      </c>
      <c r="I2">
        <v>-13.2264</v>
      </c>
      <c r="J2">
        <v>9.0309799999999996</v>
      </c>
      <c r="K2">
        <v>0.13389200000000001</v>
      </c>
      <c r="L2">
        <v>-12.701599999999999</v>
      </c>
      <c r="M2">
        <v>43.163899999999998</v>
      </c>
      <c r="N2">
        <v>1.02413</v>
      </c>
      <c r="O2">
        <v>-21.270199999999999</v>
      </c>
      <c r="P2">
        <v>40.113399999999999</v>
      </c>
      <c r="Q2">
        <v>-10.9628</v>
      </c>
      <c r="R2">
        <v>10.6891</v>
      </c>
      <c r="S2">
        <v>-2.4759799999999998</v>
      </c>
      <c r="T2">
        <v>-14.016299999999999</v>
      </c>
      <c r="U2">
        <v>-50.899999999999942</v>
      </c>
      <c r="V2">
        <v>-46.065000000000019</v>
      </c>
      <c r="W2">
        <v>48.062500000000121</v>
      </c>
      <c r="X2">
        <v>89.798749999999927</v>
      </c>
      <c r="Y2">
        <v>-62.681249999999991</v>
      </c>
      <c r="Z2">
        <v>-148.87499999999989</v>
      </c>
      <c r="AA2">
        <v>-443.13750000000061</v>
      </c>
      <c r="AB2">
        <v>-47.024000000000008</v>
      </c>
      <c r="AC2">
        <v>70.749999999999872</v>
      </c>
      <c r="AD2">
        <v>104.4499999999999</v>
      </c>
      <c r="AE2">
        <v>-92.462500000000105</v>
      </c>
      <c r="AF2">
        <v>487.63125000000002</v>
      </c>
      <c r="AG2">
        <v>822.58875</v>
      </c>
      <c r="AH2">
        <v>13.60000000000006</v>
      </c>
      <c r="AI2">
        <v>3.36205</v>
      </c>
      <c r="AJ2">
        <v>1.89856</v>
      </c>
      <c r="AK2">
        <v>-1.42028E-2</v>
      </c>
      <c r="AL2">
        <v>22.1448</v>
      </c>
      <c r="AM2">
        <v>-1.36293</v>
      </c>
      <c r="AN2">
        <v>0.20660200000000001</v>
      </c>
      <c r="AO2">
        <v>0.120231</v>
      </c>
      <c r="AP2">
        <v>2.89439</v>
      </c>
      <c r="AQ2">
        <v>-0.38397199999999998</v>
      </c>
      <c r="AR2">
        <v>-3.8257500000000002E-4</v>
      </c>
      <c r="AS2">
        <v>0.10975799999999999</v>
      </c>
      <c r="AT2">
        <v>4.1400699999999997</v>
      </c>
    </row>
    <row r="3" spans="1:46" x14ac:dyDescent="0.25">
      <c r="A3">
        <v>1</v>
      </c>
      <c r="B3">
        <v>9.4299062500000037</v>
      </c>
      <c r="C3">
        <v>0.55856868131868131</v>
      </c>
      <c r="D3">
        <v>-0.29075890066950361</v>
      </c>
      <c r="E3">
        <v>-3.397446484665393E-2</v>
      </c>
      <c r="F3">
        <v>1.964583822917922</v>
      </c>
      <c r="G3">
        <v>9.8326224999999994</v>
      </c>
      <c r="H3">
        <v>-10.04135</v>
      </c>
      <c r="I3">
        <v>-13.1836</v>
      </c>
      <c r="J3">
        <v>9.1212699999999991</v>
      </c>
      <c r="K3">
        <v>6.0322750000000008E-2</v>
      </c>
      <c r="L3">
        <v>-12.865425</v>
      </c>
      <c r="M3">
        <v>42.710175</v>
      </c>
      <c r="N3">
        <v>0.97050449999999999</v>
      </c>
      <c r="O3">
        <v>-21.189225</v>
      </c>
      <c r="P3">
        <v>40.228549999999998</v>
      </c>
      <c r="Q3">
        <v>-11.0549</v>
      </c>
      <c r="R3">
        <v>11.206474999999999</v>
      </c>
      <c r="S3">
        <v>-1.5502425</v>
      </c>
      <c r="T3">
        <v>-14.019875000000001</v>
      </c>
      <c r="U3">
        <v>-50.965937499999953</v>
      </c>
      <c r="V3">
        <v>-42.354999999999983</v>
      </c>
      <c r="W3">
        <v>45.471875000000111</v>
      </c>
      <c r="X3">
        <v>89.465312499999953</v>
      </c>
      <c r="Y3">
        <v>-67.790281249999992</v>
      </c>
      <c r="Z3">
        <v>-156.53437500000001</v>
      </c>
      <c r="AA3">
        <v>-447.24375000000038</v>
      </c>
      <c r="AB3">
        <v>-50.688781250000012</v>
      </c>
      <c r="AC3">
        <v>74.509374999999878</v>
      </c>
      <c r="AD3">
        <v>110.965625</v>
      </c>
      <c r="AE3">
        <v>-93.453125000000071</v>
      </c>
      <c r="AF3">
        <v>498.99843750000002</v>
      </c>
      <c r="AG3">
        <v>865.99062500000002</v>
      </c>
      <c r="AH3">
        <v>5.8843749999999968</v>
      </c>
      <c r="AI3">
        <v>3.1469749999999999</v>
      </c>
      <c r="AJ3">
        <v>1.8426475</v>
      </c>
      <c r="AK3">
        <v>-1.2166359999999999E-2</v>
      </c>
      <c r="AL3">
        <v>20.907550000000001</v>
      </c>
      <c r="AM3">
        <v>-1.2992999999999999</v>
      </c>
      <c r="AN3">
        <v>0.20318149999999999</v>
      </c>
      <c r="AO3">
        <v>0.13064475</v>
      </c>
      <c r="AP3">
        <v>2.7517374999999999</v>
      </c>
      <c r="AQ3">
        <v>-0.37765900000000002</v>
      </c>
      <c r="AR3">
        <v>1.26157625E-3</v>
      </c>
      <c r="AS3">
        <v>0.12105399999999999</v>
      </c>
      <c r="AT3">
        <v>4.2280049999999996</v>
      </c>
    </row>
    <row r="4" spans="1:46" x14ac:dyDescent="0.25">
      <c r="A4">
        <v>2</v>
      </c>
      <c r="B4">
        <v>9.4243125000000063</v>
      </c>
      <c r="C4">
        <v>0.55807142857142855</v>
      </c>
      <c r="D4">
        <v>-0.50553256282005166</v>
      </c>
      <c r="E4">
        <v>4.2516070044570267E-2</v>
      </c>
      <c r="F4">
        <v>1.667781639069414</v>
      </c>
      <c r="G4">
        <v>9.7812149999999995</v>
      </c>
      <c r="H4">
        <v>-10.0799</v>
      </c>
      <c r="I4">
        <v>-13.1408</v>
      </c>
      <c r="J4">
        <v>9.2115599999999986</v>
      </c>
      <c r="K4">
        <v>-1.3246499999999989E-2</v>
      </c>
      <c r="L4">
        <v>-13.029249999999999</v>
      </c>
      <c r="M4">
        <v>42.256450000000001</v>
      </c>
      <c r="N4">
        <v>0.916879</v>
      </c>
      <c r="O4">
        <v>-21.108250000000002</v>
      </c>
      <c r="P4">
        <v>40.343699999999998</v>
      </c>
      <c r="Q4">
        <v>-11.147</v>
      </c>
      <c r="R4">
        <v>11.723850000000001</v>
      </c>
      <c r="S4">
        <v>-0.62450500000000009</v>
      </c>
      <c r="T4">
        <v>-14.02345</v>
      </c>
      <c r="U4">
        <v>-51.031874999999943</v>
      </c>
      <c r="V4">
        <v>-38.644999999999918</v>
      </c>
      <c r="W4">
        <v>42.881250000000087</v>
      </c>
      <c r="X4">
        <v>89.13187499999998</v>
      </c>
      <c r="Y4">
        <v>-72.899312500000008</v>
      </c>
      <c r="Z4">
        <v>-164.19374999999999</v>
      </c>
      <c r="AA4">
        <v>-451.35000000000008</v>
      </c>
      <c r="AB4">
        <v>-54.353562500000002</v>
      </c>
      <c r="AC4">
        <v>78.268749999999898</v>
      </c>
      <c r="AD4">
        <v>117.48125</v>
      </c>
      <c r="AE4">
        <v>-94.443750000000051</v>
      </c>
      <c r="AF4">
        <v>510.36562500000002</v>
      </c>
      <c r="AG4">
        <v>909.39249999999993</v>
      </c>
      <c r="AH4">
        <v>-1.8312500000000631</v>
      </c>
      <c r="AI4">
        <v>2.9319000000000002</v>
      </c>
      <c r="AJ4">
        <v>1.786735</v>
      </c>
      <c r="AK4">
        <v>-1.0129920000000001E-2</v>
      </c>
      <c r="AL4">
        <v>19.670300000000001</v>
      </c>
      <c r="AM4">
        <v>-1.23567</v>
      </c>
      <c r="AN4">
        <v>0.19976099999999999</v>
      </c>
      <c r="AO4">
        <v>0.1410585</v>
      </c>
      <c r="AP4">
        <v>2.6090849999999999</v>
      </c>
      <c r="AQ4">
        <v>-0.37134600000000001</v>
      </c>
      <c r="AR4">
        <v>2.9057275E-3</v>
      </c>
      <c r="AS4">
        <v>0.13235</v>
      </c>
      <c r="AT4">
        <v>4.3159399999999994</v>
      </c>
    </row>
    <row r="5" spans="1:46" x14ac:dyDescent="0.25">
      <c r="A5">
        <v>3</v>
      </c>
      <c r="B5">
        <v>9.4187187500000071</v>
      </c>
      <c r="C5">
        <v>0.55757417582417579</v>
      </c>
      <c r="D5">
        <v>-0.63806881110473568</v>
      </c>
      <c r="E5">
        <v>0.13389874334195559</v>
      </c>
      <c r="F5">
        <v>1.644465277136999</v>
      </c>
      <c r="G5">
        <v>9.7298074999999997</v>
      </c>
      <c r="H5">
        <v>-10.118449999999999</v>
      </c>
      <c r="I5">
        <v>-13.098000000000001</v>
      </c>
      <c r="J5">
        <v>9.30185</v>
      </c>
      <c r="K5">
        <v>-8.6815749999999997E-2</v>
      </c>
      <c r="L5">
        <v>-13.193075</v>
      </c>
      <c r="M5">
        <v>41.802725000000002</v>
      </c>
      <c r="N5">
        <v>0.86325350000000001</v>
      </c>
      <c r="O5">
        <v>-21.027274999999999</v>
      </c>
      <c r="P5">
        <v>40.458849999999998</v>
      </c>
      <c r="Q5">
        <v>-11.239100000000001</v>
      </c>
      <c r="R5">
        <v>12.241225</v>
      </c>
      <c r="S5">
        <v>0.30123249999999979</v>
      </c>
      <c r="T5">
        <v>-14.027025</v>
      </c>
      <c r="U5">
        <v>-51.097812499999947</v>
      </c>
      <c r="V5">
        <v>-34.934999999999881</v>
      </c>
      <c r="W5">
        <v>40.290625000000077</v>
      </c>
      <c r="X5">
        <v>88.798437499999991</v>
      </c>
      <c r="Y5">
        <v>-78.008343750000009</v>
      </c>
      <c r="Z5">
        <v>-171.85312500000009</v>
      </c>
      <c r="AA5">
        <v>-455.4562499999999</v>
      </c>
      <c r="AB5">
        <v>-58.018343749999993</v>
      </c>
      <c r="AC5">
        <v>82.028124999999903</v>
      </c>
      <c r="AD5">
        <v>123.996875</v>
      </c>
      <c r="AE5">
        <v>-95.434375000000017</v>
      </c>
      <c r="AF5">
        <v>521.73281250000014</v>
      </c>
      <c r="AG5">
        <v>952.79437499999995</v>
      </c>
      <c r="AH5">
        <v>-9.5468750000001226</v>
      </c>
      <c r="AI5">
        <v>2.716825</v>
      </c>
      <c r="AJ5">
        <v>1.7308224999999999</v>
      </c>
      <c r="AK5">
        <v>-8.0934800000000001E-3</v>
      </c>
      <c r="AL5">
        <v>18.433050000000001</v>
      </c>
      <c r="AM5">
        <v>-1.17204</v>
      </c>
      <c r="AN5">
        <v>0.1963405</v>
      </c>
      <c r="AO5">
        <v>0.15147225</v>
      </c>
      <c r="AP5">
        <v>2.4664324999999998</v>
      </c>
      <c r="AQ5">
        <v>-0.36503300000000011</v>
      </c>
      <c r="AR5">
        <v>4.5498787499999999E-3</v>
      </c>
      <c r="AS5">
        <v>0.143646</v>
      </c>
      <c r="AT5">
        <v>4.4038750000000002</v>
      </c>
    </row>
    <row r="6" spans="1:46" x14ac:dyDescent="0.25">
      <c r="A6">
        <v>4</v>
      </c>
      <c r="B6">
        <v>9.413125000000008</v>
      </c>
      <c r="C6">
        <v>0.55707692307692303</v>
      </c>
      <c r="D6">
        <v>-0.67020082721982344</v>
      </c>
      <c r="E6">
        <v>0.18959401629223721</v>
      </c>
      <c r="F6">
        <v>1.3301219304276961</v>
      </c>
      <c r="G6">
        <v>9.6783999999999999</v>
      </c>
      <c r="H6">
        <v>-10.157</v>
      </c>
      <c r="I6">
        <v>-13.055199999999999</v>
      </c>
      <c r="J6">
        <v>9.3921399999999995</v>
      </c>
      <c r="K6">
        <v>-0.160385</v>
      </c>
      <c r="L6">
        <v>-13.3569</v>
      </c>
      <c r="M6">
        <v>41.348999999999997</v>
      </c>
      <c r="N6">
        <v>0.80962800000000001</v>
      </c>
      <c r="O6">
        <v>-20.946300000000001</v>
      </c>
      <c r="P6">
        <v>40.573999999999998</v>
      </c>
      <c r="Q6">
        <v>-11.331200000000001</v>
      </c>
      <c r="R6">
        <v>12.758599999999999</v>
      </c>
      <c r="S6">
        <v>1.2269699999999999</v>
      </c>
      <c r="T6">
        <v>-14.0306</v>
      </c>
      <c r="U6">
        <v>-51.163749999999951</v>
      </c>
      <c r="V6">
        <v>-31.224999999999831</v>
      </c>
      <c r="W6">
        <v>37.700000000000067</v>
      </c>
      <c r="X6">
        <v>88.465000000000018</v>
      </c>
      <c r="Y6">
        <v>-83.11737500000001</v>
      </c>
      <c r="Z6">
        <v>-179.51250000000019</v>
      </c>
      <c r="AA6">
        <v>-459.56249999999972</v>
      </c>
      <c r="AB6">
        <v>-61.68312499999999</v>
      </c>
      <c r="AC6">
        <v>85.787499999999909</v>
      </c>
      <c r="AD6">
        <v>130.51249999999999</v>
      </c>
      <c r="AE6">
        <v>-96.424999999999983</v>
      </c>
      <c r="AF6">
        <v>533.10000000000014</v>
      </c>
      <c r="AG6">
        <v>996.19624999999996</v>
      </c>
      <c r="AH6">
        <v>-17.26250000000018</v>
      </c>
      <c r="AI6">
        <v>2.5017499999999999</v>
      </c>
      <c r="AJ6">
        <v>1.6749099999999999</v>
      </c>
      <c r="AK6">
        <v>-6.0570399999999996E-3</v>
      </c>
      <c r="AL6">
        <v>17.195799999999998</v>
      </c>
      <c r="AM6">
        <v>-1.1084099999999999</v>
      </c>
      <c r="AN6">
        <v>0.19292000000000001</v>
      </c>
      <c r="AO6">
        <v>0.161886</v>
      </c>
      <c r="AP6">
        <v>2.3237800000000002</v>
      </c>
      <c r="AQ6">
        <v>-0.35871999999999998</v>
      </c>
      <c r="AR6">
        <v>6.1940299999999997E-3</v>
      </c>
      <c r="AS6">
        <v>0.154942</v>
      </c>
      <c r="AT6">
        <v>4.4918100000000001</v>
      </c>
    </row>
    <row r="7" spans="1:46" x14ac:dyDescent="0.25">
      <c r="A7">
        <v>5</v>
      </c>
      <c r="B7">
        <v>9.4082500000000095</v>
      </c>
      <c r="C7">
        <v>0.55658653846153838</v>
      </c>
      <c r="D7">
        <v>-0.65529586337376233</v>
      </c>
      <c r="E7">
        <v>0.19737263580221021</v>
      </c>
      <c r="F7">
        <v>1.599686605085743</v>
      </c>
      <c r="G7">
        <v>9.6274800000000003</v>
      </c>
      <c r="H7">
        <v>-10.180899999999999</v>
      </c>
      <c r="I7">
        <v>-13.022600000000001</v>
      </c>
      <c r="J7">
        <v>9.4787800000000004</v>
      </c>
      <c r="K7">
        <v>-0.25305050000000001</v>
      </c>
      <c r="L7">
        <v>-13.552099999999999</v>
      </c>
      <c r="M7">
        <v>40.883599999999987</v>
      </c>
      <c r="N7">
        <v>0.73988725</v>
      </c>
      <c r="O7">
        <v>-20.855699999999999</v>
      </c>
      <c r="P7">
        <v>40.719875000000002</v>
      </c>
      <c r="Q7">
        <v>-11.431950000000001</v>
      </c>
      <c r="R7">
        <v>13.307425</v>
      </c>
      <c r="S7">
        <v>2.293625</v>
      </c>
      <c r="T7">
        <v>-14.06155</v>
      </c>
      <c r="U7">
        <v>-50.926249999999953</v>
      </c>
      <c r="V7">
        <v>-27.646874999999849</v>
      </c>
      <c r="W7">
        <v>35.29375000000001</v>
      </c>
      <c r="X7">
        <v>86.831874999999997</v>
      </c>
      <c r="Y7">
        <v>-87.289312500000008</v>
      </c>
      <c r="Z7">
        <v>-187.35000000000011</v>
      </c>
      <c r="AA7">
        <v>-461.58749999999958</v>
      </c>
      <c r="AB7">
        <v>-65.97337499999999</v>
      </c>
      <c r="AC7">
        <v>86.153124999999946</v>
      </c>
      <c r="AD7">
        <v>138.02187500000019</v>
      </c>
      <c r="AE7">
        <v>-99.849999999999937</v>
      </c>
      <c r="AF7">
        <v>536.31875000000014</v>
      </c>
      <c r="AG7">
        <v>1021.275625</v>
      </c>
      <c r="AH7">
        <v>-23.61250000000015</v>
      </c>
      <c r="AI7">
        <v>2.3157174999999999</v>
      </c>
      <c r="AJ7">
        <v>1.5936325</v>
      </c>
      <c r="AK7">
        <v>-2.1709030000000001E-2</v>
      </c>
      <c r="AL7">
        <v>16.04045</v>
      </c>
      <c r="AM7">
        <v>-1.0727964999999999</v>
      </c>
      <c r="AN7">
        <v>0.184392</v>
      </c>
      <c r="AO7">
        <v>0.141671825</v>
      </c>
      <c r="AP7">
        <v>2.2482275</v>
      </c>
      <c r="AQ7">
        <v>-0.33325250000000001</v>
      </c>
      <c r="AR7">
        <v>5.1769899999999994E-3</v>
      </c>
      <c r="AS7">
        <v>0.13564355</v>
      </c>
      <c r="AT7">
        <v>4.2493400000000001</v>
      </c>
    </row>
    <row r="8" spans="1:46" x14ac:dyDescent="0.25">
      <c r="A8">
        <v>6</v>
      </c>
      <c r="B8">
        <v>9.4033750000000111</v>
      </c>
      <c r="C8">
        <v>0.55609615384615385</v>
      </c>
      <c r="D8">
        <v>-0.64308846943619613</v>
      </c>
      <c r="E8">
        <v>0.22238879591516739</v>
      </c>
      <c r="F8">
        <v>1.8836526562127061</v>
      </c>
      <c r="G8">
        <v>9.5765600000000006</v>
      </c>
      <c r="H8">
        <v>-10.204800000000001</v>
      </c>
      <c r="I8">
        <v>-12.99</v>
      </c>
      <c r="J8">
        <v>9.5654199999999996</v>
      </c>
      <c r="K8">
        <v>-0.34571600000000002</v>
      </c>
      <c r="L8">
        <v>-13.747299999999999</v>
      </c>
      <c r="M8">
        <v>40.418199999999999</v>
      </c>
      <c r="N8">
        <v>0.67014650000000009</v>
      </c>
      <c r="O8">
        <v>-20.7651</v>
      </c>
      <c r="P8">
        <v>40.865749999999998</v>
      </c>
      <c r="Q8">
        <v>-11.5327</v>
      </c>
      <c r="R8">
        <v>13.856249999999999</v>
      </c>
      <c r="S8">
        <v>3.360279999999999</v>
      </c>
      <c r="T8">
        <v>-14.092499999999999</v>
      </c>
      <c r="U8">
        <v>-50.688749999999949</v>
      </c>
      <c r="V8">
        <v>-24.068749999999859</v>
      </c>
      <c r="W8">
        <v>32.88749999999996</v>
      </c>
      <c r="X8">
        <v>85.19874999999999</v>
      </c>
      <c r="Y8">
        <v>-91.461249999999993</v>
      </c>
      <c r="Z8">
        <v>-195.18750000000011</v>
      </c>
      <c r="AA8">
        <v>-463.6124999999995</v>
      </c>
      <c r="AB8">
        <v>-70.26362499999999</v>
      </c>
      <c r="AC8">
        <v>86.518749999999969</v>
      </c>
      <c r="AD8">
        <v>145.53125000000031</v>
      </c>
      <c r="AE8">
        <v>-103.27499999999991</v>
      </c>
      <c r="AF8">
        <v>539.53750000000014</v>
      </c>
      <c r="AG8">
        <v>1046.355</v>
      </c>
      <c r="AH8">
        <v>-29.962500000000109</v>
      </c>
      <c r="AI8">
        <v>2.1296849999999998</v>
      </c>
      <c r="AJ8">
        <v>1.5123549999999999</v>
      </c>
      <c r="AK8">
        <v>-3.7361019999999988E-2</v>
      </c>
      <c r="AL8">
        <v>14.8851</v>
      </c>
      <c r="AM8">
        <v>-1.037183</v>
      </c>
      <c r="AN8">
        <v>0.17586399999999999</v>
      </c>
      <c r="AO8">
        <v>0.12145765</v>
      </c>
      <c r="AP8">
        <v>2.1726749999999999</v>
      </c>
      <c r="AQ8">
        <v>-0.30778499999999998</v>
      </c>
      <c r="AR8">
        <v>4.1599500000000008E-3</v>
      </c>
      <c r="AS8">
        <v>0.11634510000000001</v>
      </c>
      <c r="AT8">
        <v>4.0068700000000002</v>
      </c>
    </row>
    <row r="9" spans="1:46" x14ac:dyDescent="0.25">
      <c r="A9">
        <v>7</v>
      </c>
      <c r="B9">
        <v>9.3985000000000127</v>
      </c>
      <c r="C9">
        <v>0.55560576923076921</v>
      </c>
      <c r="D9">
        <v>-0.60326485855774403</v>
      </c>
      <c r="E9">
        <v>0.2262422891408965</v>
      </c>
      <c r="F9">
        <v>2.146562388562109</v>
      </c>
      <c r="G9">
        <v>9.5256399999999992</v>
      </c>
      <c r="H9">
        <v>-10.2287</v>
      </c>
      <c r="I9">
        <v>-12.9574</v>
      </c>
      <c r="J9">
        <v>9.6520599999999988</v>
      </c>
      <c r="K9">
        <v>-0.43838149999999998</v>
      </c>
      <c r="L9">
        <v>-13.942500000000001</v>
      </c>
      <c r="M9">
        <v>39.952800000000003</v>
      </c>
      <c r="N9">
        <v>0.60040575000000007</v>
      </c>
      <c r="O9">
        <v>-20.674499999999998</v>
      </c>
      <c r="P9">
        <v>41.011625000000002</v>
      </c>
      <c r="Q9">
        <v>-11.63345</v>
      </c>
      <c r="R9">
        <v>14.405075</v>
      </c>
      <c r="S9">
        <v>4.4269350000000003</v>
      </c>
      <c r="T9">
        <v>-14.12345</v>
      </c>
      <c r="U9">
        <v>-50.451249999999952</v>
      </c>
      <c r="V9">
        <v>-20.49062499999987</v>
      </c>
      <c r="W9">
        <v>30.4812499999999</v>
      </c>
      <c r="X9">
        <v>83.565624999999983</v>
      </c>
      <c r="Y9">
        <v>-95.633187499999991</v>
      </c>
      <c r="Z9">
        <v>-203.02500000000001</v>
      </c>
      <c r="AA9">
        <v>-465.63749999999948</v>
      </c>
      <c r="AB9">
        <v>-74.553875000000005</v>
      </c>
      <c r="AC9">
        <v>86.884375000000006</v>
      </c>
      <c r="AD9">
        <v>153.04062500000049</v>
      </c>
      <c r="AE9">
        <v>-106.6999999999998</v>
      </c>
      <c r="AF9">
        <v>542.75625000000014</v>
      </c>
      <c r="AG9">
        <v>1071.434375</v>
      </c>
      <c r="AH9">
        <v>-36.312500000000078</v>
      </c>
      <c r="AI9">
        <v>1.9436525</v>
      </c>
      <c r="AJ9">
        <v>1.4310775</v>
      </c>
      <c r="AK9">
        <v>-5.3013009999999992E-2</v>
      </c>
      <c r="AL9">
        <v>13.729749999999999</v>
      </c>
      <c r="AM9">
        <v>-1.0015695</v>
      </c>
      <c r="AN9">
        <v>0.16733600000000001</v>
      </c>
      <c r="AO9">
        <v>0.101243475</v>
      </c>
      <c r="AP9">
        <v>2.0971224999999998</v>
      </c>
      <c r="AQ9">
        <v>-0.2823175</v>
      </c>
      <c r="AR9">
        <v>3.1429100000000001E-3</v>
      </c>
      <c r="AS9">
        <v>9.7046650000000012E-2</v>
      </c>
      <c r="AT9">
        <v>3.7644000000000002</v>
      </c>
    </row>
    <row r="10" spans="1:46" x14ac:dyDescent="0.25">
      <c r="A10">
        <v>8</v>
      </c>
      <c r="B10">
        <v>9.3936250000000143</v>
      </c>
      <c r="C10">
        <v>0.55511538461538457</v>
      </c>
      <c r="D10">
        <v>-0.61385526958768633</v>
      </c>
      <c r="E10">
        <v>0.21238909330673481</v>
      </c>
      <c r="F10">
        <v>2.3344732397182941</v>
      </c>
      <c r="G10">
        <v>9.4747199999999996</v>
      </c>
      <c r="H10">
        <v>-10.252599999999999</v>
      </c>
      <c r="I10">
        <v>-12.924799999999999</v>
      </c>
      <c r="J10">
        <v>9.7386999999999997</v>
      </c>
      <c r="K10">
        <v>-0.53104700000000005</v>
      </c>
      <c r="L10">
        <v>-14.137700000000001</v>
      </c>
      <c r="M10">
        <v>39.487400000000001</v>
      </c>
      <c r="N10">
        <v>0.53066500000000005</v>
      </c>
      <c r="O10">
        <v>-20.5839</v>
      </c>
      <c r="P10">
        <v>41.157499999999999</v>
      </c>
      <c r="Q10">
        <v>-11.7342</v>
      </c>
      <c r="R10">
        <v>14.953900000000001</v>
      </c>
      <c r="S10">
        <v>5.4935900000000002</v>
      </c>
      <c r="T10">
        <v>-14.154400000000001</v>
      </c>
      <c r="U10">
        <v>-50.213749999999948</v>
      </c>
      <c r="V10">
        <v>-16.912499999999881</v>
      </c>
      <c r="W10">
        <v>28.07499999999985</v>
      </c>
      <c r="X10">
        <v>81.932499999999962</v>
      </c>
      <c r="Y10">
        <v>-99.80512499999999</v>
      </c>
      <c r="Z10">
        <v>-210.86250000000001</v>
      </c>
      <c r="AA10">
        <v>-467.6624999999994</v>
      </c>
      <c r="AB10">
        <v>-78.844125000000005</v>
      </c>
      <c r="AC10">
        <v>87.250000000000043</v>
      </c>
      <c r="AD10">
        <v>160.55000000000061</v>
      </c>
      <c r="AE10">
        <v>-110.1249999999998</v>
      </c>
      <c r="AF10">
        <v>545.97500000000014</v>
      </c>
      <c r="AG10">
        <v>1096.5137500000001</v>
      </c>
      <c r="AH10">
        <v>-42.662500000000037</v>
      </c>
      <c r="AI10">
        <v>1.75762</v>
      </c>
      <c r="AJ10">
        <v>1.3498000000000001</v>
      </c>
      <c r="AK10">
        <v>-6.8665000000000004E-2</v>
      </c>
      <c r="AL10">
        <v>12.574400000000001</v>
      </c>
      <c r="AM10">
        <v>-0.96595600000000004</v>
      </c>
      <c r="AN10">
        <v>0.158808</v>
      </c>
      <c r="AO10">
        <v>8.1029300000000012E-2</v>
      </c>
      <c r="AP10">
        <v>2.0215700000000001</v>
      </c>
      <c r="AQ10">
        <v>-0.25685000000000002</v>
      </c>
      <c r="AR10">
        <v>2.1258700000000002E-3</v>
      </c>
      <c r="AS10">
        <v>7.7748200000000003E-2</v>
      </c>
      <c r="AT10">
        <v>3.5219299999999998</v>
      </c>
    </row>
    <row r="11" spans="1:46" x14ac:dyDescent="0.25">
      <c r="A11">
        <v>9</v>
      </c>
      <c r="B11">
        <v>9.3899062500000063</v>
      </c>
      <c r="C11">
        <v>0.55464148351648346</v>
      </c>
      <c r="D11">
        <v>-0.52266834976054311</v>
      </c>
      <c r="E11">
        <v>0.1482554831902663</v>
      </c>
      <c r="F11">
        <v>2.437876122388035</v>
      </c>
      <c r="G11">
        <v>9.4252124999999989</v>
      </c>
      <c r="H11">
        <v>-10.262525</v>
      </c>
      <c r="I11">
        <v>-12.901249999999999</v>
      </c>
      <c r="J11">
        <v>9.815925</v>
      </c>
      <c r="K11">
        <v>-0.63799175000000008</v>
      </c>
      <c r="L11">
        <v>-14.364224999999999</v>
      </c>
      <c r="M11">
        <v>39.017474999999997</v>
      </c>
      <c r="N11">
        <v>0.44271749999999999</v>
      </c>
      <c r="O11">
        <v>-20.5</v>
      </c>
      <c r="P11">
        <v>41.332725000000003</v>
      </c>
      <c r="Q11">
        <v>-11.8537</v>
      </c>
      <c r="R11">
        <v>15.497025000000001</v>
      </c>
      <c r="S11">
        <v>6.6199625000000006</v>
      </c>
      <c r="T11">
        <v>-14.208774999999999</v>
      </c>
      <c r="U11">
        <v>-49.824999999999953</v>
      </c>
      <c r="V11">
        <v>-13.53437499999993</v>
      </c>
      <c r="W11">
        <v>26.084374999999881</v>
      </c>
      <c r="X11">
        <v>78.733749999999986</v>
      </c>
      <c r="Y11">
        <v>-102.514875</v>
      </c>
      <c r="Z11">
        <v>-218.43749999999989</v>
      </c>
      <c r="AA11">
        <v>-468.52812499999948</v>
      </c>
      <c r="AB11">
        <v>-83.571093750000003</v>
      </c>
      <c r="AC11">
        <v>83.250000000000043</v>
      </c>
      <c r="AD11">
        <v>166.38750000000061</v>
      </c>
      <c r="AE11">
        <v>-115.8562499999999</v>
      </c>
      <c r="AF11">
        <v>540.29062500000009</v>
      </c>
      <c r="AG11">
        <v>1101.191875</v>
      </c>
      <c r="AH11">
        <v>-48.118749999999991</v>
      </c>
      <c r="AI11">
        <v>1.3182149999999999</v>
      </c>
      <c r="AJ11">
        <v>1.0123500000000001</v>
      </c>
      <c r="AK11">
        <v>-5.1498750000000003E-2</v>
      </c>
      <c r="AL11">
        <v>9.4307999999999979</v>
      </c>
      <c r="AM11">
        <v>-0.72446699999999997</v>
      </c>
      <c r="AN11">
        <v>0.119106</v>
      </c>
      <c r="AO11">
        <v>6.0771974999999999E-2</v>
      </c>
      <c r="AP11">
        <v>1.5161775</v>
      </c>
      <c r="AQ11">
        <v>-0.19263749999999999</v>
      </c>
      <c r="AR11">
        <v>1.5944024999999999E-3</v>
      </c>
      <c r="AS11">
        <v>5.8311149999999992E-2</v>
      </c>
      <c r="AT11">
        <v>2.6414474999999999</v>
      </c>
    </row>
    <row r="12" spans="1:46" x14ac:dyDescent="0.25">
      <c r="A12">
        <v>10</v>
      </c>
      <c r="B12">
        <v>9.3861874999999984</v>
      </c>
      <c r="C12">
        <v>0.55416758241758235</v>
      </c>
      <c r="D12">
        <v>-0.32699088803373011</v>
      </c>
      <c r="E12">
        <v>8.8298455569386036E-2</v>
      </c>
      <c r="F12">
        <v>2.3890965061748761</v>
      </c>
      <c r="G12">
        <v>9.375705</v>
      </c>
      <c r="H12">
        <v>-10.272449999999999</v>
      </c>
      <c r="I12">
        <v>-12.877700000000001</v>
      </c>
      <c r="J12">
        <v>9.8931500000000003</v>
      </c>
      <c r="K12">
        <v>-0.74493650000000011</v>
      </c>
      <c r="L12">
        <v>-14.59075</v>
      </c>
      <c r="M12">
        <v>38.547550000000001</v>
      </c>
      <c r="N12">
        <v>0.35476999999999992</v>
      </c>
      <c r="O12">
        <v>-20.4161</v>
      </c>
      <c r="P12">
        <v>41.507950000000001</v>
      </c>
      <c r="Q12">
        <v>-11.9732</v>
      </c>
      <c r="R12">
        <v>16.040150000000001</v>
      </c>
      <c r="S12">
        <v>7.7463350000000002</v>
      </c>
      <c r="T12">
        <v>-14.26315</v>
      </c>
      <c r="U12">
        <v>-49.436249999999959</v>
      </c>
      <c r="V12">
        <v>-10.15624999999998</v>
      </c>
      <c r="W12">
        <v>24.093749999999911</v>
      </c>
      <c r="X12">
        <v>75.535000000000011</v>
      </c>
      <c r="Y12">
        <v>-105.224625</v>
      </c>
      <c r="Z12">
        <v>-226.01249999999999</v>
      </c>
      <c r="AA12">
        <v>-469.39374999999961</v>
      </c>
      <c r="AB12">
        <v>-88.298062500000015</v>
      </c>
      <c r="AC12">
        <v>79.250000000000028</v>
      </c>
      <c r="AD12">
        <v>172.22500000000051</v>
      </c>
      <c r="AE12">
        <v>-121.58749999999991</v>
      </c>
      <c r="AF12">
        <v>534.60625000000005</v>
      </c>
      <c r="AG12">
        <v>1105.8699999999999</v>
      </c>
      <c r="AH12">
        <v>-53.574999999999932</v>
      </c>
      <c r="AI12">
        <v>0.87880999999999965</v>
      </c>
      <c r="AJ12">
        <v>0.67489999999999961</v>
      </c>
      <c r="AK12">
        <v>-3.4332499999999981E-2</v>
      </c>
      <c r="AL12">
        <v>6.2871999999999968</v>
      </c>
      <c r="AM12">
        <v>-0.48297799999999991</v>
      </c>
      <c r="AN12">
        <v>7.9403999999999961E-2</v>
      </c>
      <c r="AO12">
        <v>4.0514649999999992E-2</v>
      </c>
      <c r="AP12">
        <v>1.010785</v>
      </c>
      <c r="AQ12">
        <v>-0.12842500000000001</v>
      </c>
      <c r="AR12">
        <v>1.062934999999999E-3</v>
      </c>
      <c r="AS12">
        <v>3.8874099999999988E-2</v>
      </c>
      <c r="AT12">
        <v>1.760964999999999</v>
      </c>
    </row>
    <row r="13" spans="1:46" x14ac:dyDescent="0.25">
      <c r="A13">
        <v>11</v>
      </c>
      <c r="B13">
        <v>9.3824687499999904</v>
      </c>
      <c r="C13">
        <v>0.55369368131868135</v>
      </c>
      <c r="D13">
        <v>-0.12795796433883219</v>
      </c>
      <c r="E13">
        <v>5.4764774849502082E-2</v>
      </c>
      <c r="F13">
        <v>2.3198396383091131</v>
      </c>
      <c r="G13">
        <v>9.3261974999999993</v>
      </c>
      <c r="H13">
        <v>-10.282375</v>
      </c>
      <c r="I13">
        <v>-12.854150000000001</v>
      </c>
      <c r="J13">
        <v>9.9703749999999989</v>
      </c>
      <c r="K13">
        <v>-0.85188125000000015</v>
      </c>
      <c r="L13">
        <v>-14.817275</v>
      </c>
      <c r="M13">
        <v>38.077624999999998</v>
      </c>
      <c r="N13">
        <v>0.26682249999999991</v>
      </c>
      <c r="O13">
        <v>-20.3322</v>
      </c>
      <c r="P13">
        <v>41.683175000000013</v>
      </c>
      <c r="Q13">
        <v>-12.092700000000001</v>
      </c>
      <c r="R13">
        <v>16.583275</v>
      </c>
      <c r="S13">
        <v>8.8727075000000006</v>
      </c>
      <c r="T13">
        <v>-14.317525</v>
      </c>
      <c r="U13">
        <v>-49.047499999999957</v>
      </c>
      <c r="V13">
        <v>-6.7781250000000188</v>
      </c>
      <c r="W13">
        <v>22.103124999999942</v>
      </c>
      <c r="X13">
        <v>72.336250000000035</v>
      </c>
      <c r="Y13">
        <v>-107.934375</v>
      </c>
      <c r="Z13">
        <v>-233.58749999999989</v>
      </c>
      <c r="AA13">
        <v>-470.25937499999969</v>
      </c>
      <c r="AB13">
        <v>-93.025031250000012</v>
      </c>
      <c r="AC13">
        <v>75.250000000000028</v>
      </c>
      <c r="AD13">
        <v>178.06250000000051</v>
      </c>
      <c r="AE13">
        <v>-127.31874999999999</v>
      </c>
      <c r="AF13">
        <v>528.921875</v>
      </c>
      <c r="AG13">
        <v>1110.548125</v>
      </c>
      <c r="AH13">
        <v>-59.031249999999872</v>
      </c>
      <c r="AI13">
        <v>0.43940499999999938</v>
      </c>
      <c r="AJ13">
        <v>0.33744999999999958</v>
      </c>
      <c r="AK13">
        <v>-1.716624999999997E-2</v>
      </c>
      <c r="AL13">
        <v>3.1435999999999962</v>
      </c>
      <c r="AM13">
        <v>-0.2414889999999997</v>
      </c>
      <c r="AN13">
        <v>3.9701999999999953E-2</v>
      </c>
      <c r="AO13">
        <v>2.0257324999999968E-2</v>
      </c>
      <c r="AP13">
        <v>0.50539249999999947</v>
      </c>
      <c r="AQ13">
        <v>-6.4212499999999922E-2</v>
      </c>
      <c r="AR13">
        <v>5.314674999999994E-4</v>
      </c>
      <c r="AS13">
        <v>1.943704999999998E-2</v>
      </c>
      <c r="AT13">
        <v>0.8804824999999985</v>
      </c>
    </row>
    <row r="14" spans="1:46" x14ac:dyDescent="0.25">
      <c r="A14">
        <v>12</v>
      </c>
      <c r="B14">
        <v>9.3787499999999824</v>
      </c>
      <c r="C14">
        <v>0.55321978021978024</v>
      </c>
      <c r="D14">
        <v>-8.5511711617971137E-3</v>
      </c>
      <c r="E14">
        <v>2.4446809779693851E-2</v>
      </c>
      <c r="F14">
        <v>2.356852087083654</v>
      </c>
      <c r="G14">
        <v>9.2766900000000003</v>
      </c>
      <c r="H14">
        <v>-10.292299999999999</v>
      </c>
      <c r="I14">
        <v>-12.8306</v>
      </c>
      <c r="J14">
        <v>10.047599999999999</v>
      </c>
      <c r="K14">
        <v>-0.95882599999999996</v>
      </c>
      <c r="L14">
        <v>-15.043799999999999</v>
      </c>
      <c r="M14">
        <v>37.607700000000001</v>
      </c>
      <c r="N14">
        <v>0.17887500000000001</v>
      </c>
      <c r="O14">
        <v>-20.2483</v>
      </c>
      <c r="P14">
        <v>41.858400000000003</v>
      </c>
      <c r="Q14">
        <v>-12.212199999999999</v>
      </c>
      <c r="R14">
        <v>17.1264</v>
      </c>
      <c r="S14">
        <v>9.9990799999999993</v>
      </c>
      <c r="T14">
        <v>-14.3719</v>
      </c>
      <c r="U14">
        <v>-48.658749999999969</v>
      </c>
      <c r="V14">
        <v>-3.4000000000000701</v>
      </c>
      <c r="W14">
        <v>20.112499999999979</v>
      </c>
      <c r="X14">
        <v>69.137500000000074</v>
      </c>
      <c r="Y14">
        <v>-110.644125</v>
      </c>
      <c r="Z14">
        <v>-241.16249999999991</v>
      </c>
      <c r="AA14">
        <v>-471.12499999999977</v>
      </c>
      <c r="AB14">
        <v>-97.75200000000001</v>
      </c>
      <c r="AC14">
        <v>71.250000000000028</v>
      </c>
      <c r="AD14">
        <v>183.9000000000004</v>
      </c>
      <c r="AE14">
        <v>-133.0500000000001</v>
      </c>
      <c r="AF14">
        <v>523.23749999999995</v>
      </c>
      <c r="AG14">
        <v>1115.2262499999999</v>
      </c>
      <c r="AH14">
        <v>-64.487499999999812</v>
      </c>
      <c r="AI14">
        <v>0</v>
      </c>
      <c r="AJ14">
        <v>0</v>
      </c>
      <c r="AK14">
        <v>0</v>
      </c>
      <c r="AL14">
        <v>0</v>
      </c>
      <c r="AM14">
        <v>0</v>
      </c>
      <c r="AN14">
        <v>0</v>
      </c>
      <c r="AO14">
        <v>0</v>
      </c>
      <c r="AP14">
        <v>0</v>
      </c>
      <c r="AQ14">
        <v>0</v>
      </c>
      <c r="AR14">
        <v>0</v>
      </c>
      <c r="AS14">
        <v>0</v>
      </c>
      <c r="AT14">
        <v>0</v>
      </c>
    </row>
    <row r="15" spans="1:46" x14ac:dyDescent="0.25">
      <c r="A15">
        <v>13</v>
      </c>
      <c r="B15">
        <v>9.3768749999999805</v>
      </c>
      <c r="C15">
        <v>0.55277335164835173</v>
      </c>
      <c r="D15">
        <v>6.8500303961940887E-2</v>
      </c>
      <c r="E15">
        <v>2.3730508199895088E-3</v>
      </c>
      <c r="F15">
        <v>2.4809260830023958</v>
      </c>
      <c r="G15">
        <v>9.2288800000000002</v>
      </c>
      <c r="H15">
        <v>-10.289175</v>
      </c>
      <c r="I15">
        <v>-12.813924999999999</v>
      </c>
      <c r="J15">
        <v>10.108650000000001</v>
      </c>
      <c r="K15">
        <v>-1.0731695000000001</v>
      </c>
      <c r="L15">
        <v>-15.2996</v>
      </c>
      <c r="M15">
        <v>37.135375000000003</v>
      </c>
      <c r="N15">
        <v>7.1318500000000007E-2</v>
      </c>
      <c r="O15">
        <v>-20.189699999999998</v>
      </c>
      <c r="P15">
        <v>42.050975000000001</v>
      </c>
      <c r="Q15">
        <v>-12.3588</v>
      </c>
      <c r="R15">
        <v>17.629750000000001</v>
      </c>
      <c r="S15">
        <v>11.103160000000001</v>
      </c>
      <c r="T15">
        <v>-14.4465</v>
      </c>
      <c r="U15">
        <v>-48.284687499999983</v>
      </c>
      <c r="V15">
        <v>-0.27812500000007351</v>
      </c>
      <c r="W15">
        <v>18.778124999999982</v>
      </c>
      <c r="X15">
        <v>64.187500000000057</v>
      </c>
      <c r="Y15">
        <v>-111.42228125</v>
      </c>
      <c r="Z15">
        <v>-247.92187499999989</v>
      </c>
      <c r="AA15">
        <v>-472.24999999999977</v>
      </c>
      <c r="AB15">
        <v>-102.7958125</v>
      </c>
      <c r="AC15">
        <v>62.668750000000053</v>
      </c>
      <c r="AD15">
        <v>185.7687500000003</v>
      </c>
      <c r="AE15">
        <v>-140.47812500000009</v>
      </c>
      <c r="AF15">
        <v>510.83749999999998</v>
      </c>
      <c r="AG15">
        <v>1100.8984375</v>
      </c>
      <c r="AH15">
        <v>-68.934374999999832</v>
      </c>
      <c r="AI15">
        <v>0</v>
      </c>
      <c r="AJ15">
        <v>0</v>
      </c>
      <c r="AK15">
        <v>0</v>
      </c>
      <c r="AL15">
        <v>0</v>
      </c>
      <c r="AM15">
        <v>0</v>
      </c>
      <c r="AN15">
        <v>0</v>
      </c>
      <c r="AO15">
        <v>0</v>
      </c>
      <c r="AP15">
        <v>0</v>
      </c>
      <c r="AQ15">
        <v>0</v>
      </c>
      <c r="AR15">
        <v>0</v>
      </c>
      <c r="AS15">
        <v>0</v>
      </c>
      <c r="AT15">
        <v>0</v>
      </c>
    </row>
    <row r="16" spans="1:46" x14ac:dyDescent="0.25">
      <c r="A16">
        <v>14</v>
      </c>
      <c r="B16">
        <v>9.3749999999999787</v>
      </c>
      <c r="C16">
        <v>0.5523269230769231</v>
      </c>
      <c r="D16">
        <v>0.1230181504800003</v>
      </c>
      <c r="E16">
        <v>-2.5740578839487491E-3</v>
      </c>
      <c r="F16">
        <v>2.5962445969862058</v>
      </c>
      <c r="G16">
        <v>9.1810700000000001</v>
      </c>
      <c r="H16">
        <v>-10.286049999999999</v>
      </c>
      <c r="I16">
        <v>-12.79725</v>
      </c>
      <c r="J16">
        <v>10.169700000000001</v>
      </c>
      <c r="K16">
        <v>-1.187513</v>
      </c>
      <c r="L16">
        <v>-15.555400000000001</v>
      </c>
      <c r="M16">
        <v>36.663049999999998</v>
      </c>
      <c r="N16">
        <v>-3.6237999999999992E-2</v>
      </c>
      <c r="O16">
        <v>-20.1311</v>
      </c>
      <c r="P16">
        <v>42.243549999999999</v>
      </c>
      <c r="Q16">
        <v>-12.5054</v>
      </c>
      <c r="R16">
        <v>18.133099999999999</v>
      </c>
      <c r="S16">
        <v>12.207240000000001</v>
      </c>
      <c r="T16">
        <v>-14.521100000000001</v>
      </c>
      <c r="U16">
        <v>-47.910624999999982</v>
      </c>
      <c r="V16">
        <v>2.8437499999999232</v>
      </c>
      <c r="W16">
        <v>17.44374999999998</v>
      </c>
      <c r="X16">
        <v>59.237500000000047</v>
      </c>
      <c r="Y16">
        <v>-112.20043750000001</v>
      </c>
      <c r="Z16">
        <v>-254.68125000000001</v>
      </c>
      <c r="AA16">
        <v>-473.37499999999989</v>
      </c>
      <c r="AB16">
        <v>-107.839625</v>
      </c>
      <c r="AC16">
        <v>54.087500000000063</v>
      </c>
      <c r="AD16">
        <v>187.6375000000001</v>
      </c>
      <c r="AE16">
        <v>-147.90625000000011</v>
      </c>
      <c r="AF16">
        <v>498.43750000000011</v>
      </c>
      <c r="AG16">
        <v>1086.5706250000001</v>
      </c>
      <c r="AH16">
        <v>-73.381249999999852</v>
      </c>
      <c r="AI16">
        <v>0</v>
      </c>
      <c r="AJ16">
        <v>0</v>
      </c>
      <c r="AK16">
        <v>0</v>
      </c>
      <c r="AL16">
        <v>0</v>
      </c>
      <c r="AM16">
        <v>0</v>
      </c>
      <c r="AN16">
        <v>0</v>
      </c>
      <c r="AO16">
        <v>0</v>
      </c>
      <c r="AP16">
        <v>0</v>
      </c>
      <c r="AQ16">
        <v>0</v>
      </c>
      <c r="AR16">
        <v>0</v>
      </c>
      <c r="AS16">
        <v>0</v>
      </c>
      <c r="AT16">
        <v>0</v>
      </c>
    </row>
    <row r="17" spans="1:46" x14ac:dyDescent="0.25">
      <c r="A17">
        <v>15</v>
      </c>
      <c r="B17">
        <v>9.3731249999999768</v>
      </c>
      <c r="C17">
        <v>0.55188049450549448</v>
      </c>
      <c r="D17">
        <v>0.1474231272960585</v>
      </c>
      <c r="E17">
        <v>1.153561556746114E-2</v>
      </c>
      <c r="F17">
        <v>2.695186974102409</v>
      </c>
      <c r="G17">
        <v>9.1332599999999999</v>
      </c>
      <c r="H17">
        <v>-10.282925000000001</v>
      </c>
      <c r="I17">
        <v>-12.780575000000001</v>
      </c>
      <c r="J17">
        <v>10.23075</v>
      </c>
      <c r="K17">
        <v>-1.3018565</v>
      </c>
      <c r="L17">
        <v>-15.811199999999999</v>
      </c>
      <c r="M17">
        <v>36.190725</v>
      </c>
      <c r="N17">
        <v>-0.14379449999999999</v>
      </c>
      <c r="O17">
        <v>-20.072500000000002</v>
      </c>
      <c r="P17">
        <v>42.436124999999997</v>
      </c>
      <c r="Q17">
        <v>-12.651999999999999</v>
      </c>
      <c r="R17">
        <v>18.63645</v>
      </c>
      <c r="S17">
        <v>13.31132</v>
      </c>
      <c r="T17">
        <v>-14.595700000000001</v>
      </c>
      <c r="U17">
        <v>-47.536562499999988</v>
      </c>
      <c r="V17">
        <v>5.9656249999999194</v>
      </c>
      <c r="W17">
        <v>16.109374999999979</v>
      </c>
      <c r="X17">
        <v>54.287500000000037</v>
      </c>
      <c r="Y17">
        <v>-112.97859375</v>
      </c>
      <c r="Z17">
        <v>-261.44062500000001</v>
      </c>
      <c r="AA17">
        <v>-474.49999999999989</v>
      </c>
      <c r="AB17">
        <v>-112.8834375</v>
      </c>
      <c r="AC17">
        <v>45.50625000000008</v>
      </c>
      <c r="AD17">
        <v>189.50624999999999</v>
      </c>
      <c r="AE17">
        <v>-155.33437500000011</v>
      </c>
      <c r="AF17">
        <v>486.03750000000008</v>
      </c>
      <c r="AG17">
        <v>1072.2428124999999</v>
      </c>
      <c r="AH17">
        <v>-77.828124999999858</v>
      </c>
      <c r="AI17">
        <v>0</v>
      </c>
      <c r="AJ17">
        <v>0</v>
      </c>
      <c r="AK17">
        <v>0</v>
      </c>
      <c r="AL17">
        <v>0</v>
      </c>
      <c r="AM17">
        <v>0</v>
      </c>
      <c r="AN17">
        <v>0</v>
      </c>
      <c r="AO17">
        <v>0</v>
      </c>
      <c r="AP17">
        <v>0</v>
      </c>
      <c r="AQ17">
        <v>0</v>
      </c>
      <c r="AR17">
        <v>0</v>
      </c>
      <c r="AS17">
        <v>0</v>
      </c>
      <c r="AT17">
        <v>0</v>
      </c>
    </row>
    <row r="18" spans="1:46" x14ac:dyDescent="0.25">
      <c r="A18">
        <v>16</v>
      </c>
      <c r="B18">
        <v>9.371249999999975</v>
      </c>
      <c r="C18">
        <v>0.55143406593406596</v>
      </c>
      <c r="D18">
        <v>0.13450946037788031</v>
      </c>
      <c r="E18">
        <v>3.4622451579787467E-2</v>
      </c>
      <c r="F18">
        <v>2.8252789779396168</v>
      </c>
      <c r="G18">
        <v>9.0854499999999998</v>
      </c>
      <c r="H18">
        <v>-10.2798</v>
      </c>
      <c r="I18">
        <v>-12.7639</v>
      </c>
      <c r="J18">
        <v>10.2918</v>
      </c>
      <c r="K18">
        <v>-1.4161999999999999</v>
      </c>
      <c r="L18">
        <v>-16.067</v>
      </c>
      <c r="M18">
        <v>35.718400000000003</v>
      </c>
      <c r="N18">
        <v>-0.25135099999999999</v>
      </c>
      <c r="O18">
        <v>-20.0139</v>
      </c>
      <c r="P18">
        <v>42.628700000000002</v>
      </c>
      <c r="Q18">
        <v>-12.7986</v>
      </c>
      <c r="R18">
        <v>19.139800000000001</v>
      </c>
      <c r="S18">
        <v>14.4154</v>
      </c>
      <c r="T18">
        <v>-14.670299999999999</v>
      </c>
      <c r="U18">
        <v>-47.162499999999987</v>
      </c>
      <c r="V18">
        <v>9.0874999999999151</v>
      </c>
      <c r="W18">
        <v>14.774999999999981</v>
      </c>
      <c r="X18">
        <v>49.337500000000027</v>
      </c>
      <c r="Y18">
        <v>-113.75675</v>
      </c>
      <c r="Z18">
        <v>-268.2</v>
      </c>
      <c r="AA18">
        <v>-475.62499999999989</v>
      </c>
      <c r="AB18">
        <v>-117.92725</v>
      </c>
      <c r="AC18">
        <v>36.925000000000097</v>
      </c>
      <c r="AD18">
        <v>191.37499999999989</v>
      </c>
      <c r="AE18">
        <v>-162.7625000000001</v>
      </c>
      <c r="AF18">
        <v>473.63750000000022</v>
      </c>
      <c r="AG18">
        <v>1057.915</v>
      </c>
      <c r="AH18">
        <v>-82.274999999999878</v>
      </c>
      <c r="AI18">
        <v>0</v>
      </c>
      <c r="AJ18">
        <v>0</v>
      </c>
      <c r="AK18">
        <v>0</v>
      </c>
      <c r="AL18">
        <v>0</v>
      </c>
      <c r="AM18">
        <v>0</v>
      </c>
      <c r="AN18">
        <v>0</v>
      </c>
      <c r="AO18">
        <v>0</v>
      </c>
      <c r="AP18">
        <v>0</v>
      </c>
      <c r="AQ18">
        <v>0</v>
      </c>
      <c r="AR18">
        <v>0</v>
      </c>
      <c r="AS18">
        <v>0</v>
      </c>
      <c r="AT18">
        <v>0</v>
      </c>
    </row>
    <row r="19" spans="1:46" x14ac:dyDescent="0.25">
      <c r="A19">
        <v>17</v>
      </c>
      <c r="B19">
        <v>9.3712499999999821</v>
      </c>
      <c r="C19">
        <v>0.55102197802197805</v>
      </c>
      <c r="D19">
        <v>9.111928660616396E-2</v>
      </c>
      <c r="E19">
        <v>6.1112082663012067E-2</v>
      </c>
      <c r="F19">
        <v>2.9743427275021919</v>
      </c>
      <c r="G19">
        <v>9.0389350000000004</v>
      </c>
      <c r="H19">
        <v>-10.264749999999999</v>
      </c>
      <c r="I19">
        <v>-12.751025</v>
      </c>
      <c r="J19">
        <v>10.329425000000001</v>
      </c>
      <c r="K19">
        <v>-1.5293699999999999</v>
      </c>
      <c r="L19">
        <v>-16.3476</v>
      </c>
      <c r="M19">
        <v>35.239475000000013</v>
      </c>
      <c r="N19">
        <v>-0.37964899999999979</v>
      </c>
      <c r="O19">
        <v>-19.998650000000001</v>
      </c>
      <c r="P19">
        <v>42.818874999999998</v>
      </c>
      <c r="Q19">
        <v>-12.977525</v>
      </c>
      <c r="R19">
        <v>19.583725000000001</v>
      </c>
      <c r="S19">
        <v>15.427149999999999</v>
      </c>
      <c r="T19">
        <v>-14.760249999999999</v>
      </c>
      <c r="U19">
        <v>-46.979687499999983</v>
      </c>
      <c r="V19">
        <v>11.91249999999993</v>
      </c>
      <c r="W19">
        <v>14.334374999999961</v>
      </c>
      <c r="X19">
        <v>42.640625000000057</v>
      </c>
      <c r="Y19">
        <v>-112.28756250000001</v>
      </c>
      <c r="Z19">
        <v>-273.49687499999999</v>
      </c>
      <c r="AA19">
        <v>-478.50625000000002</v>
      </c>
      <c r="AB19">
        <v>-123.29478125</v>
      </c>
      <c r="AC19">
        <v>24.23750000000005</v>
      </c>
      <c r="AD19">
        <v>187.91562499999981</v>
      </c>
      <c r="AE19">
        <v>-170.98124999999999</v>
      </c>
      <c r="AF19">
        <v>458.54375000000022</v>
      </c>
      <c r="AG19">
        <v>1028.620625</v>
      </c>
      <c r="AH19">
        <v>-85.228124999999935</v>
      </c>
      <c r="AI19">
        <v>0</v>
      </c>
      <c r="AJ19">
        <v>0</v>
      </c>
      <c r="AK19">
        <v>0</v>
      </c>
      <c r="AL19">
        <v>0</v>
      </c>
      <c r="AM19">
        <v>0</v>
      </c>
      <c r="AN19">
        <v>0</v>
      </c>
      <c r="AO19">
        <v>0</v>
      </c>
      <c r="AP19">
        <v>0</v>
      </c>
      <c r="AQ19">
        <v>0</v>
      </c>
      <c r="AR19">
        <v>0</v>
      </c>
      <c r="AS19">
        <v>0</v>
      </c>
      <c r="AT19">
        <v>0</v>
      </c>
    </row>
    <row r="20" spans="1:46" x14ac:dyDescent="0.25">
      <c r="A20">
        <v>18</v>
      </c>
      <c r="B20">
        <v>9.3712499999999892</v>
      </c>
      <c r="C20">
        <v>0.55060989010989014</v>
      </c>
      <c r="D20">
        <v>4.5324856610452137E-2</v>
      </c>
      <c r="E20">
        <v>8.7820598256642068E-2</v>
      </c>
      <c r="F20">
        <v>3.1438655155340181</v>
      </c>
      <c r="G20">
        <v>8.9924199999999992</v>
      </c>
      <c r="H20">
        <v>-10.249700000000001</v>
      </c>
      <c r="I20">
        <v>-12.738149999999999</v>
      </c>
      <c r="J20">
        <v>10.367050000000001</v>
      </c>
      <c r="K20">
        <v>-1.6425399999999999</v>
      </c>
      <c r="L20">
        <v>-16.6282</v>
      </c>
      <c r="M20">
        <v>34.760550000000002</v>
      </c>
      <c r="N20">
        <v>-0.50794699999999993</v>
      </c>
      <c r="O20">
        <v>-19.9834</v>
      </c>
      <c r="P20">
        <v>43.009050000000002</v>
      </c>
      <c r="Q20">
        <v>-13.15645</v>
      </c>
      <c r="R20">
        <v>20.027650000000001</v>
      </c>
      <c r="S20">
        <v>16.4389</v>
      </c>
      <c r="T20">
        <v>-14.850199999999999</v>
      </c>
      <c r="U20">
        <v>-46.796874999999957</v>
      </c>
      <c r="V20">
        <v>14.73749999999996</v>
      </c>
      <c r="W20">
        <v>13.89374999999993</v>
      </c>
      <c r="X20">
        <v>35.943750000000051</v>
      </c>
      <c r="Y20">
        <v>-110.818375</v>
      </c>
      <c r="Z20">
        <v>-278.79374999999999</v>
      </c>
      <c r="AA20">
        <v>-481.38749999999999</v>
      </c>
      <c r="AB20">
        <v>-128.66231250000001</v>
      </c>
      <c r="AC20">
        <v>11.549999999999949</v>
      </c>
      <c r="AD20">
        <v>184.45624999999981</v>
      </c>
      <c r="AE20">
        <v>-179.2</v>
      </c>
      <c r="AF20">
        <v>443.45000000000022</v>
      </c>
      <c r="AG20">
        <v>999.32624999999985</v>
      </c>
      <c r="AH20">
        <v>-88.181249999999991</v>
      </c>
      <c r="AI20">
        <v>0</v>
      </c>
      <c r="AJ20">
        <v>0</v>
      </c>
      <c r="AK20">
        <v>0</v>
      </c>
      <c r="AL20">
        <v>0</v>
      </c>
      <c r="AM20">
        <v>0</v>
      </c>
      <c r="AN20">
        <v>0</v>
      </c>
      <c r="AO20">
        <v>0</v>
      </c>
      <c r="AP20">
        <v>0</v>
      </c>
      <c r="AQ20">
        <v>0</v>
      </c>
      <c r="AR20">
        <v>0</v>
      </c>
      <c r="AS20">
        <v>0</v>
      </c>
      <c r="AT20">
        <v>0</v>
      </c>
    </row>
    <row r="21" spans="1:46" x14ac:dyDescent="0.25">
      <c r="A21">
        <v>19</v>
      </c>
      <c r="B21">
        <v>9.3712499999999963</v>
      </c>
      <c r="C21">
        <v>0.55019780219780223</v>
      </c>
      <c r="D21">
        <v>2.6601584476459401E-2</v>
      </c>
      <c r="E21">
        <v>0.10885949787225881</v>
      </c>
      <c r="F21">
        <v>3.2826278706087941</v>
      </c>
      <c r="G21">
        <v>8.9459049999999998</v>
      </c>
      <c r="H21">
        <v>-10.23465</v>
      </c>
      <c r="I21">
        <v>-12.725275</v>
      </c>
      <c r="J21">
        <v>10.404674999999999</v>
      </c>
      <c r="K21">
        <v>-1.7557100000000001</v>
      </c>
      <c r="L21">
        <v>-16.908799999999999</v>
      </c>
      <c r="M21">
        <v>34.281625000000012</v>
      </c>
      <c r="N21">
        <v>-0.63624499999999973</v>
      </c>
      <c r="O21">
        <v>-19.968150000000001</v>
      </c>
      <c r="P21">
        <v>43.199224999999998</v>
      </c>
      <c r="Q21">
        <v>-13.335375000000001</v>
      </c>
      <c r="R21">
        <v>20.471575000000001</v>
      </c>
      <c r="S21">
        <v>17.45065</v>
      </c>
      <c r="T21">
        <v>-14.940149999999999</v>
      </c>
      <c r="U21">
        <v>-46.614062499999939</v>
      </c>
      <c r="V21">
        <v>17.562499999999979</v>
      </c>
      <c r="W21">
        <v>13.453124999999901</v>
      </c>
      <c r="X21">
        <v>29.24687500000007</v>
      </c>
      <c r="Y21">
        <v>-109.3491875</v>
      </c>
      <c r="Z21">
        <v>-284.09062499999999</v>
      </c>
      <c r="AA21">
        <v>-484.26875000000013</v>
      </c>
      <c r="AB21">
        <v>-134.02984375</v>
      </c>
      <c r="AC21">
        <v>-1.1375000000001021</v>
      </c>
      <c r="AD21">
        <v>180.9968749999997</v>
      </c>
      <c r="AE21">
        <v>-187.4187499999999</v>
      </c>
      <c r="AF21">
        <v>428.35625000000022</v>
      </c>
      <c r="AG21">
        <v>970.0318749999999</v>
      </c>
      <c r="AH21">
        <v>-91.134375000000048</v>
      </c>
      <c r="AI21">
        <v>0</v>
      </c>
      <c r="AJ21">
        <v>0</v>
      </c>
      <c r="AK21">
        <v>0</v>
      </c>
      <c r="AL21">
        <v>0</v>
      </c>
      <c r="AM21">
        <v>0</v>
      </c>
      <c r="AN21">
        <v>0</v>
      </c>
      <c r="AO21">
        <v>0</v>
      </c>
      <c r="AP21">
        <v>0</v>
      </c>
      <c r="AQ21">
        <v>0</v>
      </c>
      <c r="AR21">
        <v>0</v>
      </c>
      <c r="AS21">
        <v>0</v>
      </c>
      <c r="AT21">
        <v>0</v>
      </c>
    </row>
    <row r="22" spans="1:46" x14ac:dyDescent="0.25">
      <c r="A22">
        <v>20</v>
      </c>
      <c r="B22">
        <v>9.3712500000000034</v>
      </c>
      <c r="C22">
        <v>0.54978571428571432</v>
      </c>
      <c r="D22">
        <v>3.5560121978076412E-2</v>
      </c>
      <c r="E22">
        <v>0.11523063502969309</v>
      </c>
      <c r="F22">
        <v>3.4256673833543489</v>
      </c>
      <c r="G22">
        <v>8.8993900000000004</v>
      </c>
      <c r="H22">
        <v>-10.2196</v>
      </c>
      <c r="I22">
        <v>-12.712400000000001</v>
      </c>
      <c r="J22">
        <v>10.442299999999999</v>
      </c>
      <c r="K22">
        <v>-1.8688800000000001</v>
      </c>
      <c r="L22">
        <v>-17.189399999999999</v>
      </c>
      <c r="M22">
        <v>33.802700000000002</v>
      </c>
      <c r="N22">
        <v>-0.76454299999999997</v>
      </c>
      <c r="O22">
        <v>-19.9529</v>
      </c>
      <c r="P22">
        <v>43.389400000000002</v>
      </c>
      <c r="Q22">
        <v>-13.5143</v>
      </c>
      <c r="R22">
        <v>20.915500000000002</v>
      </c>
      <c r="S22">
        <v>18.462399999999999</v>
      </c>
      <c r="T22">
        <v>-15.030099999999999</v>
      </c>
      <c r="U22">
        <v>-46.43124999999992</v>
      </c>
      <c r="V22">
        <v>20.387499999999999</v>
      </c>
      <c r="W22">
        <v>13.01249999999987</v>
      </c>
      <c r="X22">
        <v>22.550000000000072</v>
      </c>
      <c r="Y22">
        <v>-107.88</v>
      </c>
      <c r="Z22">
        <v>-289.3875000000001</v>
      </c>
      <c r="AA22">
        <v>-487.1500000000002</v>
      </c>
      <c r="AB22">
        <v>-139.39737500000001</v>
      </c>
      <c r="AC22">
        <v>-13.8250000000002</v>
      </c>
      <c r="AD22">
        <v>177.53749999999971</v>
      </c>
      <c r="AE22">
        <v>-195.6374999999999</v>
      </c>
      <c r="AF22">
        <v>413.2625000000001</v>
      </c>
      <c r="AG22">
        <v>940.73749999999973</v>
      </c>
      <c r="AH22">
        <v>-94.087500000000105</v>
      </c>
      <c r="AI22">
        <v>0</v>
      </c>
      <c r="AJ22">
        <v>0</v>
      </c>
      <c r="AK22">
        <v>0</v>
      </c>
      <c r="AL22">
        <v>0</v>
      </c>
      <c r="AM22">
        <v>0</v>
      </c>
      <c r="AN22">
        <v>0</v>
      </c>
      <c r="AO22">
        <v>0</v>
      </c>
      <c r="AP22">
        <v>0</v>
      </c>
      <c r="AQ22">
        <v>0</v>
      </c>
      <c r="AR22">
        <v>0</v>
      </c>
      <c r="AS22">
        <v>0</v>
      </c>
      <c r="AT22">
        <v>0</v>
      </c>
    </row>
    <row r="23" spans="1:46" x14ac:dyDescent="0.25">
      <c r="A23">
        <v>21</v>
      </c>
      <c r="B23">
        <v>9.3725000000000023</v>
      </c>
      <c r="C23">
        <v>0.54941840659340668</v>
      </c>
      <c r="D23">
        <v>6.1740858428809831E-2</v>
      </c>
      <c r="E23">
        <v>0.1106025372986115</v>
      </c>
      <c r="F23">
        <v>3.5203300720831319</v>
      </c>
      <c r="G23">
        <v>8.8530425000000008</v>
      </c>
      <c r="H23">
        <v>-10.193875</v>
      </c>
      <c r="I23">
        <v>-12.699249999999999</v>
      </c>
      <c r="J23">
        <v>10.449775000000001</v>
      </c>
      <c r="K23">
        <v>-1.9714700000000001</v>
      </c>
      <c r="L23">
        <v>-17.487575</v>
      </c>
      <c r="M23">
        <v>33.307324999999999</v>
      </c>
      <c r="N23">
        <v>-0.91503974999999982</v>
      </c>
      <c r="O23">
        <v>-19.995799999999999</v>
      </c>
      <c r="P23">
        <v>43.554299999999998</v>
      </c>
      <c r="Q23">
        <v>-13.726649999999999</v>
      </c>
      <c r="R23">
        <v>21.298100000000002</v>
      </c>
      <c r="S23">
        <v>19.332125000000001</v>
      </c>
      <c r="T23">
        <v>-15.128325</v>
      </c>
      <c r="U23">
        <v>-46.613749999999953</v>
      </c>
      <c r="V23">
        <v>22.885625000000019</v>
      </c>
      <c r="W23">
        <v>13.68124999999992</v>
      </c>
      <c r="X23">
        <v>14.41250000000006</v>
      </c>
      <c r="Y23">
        <v>-104.1309375</v>
      </c>
      <c r="Z23">
        <v>-292.50000000000011</v>
      </c>
      <c r="AA23">
        <v>-492.89375000000018</v>
      </c>
      <c r="AB23">
        <v>-145.23949999999999</v>
      </c>
      <c r="AC23">
        <v>-29.600000000000161</v>
      </c>
      <c r="AD23">
        <v>168.50312499999981</v>
      </c>
      <c r="AE23">
        <v>-203.5343749999999</v>
      </c>
      <c r="AF23">
        <v>398.91250000000002</v>
      </c>
      <c r="AG23">
        <v>901.94062499999984</v>
      </c>
      <c r="AH23">
        <v>-95.018750000000097</v>
      </c>
      <c r="AI23">
        <v>0</v>
      </c>
      <c r="AJ23">
        <v>0</v>
      </c>
      <c r="AK23">
        <v>0</v>
      </c>
      <c r="AL23">
        <v>0</v>
      </c>
      <c r="AM23">
        <v>0</v>
      </c>
      <c r="AN23">
        <v>0</v>
      </c>
      <c r="AO23">
        <v>0</v>
      </c>
      <c r="AP23">
        <v>0</v>
      </c>
      <c r="AQ23">
        <v>0</v>
      </c>
      <c r="AR23">
        <v>0</v>
      </c>
      <c r="AS23">
        <v>0</v>
      </c>
      <c r="AT23">
        <v>0</v>
      </c>
    </row>
    <row r="24" spans="1:46" x14ac:dyDescent="0.25">
      <c r="A24">
        <v>22</v>
      </c>
      <c r="B24">
        <v>9.3737500000000011</v>
      </c>
      <c r="C24">
        <v>0.54905109890109893</v>
      </c>
      <c r="D24">
        <v>9.450998282113808E-2</v>
      </c>
      <c r="E24">
        <v>9.7051950942512927E-2</v>
      </c>
      <c r="F24">
        <v>3.6394858631275508</v>
      </c>
      <c r="G24">
        <v>8.8066949999999995</v>
      </c>
      <c r="H24">
        <v>-10.168150000000001</v>
      </c>
      <c r="I24">
        <v>-12.6861</v>
      </c>
      <c r="J24">
        <v>10.45725</v>
      </c>
      <c r="K24">
        <v>-2.0740599999999998</v>
      </c>
      <c r="L24">
        <v>-17.78575</v>
      </c>
      <c r="M24">
        <v>32.811950000000003</v>
      </c>
      <c r="N24">
        <v>-1.0655365000000001</v>
      </c>
      <c r="O24">
        <v>-20.038699999999999</v>
      </c>
      <c r="P24">
        <v>43.719200000000001</v>
      </c>
      <c r="Q24">
        <v>-13.939</v>
      </c>
      <c r="R24">
        <v>21.680700000000002</v>
      </c>
      <c r="S24">
        <v>20.20185</v>
      </c>
      <c r="T24">
        <v>-15.22655</v>
      </c>
      <c r="U24">
        <v>-46.796249999999993</v>
      </c>
      <c r="V24">
        <v>25.383750000000038</v>
      </c>
      <c r="W24">
        <v>14.349999999999969</v>
      </c>
      <c r="X24">
        <v>6.2750000000000163</v>
      </c>
      <c r="Y24">
        <v>-100.38187499999999</v>
      </c>
      <c r="Z24">
        <v>-295.61250000000013</v>
      </c>
      <c r="AA24">
        <v>-498.63750000000027</v>
      </c>
      <c r="AB24">
        <v>-151.081625</v>
      </c>
      <c r="AC24">
        <v>-45.375000000000178</v>
      </c>
      <c r="AD24">
        <v>159.4687499999998</v>
      </c>
      <c r="AE24">
        <v>-211.43125000000001</v>
      </c>
      <c r="AF24">
        <v>384.56249999999989</v>
      </c>
      <c r="AG24">
        <v>863.14374999999984</v>
      </c>
      <c r="AH24">
        <v>-95.950000000000088</v>
      </c>
      <c r="AI24">
        <v>0</v>
      </c>
      <c r="AJ24">
        <v>0</v>
      </c>
      <c r="AK24">
        <v>0</v>
      </c>
      <c r="AL24">
        <v>0</v>
      </c>
      <c r="AM24">
        <v>0</v>
      </c>
      <c r="AN24">
        <v>0</v>
      </c>
      <c r="AO24">
        <v>0</v>
      </c>
      <c r="AP24">
        <v>0</v>
      </c>
      <c r="AQ24">
        <v>0</v>
      </c>
      <c r="AR24">
        <v>0</v>
      </c>
      <c r="AS24">
        <v>0</v>
      </c>
      <c r="AT24">
        <v>0</v>
      </c>
    </row>
    <row r="25" spans="1:46" x14ac:dyDescent="0.25">
      <c r="A25">
        <v>23</v>
      </c>
      <c r="B25">
        <v>9.375</v>
      </c>
      <c r="C25">
        <v>0.54868379120879118</v>
      </c>
      <c r="D25">
        <v>0.1379572681237255</v>
      </c>
      <c r="E25">
        <v>7.0405271234633929E-2</v>
      </c>
      <c r="F25">
        <v>3.789381442572342</v>
      </c>
      <c r="G25">
        <v>8.7603475</v>
      </c>
      <c r="H25">
        <v>-10.142424999999999</v>
      </c>
      <c r="I25">
        <v>-12.67295</v>
      </c>
      <c r="J25">
        <v>10.464725</v>
      </c>
      <c r="K25">
        <v>-2.17665</v>
      </c>
      <c r="L25">
        <v>-18.083925000000001</v>
      </c>
      <c r="M25">
        <v>32.316575</v>
      </c>
      <c r="N25">
        <v>-1.21603325</v>
      </c>
      <c r="O25">
        <v>-20.081600000000002</v>
      </c>
      <c r="P25">
        <v>43.884099999999997</v>
      </c>
      <c r="Q25">
        <v>-14.151350000000001</v>
      </c>
      <c r="R25">
        <v>22.063300000000002</v>
      </c>
      <c r="S25">
        <v>21.071574999999999</v>
      </c>
      <c r="T25">
        <v>-15.324775000000001</v>
      </c>
      <c r="U25">
        <v>-46.978750000000012</v>
      </c>
      <c r="V25">
        <v>27.881875000000061</v>
      </c>
      <c r="W25">
        <v>15.018750000000029</v>
      </c>
      <c r="X25">
        <v>-1.862499999999994</v>
      </c>
      <c r="Y25">
        <v>-96.6328125</v>
      </c>
      <c r="Z25">
        <v>-298.72500000000002</v>
      </c>
      <c r="AA25">
        <v>-504.38125000000042</v>
      </c>
      <c r="AB25">
        <v>-156.92375000000001</v>
      </c>
      <c r="AC25">
        <v>-61.150000000000148</v>
      </c>
      <c r="AD25">
        <v>150.4343749999999</v>
      </c>
      <c r="AE25">
        <v>-219.328125</v>
      </c>
      <c r="AF25">
        <v>370.21249999999981</v>
      </c>
      <c r="AG25">
        <v>824.34687500000007</v>
      </c>
      <c r="AH25">
        <v>-96.88125000000008</v>
      </c>
      <c r="AI25">
        <v>0</v>
      </c>
      <c r="AJ25">
        <v>0</v>
      </c>
      <c r="AK25">
        <v>0</v>
      </c>
      <c r="AL25">
        <v>0</v>
      </c>
      <c r="AM25">
        <v>0</v>
      </c>
      <c r="AN25">
        <v>0</v>
      </c>
      <c r="AO25">
        <v>0</v>
      </c>
      <c r="AP25">
        <v>0</v>
      </c>
      <c r="AQ25">
        <v>0</v>
      </c>
      <c r="AR25">
        <v>0</v>
      </c>
      <c r="AS25">
        <v>0</v>
      </c>
      <c r="AT25">
        <v>0</v>
      </c>
    </row>
    <row r="26" spans="1:46" x14ac:dyDescent="0.25">
      <c r="A26">
        <v>24</v>
      </c>
      <c r="B26">
        <v>9.3762499999999989</v>
      </c>
      <c r="C26">
        <v>0.54831648351648354</v>
      </c>
      <c r="D26">
        <v>0.17225272790906199</v>
      </c>
      <c r="E26">
        <v>4.0773058898432232E-2</v>
      </c>
      <c r="F26">
        <v>3.8557038973577829</v>
      </c>
      <c r="G26">
        <v>8.7140000000000004</v>
      </c>
      <c r="H26">
        <v>-10.1167</v>
      </c>
      <c r="I26">
        <v>-12.659800000000001</v>
      </c>
      <c r="J26">
        <v>10.472200000000001</v>
      </c>
      <c r="K26">
        <v>-2.2792400000000002</v>
      </c>
      <c r="L26">
        <v>-18.382100000000001</v>
      </c>
      <c r="M26">
        <v>31.821200000000001</v>
      </c>
      <c r="N26">
        <v>-1.36653</v>
      </c>
      <c r="O26">
        <v>-20.124500000000001</v>
      </c>
      <c r="P26">
        <v>44.048999999999999</v>
      </c>
      <c r="Q26">
        <v>-14.3637</v>
      </c>
      <c r="R26">
        <v>22.445900000000002</v>
      </c>
      <c r="S26">
        <v>21.941299999999998</v>
      </c>
      <c r="T26">
        <v>-15.423</v>
      </c>
      <c r="U26">
        <v>-47.161250000000052</v>
      </c>
      <c r="V26">
        <v>30.38000000000007</v>
      </c>
      <c r="W26">
        <v>15.68750000000008</v>
      </c>
      <c r="X26">
        <v>-10.000000000000011</v>
      </c>
      <c r="Y26">
        <v>-92.883750000000006</v>
      </c>
      <c r="Z26">
        <v>-301.83749999999998</v>
      </c>
      <c r="AA26">
        <v>-510.1250000000004</v>
      </c>
      <c r="AB26">
        <v>-162.76587499999999</v>
      </c>
      <c r="AC26">
        <v>-76.925000000000125</v>
      </c>
      <c r="AD26">
        <v>141.4</v>
      </c>
      <c r="AE26">
        <v>-227.22499999999999</v>
      </c>
      <c r="AF26">
        <v>355.86249999999973</v>
      </c>
      <c r="AG26">
        <v>785.55000000000018</v>
      </c>
      <c r="AH26">
        <v>-97.812500000000071</v>
      </c>
      <c r="AI26">
        <v>0</v>
      </c>
      <c r="AJ26">
        <v>0</v>
      </c>
      <c r="AK26">
        <v>0</v>
      </c>
      <c r="AL26">
        <v>0</v>
      </c>
      <c r="AM26">
        <v>0</v>
      </c>
      <c r="AN26">
        <v>0</v>
      </c>
      <c r="AO26">
        <v>0</v>
      </c>
      <c r="AP26">
        <v>0</v>
      </c>
      <c r="AQ26">
        <v>0</v>
      </c>
      <c r="AR26">
        <v>0</v>
      </c>
      <c r="AS26">
        <v>0</v>
      </c>
      <c r="AT26">
        <v>0</v>
      </c>
    </row>
    <row r="27" spans="1:46" x14ac:dyDescent="0.25">
      <c r="A27">
        <v>25</v>
      </c>
      <c r="B27">
        <v>9.3787500000000037</v>
      </c>
      <c r="C27">
        <v>0.54799903846153852</v>
      </c>
      <c r="D27">
        <v>0.19145107066695749</v>
      </c>
      <c r="E27">
        <v>4.3524970689598902E-2</v>
      </c>
      <c r="F27">
        <v>3.97040983288744</v>
      </c>
      <c r="G27">
        <v>8.6660249999999994</v>
      </c>
      <c r="H27">
        <v>-10.081664999999999</v>
      </c>
      <c r="I27">
        <v>-12.641575</v>
      </c>
      <c r="J27">
        <v>10.444725</v>
      </c>
      <c r="K27">
        <v>-2.3624174999999998</v>
      </c>
      <c r="L27">
        <v>-18.6876</v>
      </c>
      <c r="M27">
        <v>31.296325</v>
      </c>
      <c r="N27">
        <v>-1.5415650000000001</v>
      </c>
      <c r="O27">
        <v>-20.23545</v>
      </c>
      <c r="P27">
        <v>44.166899999999998</v>
      </c>
      <c r="Q27">
        <v>-14.6058</v>
      </c>
      <c r="R27">
        <v>22.775024999999999</v>
      </c>
      <c r="S27">
        <v>22.642675000000001</v>
      </c>
      <c r="T27">
        <v>-15.5204</v>
      </c>
      <c r="U27">
        <v>-47.865312500000037</v>
      </c>
      <c r="V27">
        <v>32.525937500000047</v>
      </c>
      <c r="W27">
        <v>17.62812500000005</v>
      </c>
      <c r="X27">
        <v>-18.931250000000031</v>
      </c>
      <c r="Y27">
        <v>-87.216874999999987</v>
      </c>
      <c r="Z27">
        <v>-302.03750000000002</v>
      </c>
      <c r="AA27">
        <v>-519.09687500000041</v>
      </c>
      <c r="AB27">
        <v>-169.32409375</v>
      </c>
      <c r="AC27">
        <v>-94.39687500000008</v>
      </c>
      <c r="AD27">
        <v>127.45</v>
      </c>
      <c r="AE27">
        <v>-233.49687499999999</v>
      </c>
      <c r="AF27">
        <v>342.98749999999973</v>
      </c>
      <c r="AG27">
        <v>742.85312500000009</v>
      </c>
      <c r="AH27">
        <v>-96.29375000000006</v>
      </c>
      <c r="AI27">
        <v>0</v>
      </c>
      <c r="AJ27">
        <v>0</v>
      </c>
      <c r="AK27">
        <v>0</v>
      </c>
      <c r="AL27">
        <v>0</v>
      </c>
      <c r="AM27">
        <v>0</v>
      </c>
      <c r="AN27">
        <v>0</v>
      </c>
      <c r="AO27">
        <v>0</v>
      </c>
      <c r="AP27">
        <v>0</v>
      </c>
      <c r="AQ27">
        <v>0</v>
      </c>
      <c r="AR27">
        <v>0</v>
      </c>
      <c r="AS27">
        <v>0</v>
      </c>
      <c r="AT27">
        <v>0</v>
      </c>
    </row>
    <row r="28" spans="1:46" x14ac:dyDescent="0.25">
      <c r="A28">
        <v>26</v>
      </c>
      <c r="B28">
        <v>9.3812500000000085</v>
      </c>
      <c r="C28">
        <v>0.5476815934065935</v>
      </c>
      <c r="D28">
        <v>0.19918255503561921</v>
      </c>
      <c r="E28">
        <v>3.6257354716746258E-2</v>
      </c>
      <c r="F28">
        <v>4.0567811542599941</v>
      </c>
      <c r="G28">
        <v>8.6180500000000002</v>
      </c>
      <c r="H28">
        <v>-10.04663</v>
      </c>
      <c r="I28">
        <v>-12.62335</v>
      </c>
      <c r="J28">
        <v>10.417249999999999</v>
      </c>
      <c r="K28">
        <v>-2.445595</v>
      </c>
      <c r="L28">
        <v>-18.993099999999998</v>
      </c>
      <c r="M28">
        <v>30.771450000000002</v>
      </c>
      <c r="N28">
        <v>-1.7165999999999999</v>
      </c>
      <c r="O28">
        <v>-20.346399999999999</v>
      </c>
      <c r="P28">
        <v>44.284799999999997</v>
      </c>
      <c r="Q28">
        <v>-14.847899999999999</v>
      </c>
      <c r="R28">
        <v>23.104150000000001</v>
      </c>
      <c r="S28">
        <v>23.344049999999999</v>
      </c>
      <c r="T28">
        <v>-15.617800000000001</v>
      </c>
      <c r="U28">
        <v>-48.569375000000022</v>
      </c>
      <c r="V28">
        <v>34.671875000000007</v>
      </c>
      <c r="W28">
        <v>19.568750000000019</v>
      </c>
      <c r="X28">
        <v>-27.862500000000011</v>
      </c>
      <c r="Y28">
        <v>-81.549999999999983</v>
      </c>
      <c r="Z28">
        <v>-302.23750000000001</v>
      </c>
      <c r="AA28">
        <v>-528.06875000000036</v>
      </c>
      <c r="AB28">
        <v>-175.88231250000001</v>
      </c>
      <c r="AC28">
        <v>-111.86875000000001</v>
      </c>
      <c r="AD28">
        <v>113.5000000000002</v>
      </c>
      <c r="AE28">
        <v>-239.7687500000001</v>
      </c>
      <c r="AF28">
        <v>330.11249999999978</v>
      </c>
      <c r="AG28">
        <v>700.15625000000023</v>
      </c>
      <c r="AH28">
        <v>-94.775000000000048</v>
      </c>
      <c r="AI28">
        <v>0</v>
      </c>
      <c r="AJ28">
        <v>0</v>
      </c>
      <c r="AK28">
        <v>0</v>
      </c>
      <c r="AL28">
        <v>0</v>
      </c>
      <c r="AM28">
        <v>0</v>
      </c>
      <c r="AN28">
        <v>0</v>
      </c>
      <c r="AO28">
        <v>0</v>
      </c>
      <c r="AP28">
        <v>0</v>
      </c>
      <c r="AQ28">
        <v>0</v>
      </c>
      <c r="AR28">
        <v>0</v>
      </c>
      <c r="AS28">
        <v>0</v>
      </c>
      <c r="AT28">
        <v>0</v>
      </c>
    </row>
    <row r="29" spans="1:46" x14ac:dyDescent="0.25">
      <c r="A29">
        <v>27</v>
      </c>
      <c r="B29">
        <v>9.3837500000000134</v>
      </c>
      <c r="C29">
        <v>0.54736414835164837</v>
      </c>
      <c r="D29">
        <v>0.1960651689666654</v>
      </c>
      <c r="E29">
        <v>4.1855665396680952E-2</v>
      </c>
      <c r="F29">
        <v>4.1159412893758081</v>
      </c>
      <c r="G29">
        <v>8.5700749999999992</v>
      </c>
      <c r="H29">
        <v>-10.011595</v>
      </c>
      <c r="I29">
        <v>-12.605124999999999</v>
      </c>
      <c r="J29">
        <v>10.389775</v>
      </c>
      <c r="K29">
        <v>-2.528772500000001</v>
      </c>
      <c r="L29">
        <v>-19.2986</v>
      </c>
      <c r="M29">
        <v>30.246575</v>
      </c>
      <c r="N29">
        <v>-1.891635</v>
      </c>
      <c r="O29">
        <v>-20.457350000000002</v>
      </c>
      <c r="P29">
        <v>44.402700000000003</v>
      </c>
      <c r="Q29">
        <v>-15.09</v>
      </c>
      <c r="R29">
        <v>23.433274999999998</v>
      </c>
      <c r="S29">
        <v>24.045425000000002</v>
      </c>
      <c r="T29">
        <v>-15.715199999999999</v>
      </c>
      <c r="U29">
        <v>-49.273437500000007</v>
      </c>
      <c r="V29">
        <v>36.817812500000002</v>
      </c>
      <c r="W29">
        <v>21.509374999999999</v>
      </c>
      <c r="X29">
        <v>-36.793750000000031</v>
      </c>
      <c r="Y29">
        <v>-75.883124999999978</v>
      </c>
      <c r="Z29">
        <v>-302.43749999999989</v>
      </c>
      <c r="AA29">
        <v>-537.04062500000032</v>
      </c>
      <c r="AB29">
        <v>-182.44053124999999</v>
      </c>
      <c r="AC29">
        <v>-129.3406249999999</v>
      </c>
      <c r="AD29">
        <v>99.55000000000021</v>
      </c>
      <c r="AE29">
        <v>-246.04062500000009</v>
      </c>
      <c r="AF29">
        <v>317.23749999999978</v>
      </c>
      <c r="AG29">
        <v>657.45937500000014</v>
      </c>
      <c r="AH29">
        <v>-93.256250000000037</v>
      </c>
      <c r="AI29">
        <v>0</v>
      </c>
      <c r="AJ29">
        <v>0</v>
      </c>
      <c r="AK29">
        <v>0</v>
      </c>
      <c r="AL29">
        <v>0</v>
      </c>
      <c r="AM29">
        <v>0</v>
      </c>
      <c r="AN29">
        <v>0</v>
      </c>
      <c r="AO29">
        <v>0</v>
      </c>
      <c r="AP29">
        <v>0</v>
      </c>
      <c r="AQ29">
        <v>0</v>
      </c>
      <c r="AR29">
        <v>0</v>
      </c>
      <c r="AS29">
        <v>0</v>
      </c>
      <c r="AT29">
        <v>0</v>
      </c>
    </row>
    <row r="30" spans="1:46" x14ac:dyDescent="0.25">
      <c r="A30">
        <v>28</v>
      </c>
      <c r="B30">
        <v>9.3862500000000182</v>
      </c>
      <c r="C30">
        <v>0.54704670329670335</v>
      </c>
      <c r="D30">
        <v>0.18553699181211</v>
      </c>
      <c r="E30">
        <v>4.5917670820250903E-2</v>
      </c>
      <c r="F30">
        <v>4.1524206923613276</v>
      </c>
      <c r="G30">
        <v>8.5221</v>
      </c>
      <c r="H30">
        <v>-9.9765599999999992</v>
      </c>
      <c r="I30">
        <v>-12.5869</v>
      </c>
      <c r="J30">
        <v>10.362299999999999</v>
      </c>
      <c r="K30">
        <v>-2.6119500000000002</v>
      </c>
      <c r="L30">
        <v>-19.604099999999999</v>
      </c>
      <c r="M30">
        <v>29.721699999999998</v>
      </c>
      <c r="N30">
        <v>-2.0666699999999998</v>
      </c>
      <c r="O30">
        <v>-20.568300000000001</v>
      </c>
      <c r="P30">
        <v>44.520600000000002</v>
      </c>
      <c r="Q30">
        <v>-15.332100000000001</v>
      </c>
      <c r="R30">
        <v>23.7624</v>
      </c>
      <c r="S30">
        <v>24.7468</v>
      </c>
      <c r="T30">
        <v>-15.8126</v>
      </c>
      <c r="U30">
        <v>-49.977500000000013</v>
      </c>
      <c r="V30">
        <v>38.963749999999962</v>
      </c>
      <c r="W30">
        <v>23.449999999999971</v>
      </c>
      <c r="X30">
        <v>-45.725000000000023</v>
      </c>
      <c r="Y30">
        <v>-70.216249999999974</v>
      </c>
      <c r="Z30">
        <v>-302.63749999999987</v>
      </c>
      <c r="AA30">
        <v>-546.01250000000027</v>
      </c>
      <c r="AB30">
        <v>-188.99875</v>
      </c>
      <c r="AC30">
        <v>-146.8124999999998</v>
      </c>
      <c r="AD30">
        <v>85.600000000000335</v>
      </c>
      <c r="AE30">
        <v>-252.3125000000002</v>
      </c>
      <c r="AF30">
        <v>304.36249999999978</v>
      </c>
      <c r="AG30">
        <v>614.76250000000027</v>
      </c>
      <c r="AH30">
        <v>-91.737500000000026</v>
      </c>
      <c r="AI30">
        <v>0</v>
      </c>
      <c r="AJ30">
        <v>0</v>
      </c>
      <c r="AK30">
        <v>0</v>
      </c>
      <c r="AL30">
        <v>0</v>
      </c>
      <c r="AM30">
        <v>0</v>
      </c>
      <c r="AN30">
        <v>0</v>
      </c>
      <c r="AO30">
        <v>0</v>
      </c>
      <c r="AP30">
        <v>0</v>
      </c>
      <c r="AQ30">
        <v>0</v>
      </c>
      <c r="AR30">
        <v>0</v>
      </c>
      <c r="AS30">
        <v>0</v>
      </c>
      <c r="AT30">
        <v>0</v>
      </c>
    </row>
    <row r="31" spans="1:46" x14ac:dyDescent="0.25">
      <c r="A31">
        <v>29</v>
      </c>
      <c r="B31">
        <v>9.3903125000000145</v>
      </c>
      <c r="C31">
        <v>0.54678392857142855</v>
      </c>
      <c r="D31">
        <v>0.17529683921678529</v>
      </c>
      <c r="E31">
        <v>5.6881796910008942E-2</v>
      </c>
      <c r="F31">
        <v>4.1702511066350754</v>
      </c>
      <c r="G31">
        <v>8.4701199999999996</v>
      </c>
      <c r="H31">
        <v>-9.9336674999999985</v>
      </c>
      <c r="I31">
        <v>-12.558225</v>
      </c>
      <c r="J31">
        <v>10.298325</v>
      </c>
      <c r="K31">
        <v>-2.6692049999999998</v>
      </c>
      <c r="L31">
        <v>-19.903874999999999</v>
      </c>
      <c r="M31">
        <v>29.15455</v>
      </c>
      <c r="N31">
        <v>-2.2696325000000002</v>
      </c>
      <c r="O31">
        <v>-20.750975</v>
      </c>
      <c r="P31">
        <v>44.573900000000002</v>
      </c>
      <c r="Q31">
        <v>-15.594625000000001</v>
      </c>
      <c r="R31">
        <v>24.042000000000002</v>
      </c>
      <c r="S31">
        <v>25.27495</v>
      </c>
      <c r="T31">
        <v>-15.898675000000001</v>
      </c>
      <c r="U31">
        <v>-51.332187500000018</v>
      </c>
      <c r="V31">
        <v>40.758124999999922</v>
      </c>
      <c r="W31">
        <v>26.765624999999961</v>
      </c>
      <c r="X31">
        <v>-54.490312499999987</v>
      </c>
      <c r="Y31">
        <v>-63.437499999999957</v>
      </c>
      <c r="Z31">
        <v>-299.28749999999991</v>
      </c>
      <c r="AA31">
        <v>-557.74062500000014</v>
      </c>
      <c r="AB31">
        <v>-196.50156250000001</v>
      </c>
      <c r="AC31">
        <v>-164.31249999999989</v>
      </c>
      <c r="AD31">
        <v>67.93437500000006</v>
      </c>
      <c r="AE31">
        <v>-255.45312500000011</v>
      </c>
      <c r="AF31">
        <v>290.48437499999989</v>
      </c>
      <c r="AG31">
        <v>572.86250000000018</v>
      </c>
      <c r="AH31">
        <v>-87.478125000000006</v>
      </c>
      <c r="AI31">
        <v>0</v>
      </c>
      <c r="AJ31">
        <v>0</v>
      </c>
      <c r="AK31">
        <v>0</v>
      </c>
      <c r="AL31">
        <v>0</v>
      </c>
      <c r="AM31">
        <v>0</v>
      </c>
      <c r="AN31">
        <v>0</v>
      </c>
      <c r="AO31">
        <v>0</v>
      </c>
      <c r="AP31">
        <v>0</v>
      </c>
      <c r="AQ31">
        <v>0</v>
      </c>
      <c r="AR31">
        <v>0</v>
      </c>
      <c r="AS31">
        <v>0</v>
      </c>
      <c r="AT31">
        <v>0</v>
      </c>
    </row>
    <row r="32" spans="1:46" x14ac:dyDescent="0.25">
      <c r="A32">
        <v>30</v>
      </c>
      <c r="B32">
        <v>9.3943750000000108</v>
      </c>
      <c r="C32">
        <v>0.54652115384615385</v>
      </c>
      <c r="D32">
        <v>0.17120309686620119</v>
      </c>
      <c r="E32">
        <v>6.2720686650635848E-2</v>
      </c>
      <c r="F32">
        <v>4.1518030814792386</v>
      </c>
      <c r="G32">
        <v>8.4181400000000011</v>
      </c>
      <c r="H32">
        <v>-9.8907749999999997</v>
      </c>
      <c r="I32">
        <v>-12.52955</v>
      </c>
      <c r="J32">
        <v>10.234349999999999</v>
      </c>
      <c r="K32">
        <v>-2.7264599999999999</v>
      </c>
      <c r="L32">
        <v>-20.20365</v>
      </c>
      <c r="M32">
        <v>28.587399999999999</v>
      </c>
      <c r="N32">
        <v>-2.4725950000000001</v>
      </c>
      <c r="O32">
        <v>-20.93365</v>
      </c>
      <c r="P32">
        <v>44.627200000000002</v>
      </c>
      <c r="Q32">
        <v>-15.857150000000001</v>
      </c>
      <c r="R32">
        <v>24.3216</v>
      </c>
      <c r="S32">
        <v>25.803100000000001</v>
      </c>
      <c r="T32">
        <v>-15.98475</v>
      </c>
      <c r="U32">
        <v>-52.686875000000022</v>
      </c>
      <c r="V32">
        <v>42.552499999999881</v>
      </c>
      <c r="W32">
        <v>30.081249999999951</v>
      </c>
      <c r="X32">
        <v>-63.255624999999917</v>
      </c>
      <c r="Y32">
        <v>-56.658749999999984</v>
      </c>
      <c r="Z32">
        <v>-295.93749999999989</v>
      </c>
      <c r="AA32">
        <v>-569.46875</v>
      </c>
      <c r="AB32">
        <v>-204.00437500000001</v>
      </c>
      <c r="AC32">
        <v>-181.81249999999989</v>
      </c>
      <c r="AD32">
        <v>50.268749999999862</v>
      </c>
      <c r="AE32">
        <v>-258.59375000000011</v>
      </c>
      <c r="AF32">
        <v>276.60624999999987</v>
      </c>
      <c r="AG32">
        <v>530.9625000000002</v>
      </c>
      <c r="AH32">
        <v>-83.21875</v>
      </c>
      <c r="AI32">
        <v>0</v>
      </c>
      <c r="AJ32">
        <v>0</v>
      </c>
      <c r="AK32">
        <v>0</v>
      </c>
      <c r="AL32">
        <v>0</v>
      </c>
      <c r="AM32">
        <v>0</v>
      </c>
      <c r="AN32">
        <v>0</v>
      </c>
      <c r="AO32">
        <v>0</v>
      </c>
      <c r="AP32">
        <v>0</v>
      </c>
      <c r="AQ32">
        <v>0</v>
      </c>
      <c r="AR32">
        <v>0</v>
      </c>
      <c r="AS32">
        <v>0</v>
      </c>
      <c r="AT32">
        <v>0</v>
      </c>
    </row>
    <row r="33" spans="1:46" x14ac:dyDescent="0.25">
      <c r="A33">
        <v>31</v>
      </c>
      <c r="B33">
        <v>9.3984375000000071</v>
      </c>
      <c r="C33">
        <v>0.54625837912087905</v>
      </c>
      <c r="D33">
        <v>0.1791869038359622</v>
      </c>
      <c r="E33">
        <v>6.1737962969912373E-2</v>
      </c>
      <c r="F33">
        <v>4.1164076881256921</v>
      </c>
      <c r="G33">
        <v>8.3661600000000007</v>
      </c>
      <c r="H33">
        <v>-9.847882499999999</v>
      </c>
      <c r="I33">
        <v>-12.500875000000001</v>
      </c>
      <c r="J33">
        <v>10.170375</v>
      </c>
      <c r="K33">
        <v>-2.7837149999999999</v>
      </c>
      <c r="L33">
        <v>-20.503425</v>
      </c>
      <c r="M33">
        <v>28.020250000000001</v>
      </c>
      <c r="N33">
        <v>-2.6755575</v>
      </c>
      <c r="O33">
        <v>-21.116325</v>
      </c>
      <c r="P33">
        <v>44.680500000000002</v>
      </c>
      <c r="Q33">
        <v>-16.119675000000001</v>
      </c>
      <c r="R33">
        <v>24.601199999999999</v>
      </c>
      <c r="S33">
        <v>26.331250000000001</v>
      </c>
      <c r="T33">
        <v>-16.070824999999999</v>
      </c>
      <c r="U33">
        <v>-54.041562500000033</v>
      </c>
      <c r="V33">
        <v>44.346874999999841</v>
      </c>
      <c r="W33">
        <v>33.396874999999937</v>
      </c>
      <c r="X33">
        <v>-72.020937499999903</v>
      </c>
      <c r="Y33">
        <v>-49.879999999999967</v>
      </c>
      <c r="Z33">
        <v>-292.58749999999998</v>
      </c>
      <c r="AA33">
        <v>-581.19687499999986</v>
      </c>
      <c r="AB33">
        <v>-211.50718749999999</v>
      </c>
      <c r="AC33">
        <v>-199.3125</v>
      </c>
      <c r="AD33">
        <v>32.603124999999579</v>
      </c>
      <c r="AE33">
        <v>-261.734375</v>
      </c>
      <c r="AF33">
        <v>262.72812499999998</v>
      </c>
      <c r="AG33">
        <v>489.06250000000011</v>
      </c>
      <c r="AH33">
        <v>-78.959374999999994</v>
      </c>
      <c r="AI33">
        <v>0</v>
      </c>
      <c r="AJ33">
        <v>0</v>
      </c>
      <c r="AK33">
        <v>0</v>
      </c>
      <c r="AL33">
        <v>0</v>
      </c>
      <c r="AM33">
        <v>0</v>
      </c>
      <c r="AN33">
        <v>0</v>
      </c>
      <c r="AO33">
        <v>0</v>
      </c>
      <c r="AP33">
        <v>0</v>
      </c>
      <c r="AQ33">
        <v>0</v>
      </c>
      <c r="AR33">
        <v>0</v>
      </c>
      <c r="AS33">
        <v>0</v>
      </c>
      <c r="AT33">
        <v>0</v>
      </c>
    </row>
    <row r="34" spans="1:46" x14ac:dyDescent="0.25">
      <c r="A34">
        <v>32</v>
      </c>
      <c r="B34">
        <v>9.4025000000000034</v>
      </c>
      <c r="C34">
        <v>0.54599560439560435</v>
      </c>
      <c r="D34">
        <v>0.19418305977205369</v>
      </c>
      <c r="E34">
        <v>5.8605248299497502E-2</v>
      </c>
      <c r="F34">
        <v>4.0693457780676496</v>
      </c>
      <c r="G34">
        <v>8.3141800000000003</v>
      </c>
      <c r="H34">
        <v>-9.8049900000000001</v>
      </c>
      <c r="I34">
        <v>-12.472200000000001</v>
      </c>
      <c r="J34">
        <v>10.106400000000001</v>
      </c>
      <c r="K34">
        <v>-2.84097</v>
      </c>
      <c r="L34">
        <v>-20.8032</v>
      </c>
      <c r="M34">
        <v>27.453099999999999</v>
      </c>
      <c r="N34">
        <v>-2.87852</v>
      </c>
      <c r="O34">
        <v>-21.298999999999999</v>
      </c>
      <c r="P34">
        <v>44.733800000000002</v>
      </c>
      <c r="Q34">
        <v>-16.382200000000001</v>
      </c>
      <c r="R34">
        <v>24.880800000000001</v>
      </c>
      <c r="S34">
        <v>26.859400000000001</v>
      </c>
      <c r="T34">
        <v>-16.1569</v>
      </c>
      <c r="U34">
        <v>-55.396250000000038</v>
      </c>
      <c r="V34">
        <v>46.1412499999998</v>
      </c>
      <c r="W34">
        <v>36.712499999999928</v>
      </c>
      <c r="X34">
        <v>-80.786249999999839</v>
      </c>
      <c r="Y34">
        <v>-43.101249999999979</v>
      </c>
      <c r="Z34">
        <v>-289.23750000000001</v>
      </c>
      <c r="AA34">
        <v>-592.92499999999973</v>
      </c>
      <c r="AB34">
        <v>-219.01</v>
      </c>
      <c r="AC34">
        <v>-216.81250000000011</v>
      </c>
      <c r="AD34">
        <v>14.93749999999938</v>
      </c>
      <c r="AE34">
        <v>-264.87499999999989</v>
      </c>
      <c r="AF34">
        <v>248.85</v>
      </c>
      <c r="AG34">
        <v>447.16250000000008</v>
      </c>
      <c r="AH34">
        <v>-74.699999999999989</v>
      </c>
      <c r="AI34">
        <v>0</v>
      </c>
      <c r="AJ34">
        <v>0</v>
      </c>
      <c r="AK34">
        <v>0</v>
      </c>
      <c r="AL34">
        <v>0</v>
      </c>
      <c r="AM34">
        <v>0</v>
      </c>
      <c r="AN34">
        <v>0</v>
      </c>
      <c r="AO34">
        <v>0</v>
      </c>
      <c r="AP34">
        <v>0</v>
      </c>
      <c r="AQ34">
        <v>0</v>
      </c>
      <c r="AR34">
        <v>0</v>
      </c>
      <c r="AS34">
        <v>0</v>
      </c>
      <c r="AT34">
        <v>0</v>
      </c>
    </row>
    <row r="35" spans="1:46" x14ac:dyDescent="0.25">
      <c r="A35">
        <v>33</v>
      </c>
      <c r="B35">
        <v>9.4074999999999989</v>
      </c>
      <c r="C35">
        <v>0.54579065934065929</v>
      </c>
      <c r="D35">
        <v>0.21554111103646639</v>
      </c>
      <c r="E35">
        <v>5.0301639236004163E-2</v>
      </c>
      <c r="F35">
        <v>4.0165189825147216</v>
      </c>
      <c r="G35">
        <v>8.2553675000000002</v>
      </c>
      <c r="H35">
        <v>-9.7555999999999994</v>
      </c>
      <c r="I35">
        <v>-12.42745</v>
      </c>
      <c r="J35">
        <v>10.0088025</v>
      </c>
      <c r="K35">
        <v>-2.8699175000000001</v>
      </c>
      <c r="L35">
        <v>-21.081900000000001</v>
      </c>
      <c r="M35">
        <v>26.834399999999999</v>
      </c>
      <c r="N35">
        <v>-3.1135774999999999</v>
      </c>
      <c r="O35">
        <v>-21.549949999999999</v>
      </c>
      <c r="P35">
        <v>44.710374999999999</v>
      </c>
      <c r="Q35">
        <v>-16.649425000000001</v>
      </c>
      <c r="R35">
        <v>25.0989</v>
      </c>
      <c r="S35">
        <v>27.225574999999999</v>
      </c>
      <c r="T35">
        <v>-16.220224999999999</v>
      </c>
      <c r="U35">
        <v>-57.488125000000032</v>
      </c>
      <c r="V35">
        <v>47.60843749999988</v>
      </c>
      <c r="W35">
        <v>41.424999999999997</v>
      </c>
      <c r="X35">
        <v>-88.278749999999917</v>
      </c>
      <c r="Y35">
        <v>-36.397812499999972</v>
      </c>
      <c r="Z35">
        <v>-281.89999999999998</v>
      </c>
      <c r="AA35">
        <v>-606.23749999999984</v>
      </c>
      <c r="AB35">
        <v>-227.544375</v>
      </c>
      <c r="AC35">
        <v>-232.51562500000011</v>
      </c>
      <c r="AD35">
        <v>-5.0468750000005969</v>
      </c>
      <c r="AE35">
        <v>-263.29687499999989</v>
      </c>
      <c r="AF35">
        <v>229.61250000000001</v>
      </c>
      <c r="AG35">
        <v>409.22187500000001</v>
      </c>
      <c r="AH35">
        <v>-67.556249999999977</v>
      </c>
      <c r="AI35">
        <v>0</v>
      </c>
      <c r="AJ35">
        <v>0</v>
      </c>
      <c r="AK35">
        <v>0</v>
      </c>
      <c r="AL35">
        <v>0</v>
      </c>
      <c r="AM35">
        <v>0</v>
      </c>
      <c r="AN35">
        <v>0</v>
      </c>
      <c r="AO35">
        <v>0</v>
      </c>
      <c r="AP35">
        <v>0</v>
      </c>
      <c r="AQ35">
        <v>0</v>
      </c>
      <c r="AR35">
        <v>0</v>
      </c>
      <c r="AS35">
        <v>0</v>
      </c>
      <c r="AT35">
        <v>0</v>
      </c>
    </row>
    <row r="36" spans="1:46" x14ac:dyDescent="0.25">
      <c r="A36">
        <v>34</v>
      </c>
      <c r="B36">
        <v>9.4124999999999943</v>
      </c>
      <c r="C36">
        <v>0.54558571428571434</v>
      </c>
      <c r="D36">
        <v>0.24249042758170319</v>
      </c>
      <c r="E36">
        <v>3.2728505302520403E-2</v>
      </c>
      <c r="F36">
        <v>3.978898327842288</v>
      </c>
      <c r="G36">
        <v>8.196555</v>
      </c>
      <c r="H36">
        <v>-9.7062100000000004</v>
      </c>
      <c r="I36">
        <v>-12.3827</v>
      </c>
      <c r="J36">
        <v>9.9112050000000007</v>
      </c>
      <c r="K36">
        <v>-2.8988649999999998</v>
      </c>
      <c r="L36">
        <v>-21.360600000000002</v>
      </c>
      <c r="M36">
        <v>26.215699999999998</v>
      </c>
      <c r="N36">
        <v>-3.3486349999999989</v>
      </c>
      <c r="O36">
        <v>-21.800899999999999</v>
      </c>
      <c r="P36">
        <v>44.686950000000003</v>
      </c>
      <c r="Q36">
        <v>-16.916650000000001</v>
      </c>
      <c r="R36">
        <v>25.317</v>
      </c>
      <c r="S36">
        <v>27.591750000000001</v>
      </c>
      <c r="T36">
        <v>-16.283550000000002</v>
      </c>
      <c r="U36">
        <v>-59.580000000000013</v>
      </c>
      <c r="V36">
        <v>49.075624999999953</v>
      </c>
      <c r="W36">
        <v>46.137500000000038</v>
      </c>
      <c r="X36">
        <v>-95.771249999999952</v>
      </c>
      <c r="Y36">
        <v>-29.694375000000019</v>
      </c>
      <c r="Z36">
        <v>-274.56250000000011</v>
      </c>
      <c r="AA36">
        <v>-619.54999999999984</v>
      </c>
      <c r="AB36">
        <v>-236.07875000000001</v>
      </c>
      <c r="AC36">
        <v>-248.21875000000011</v>
      </c>
      <c r="AD36">
        <v>-25.03125000000043</v>
      </c>
      <c r="AE36">
        <v>-261.71875</v>
      </c>
      <c r="AF36">
        <v>210.37500000000011</v>
      </c>
      <c r="AG36">
        <v>371.28125000000011</v>
      </c>
      <c r="AH36">
        <v>-60.412500000000009</v>
      </c>
      <c r="AI36">
        <v>0</v>
      </c>
      <c r="AJ36">
        <v>0</v>
      </c>
      <c r="AK36">
        <v>0</v>
      </c>
      <c r="AL36">
        <v>0</v>
      </c>
      <c r="AM36">
        <v>0</v>
      </c>
      <c r="AN36">
        <v>0</v>
      </c>
      <c r="AO36">
        <v>0</v>
      </c>
      <c r="AP36">
        <v>0</v>
      </c>
      <c r="AQ36">
        <v>0</v>
      </c>
      <c r="AR36">
        <v>0</v>
      </c>
      <c r="AS36">
        <v>0</v>
      </c>
      <c r="AT36">
        <v>0</v>
      </c>
    </row>
    <row r="37" spans="1:46" x14ac:dyDescent="0.25">
      <c r="A37">
        <v>35</v>
      </c>
      <c r="B37">
        <v>9.4174999999999898</v>
      </c>
      <c r="C37">
        <v>0.54538076923076928</v>
      </c>
      <c r="D37">
        <v>0.27080031685475092</v>
      </c>
      <c r="E37">
        <v>1.7488332446825239E-2</v>
      </c>
      <c r="F37">
        <v>3.9463200209350489</v>
      </c>
      <c r="G37">
        <v>8.1377424999999999</v>
      </c>
      <c r="H37">
        <v>-9.6568200000000015</v>
      </c>
      <c r="I37">
        <v>-12.337949999999999</v>
      </c>
      <c r="J37">
        <v>9.8136075000000016</v>
      </c>
      <c r="K37">
        <v>-2.9278124999999999</v>
      </c>
      <c r="L37">
        <v>-21.639299999999999</v>
      </c>
      <c r="M37">
        <v>25.597000000000001</v>
      </c>
      <c r="N37">
        <v>-3.5836925000000002</v>
      </c>
      <c r="O37">
        <v>-22.051850000000002</v>
      </c>
      <c r="P37">
        <v>44.663525</v>
      </c>
      <c r="Q37">
        <v>-17.183875</v>
      </c>
      <c r="R37">
        <v>25.5351</v>
      </c>
      <c r="S37">
        <v>27.957924999999999</v>
      </c>
      <c r="T37">
        <v>-16.346875000000001</v>
      </c>
      <c r="U37">
        <v>-61.671875000000007</v>
      </c>
      <c r="V37">
        <v>50.542812500000032</v>
      </c>
      <c r="W37">
        <v>50.850000000000108</v>
      </c>
      <c r="X37">
        <v>-103.26375</v>
      </c>
      <c r="Y37">
        <v>-22.990937500000019</v>
      </c>
      <c r="Z37">
        <v>-267.22500000000002</v>
      </c>
      <c r="AA37">
        <v>-632.86249999999984</v>
      </c>
      <c r="AB37">
        <v>-244.61312499999991</v>
      </c>
      <c r="AC37">
        <v>-263.92187500000023</v>
      </c>
      <c r="AD37">
        <v>-45.015625000000419</v>
      </c>
      <c r="AE37">
        <v>-260.140625</v>
      </c>
      <c r="AF37">
        <v>191.13749999999999</v>
      </c>
      <c r="AG37">
        <v>333.34062499999999</v>
      </c>
      <c r="AH37">
        <v>-53.26874999999999</v>
      </c>
      <c r="AI37">
        <v>0</v>
      </c>
      <c r="AJ37">
        <v>0</v>
      </c>
      <c r="AK37">
        <v>0</v>
      </c>
      <c r="AL37">
        <v>0</v>
      </c>
      <c r="AM37">
        <v>0</v>
      </c>
      <c r="AN37">
        <v>0</v>
      </c>
      <c r="AO37">
        <v>0</v>
      </c>
      <c r="AP37">
        <v>0</v>
      </c>
      <c r="AQ37">
        <v>0</v>
      </c>
      <c r="AR37">
        <v>0</v>
      </c>
      <c r="AS37">
        <v>0</v>
      </c>
      <c r="AT37">
        <v>0</v>
      </c>
    </row>
    <row r="38" spans="1:46" x14ac:dyDescent="0.25">
      <c r="A38">
        <v>36</v>
      </c>
      <c r="B38">
        <v>9.4224999999999852</v>
      </c>
      <c r="C38">
        <v>0.54517582417582422</v>
      </c>
      <c r="D38">
        <v>0.29608459443124302</v>
      </c>
      <c r="E38">
        <v>7.4630848281142543E-3</v>
      </c>
      <c r="F38">
        <v>3.9175308277075089</v>
      </c>
      <c r="G38">
        <v>8.0789299999999997</v>
      </c>
      <c r="H38">
        <v>-9.6074300000000008</v>
      </c>
      <c r="I38">
        <v>-12.293200000000001</v>
      </c>
      <c r="J38">
        <v>9.7160100000000007</v>
      </c>
      <c r="K38">
        <v>-2.9567600000000001</v>
      </c>
      <c r="L38">
        <v>-21.917999999999999</v>
      </c>
      <c r="M38">
        <v>24.978300000000001</v>
      </c>
      <c r="N38">
        <v>-3.8187500000000001</v>
      </c>
      <c r="O38">
        <v>-22.302800000000001</v>
      </c>
      <c r="P38">
        <v>44.640099999999997</v>
      </c>
      <c r="Q38">
        <v>-17.4511</v>
      </c>
      <c r="R38">
        <v>25.7532</v>
      </c>
      <c r="S38">
        <v>28.324100000000001</v>
      </c>
      <c r="T38">
        <v>-16.4102</v>
      </c>
      <c r="U38">
        <v>-63.763750000000009</v>
      </c>
      <c r="V38">
        <v>52.010000000000112</v>
      </c>
      <c r="W38">
        <v>55.562500000000178</v>
      </c>
      <c r="X38">
        <v>-110.75625000000009</v>
      </c>
      <c r="Y38">
        <v>-16.287500000000009</v>
      </c>
      <c r="Z38">
        <v>-259.88749999999999</v>
      </c>
      <c r="AA38">
        <v>-646.17499999999995</v>
      </c>
      <c r="AB38">
        <v>-253.14750000000001</v>
      </c>
      <c r="AC38">
        <v>-279.62500000000023</v>
      </c>
      <c r="AD38">
        <v>-65.000000000000384</v>
      </c>
      <c r="AE38">
        <v>-258.5625</v>
      </c>
      <c r="AF38">
        <v>171.89999999999989</v>
      </c>
      <c r="AG38">
        <v>295.39999999999992</v>
      </c>
      <c r="AH38">
        <v>-46.124999999999972</v>
      </c>
      <c r="AI38">
        <v>0</v>
      </c>
      <c r="AJ38">
        <v>0</v>
      </c>
      <c r="AK38">
        <v>0</v>
      </c>
      <c r="AL38">
        <v>0</v>
      </c>
      <c r="AM38">
        <v>0</v>
      </c>
      <c r="AN38">
        <v>0</v>
      </c>
      <c r="AO38">
        <v>0</v>
      </c>
      <c r="AP38">
        <v>0</v>
      </c>
      <c r="AQ38">
        <v>0</v>
      </c>
      <c r="AR38">
        <v>0</v>
      </c>
      <c r="AS38">
        <v>0</v>
      </c>
      <c r="AT38">
        <v>0</v>
      </c>
    </row>
    <row r="39" spans="1:46" x14ac:dyDescent="0.25">
      <c r="A39">
        <v>37</v>
      </c>
      <c r="B39">
        <v>9.428437499999994</v>
      </c>
      <c r="C39">
        <v>0.54502980769230769</v>
      </c>
      <c r="D39">
        <v>0.31878424529998711</v>
      </c>
      <c r="E39">
        <v>5.9361932575515194E-3</v>
      </c>
      <c r="F39">
        <v>3.8777114443585772</v>
      </c>
      <c r="G39">
        <v>8.0102150000000005</v>
      </c>
      <c r="H39">
        <v>-9.5527999999999995</v>
      </c>
      <c r="I39">
        <v>-12.226825</v>
      </c>
      <c r="J39">
        <v>9.5920950000000005</v>
      </c>
      <c r="K39">
        <v>-2.9603874999999999</v>
      </c>
      <c r="L39">
        <v>-22.159075000000001</v>
      </c>
      <c r="M39">
        <v>24.304649999999999</v>
      </c>
      <c r="N39">
        <v>-4.0899875000000003</v>
      </c>
      <c r="O39">
        <v>-22.6111</v>
      </c>
      <c r="P39">
        <v>44.533524999999997</v>
      </c>
      <c r="Q39">
        <v>-17.701000000000001</v>
      </c>
      <c r="R39">
        <v>25.878900000000002</v>
      </c>
      <c r="S39">
        <v>28.548725000000001</v>
      </c>
      <c r="T39">
        <v>-16.439125000000001</v>
      </c>
      <c r="U39">
        <v>-66.630937499999987</v>
      </c>
      <c r="V39">
        <v>53.189375000000098</v>
      </c>
      <c r="W39">
        <v>61.609375000000142</v>
      </c>
      <c r="X39">
        <v>-115.9459375000001</v>
      </c>
      <c r="Y39">
        <v>-11.03031249999999</v>
      </c>
      <c r="Z39">
        <v>-248.44375000000011</v>
      </c>
      <c r="AA39">
        <v>-659.515625</v>
      </c>
      <c r="AB39">
        <v>-262.55093749999997</v>
      </c>
      <c r="AC39">
        <v>-291.7312500000001</v>
      </c>
      <c r="AD39">
        <v>-85.903125000000216</v>
      </c>
      <c r="AE39">
        <v>-250.8249999999999</v>
      </c>
      <c r="AF39">
        <v>143.34999999999991</v>
      </c>
      <c r="AG39">
        <v>262.87187499999982</v>
      </c>
      <c r="AH39">
        <v>-36.187500000000021</v>
      </c>
      <c r="AI39">
        <v>0</v>
      </c>
      <c r="AJ39">
        <v>0</v>
      </c>
      <c r="AK39">
        <v>0</v>
      </c>
      <c r="AL39">
        <v>0</v>
      </c>
      <c r="AM39">
        <v>0</v>
      </c>
      <c r="AN39">
        <v>0</v>
      </c>
      <c r="AO39">
        <v>0</v>
      </c>
      <c r="AP39">
        <v>0</v>
      </c>
      <c r="AQ39">
        <v>0</v>
      </c>
      <c r="AR39">
        <v>0</v>
      </c>
      <c r="AS39">
        <v>0</v>
      </c>
      <c r="AT39">
        <v>0</v>
      </c>
    </row>
    <row r="40" spans="1:46" x14ac:dyDescent="0.25">
      <c r="A40">
        <v>38</v>
      </c>
      <c r="B40">
        <v>9.4343750000000028</v>
      </c>
      <c r="C40">
        <v>0.54488379120879127</v>
      </c>
      <c r="D40">
        <v>0.33465568910657029</v>
      </c>
      <c r="E40">
        <v>6.1806496081823811E-3</v>
      </c>
      <c r="F40">
        <v>3.8425341204651482</v>
      </c>
      <c r="G40">
        <v>7.9414999999999996</v>
      </c>
      <c r="H40">
        <v>-9.49817</v>
      </c>
      <c r="I40">
        <v>-12.160450000000001</v>
      </c>
      <c r="J40">
        <v>9.4681800000000003</v>
      </c>
      <c r="K40">
        <v>-2.9640149999999998</v>
      </c>
      <c r="L40">
        <v>-22.40015</v>
      </c>
      <c r="M40">
        <v>23.631</v>
      </c>
      <c r="N40">
        <v>-4.3612249999999992</v>
      </c>
      <c r="O40">
        <v>-22.9194</v>
      </c>
      <c r="P40">
        <v>44.426949999999998</v>
      </c>
      <c r="Q40">
        <v>-17.950900000000001</v>
      </c>
      <c r="R40">
        <v>26.0046</v>
      </c>
      <c r="S40">
        <v>28.773350000000001</v>
      </c>
      <c r="T40">
        <v>-16.468050000000002</v>
      </c>
      <c r="U40">
        <v>-69.498124999999959</v>
      </c>
      <c r="V40">
        <v>54.36875000000007</v>
      </c>
      <c r="W40">
        <v>67.656250000000057</v>
      </c>
      <c r="X40">
        <v>-121.1356250000001</v>
      </c>
      <c r="Y40">
        <v>-5.7731250000000074</v>
      </c>
      <c r="Z40">
        <v>-237.00000000000011</v>
      </c>
      <c r="AA40">
        <v>-672.85624999999993</v>
      </c>
      <c r="AB40">
        <v>-271.95437500000003</v>
      </c>
      <c r="AC40">
        <v>-303.83749999999992</v>
      </c>
      <c r="AD40">
        <v>-106.80624999999991</v>
      </c>
      <c r="AE40">
        <v>-243.08749999999989</v>
      </c>
      <c r="AF40">
        <v>114.8000000000001</v>
      </c>
      <c r="AG40">
        <v>230.34374999999989</v>
      </c>
      <c r="AH40">
        <v>-26.250000000000139</v>
      </c>
      <c r="AI40">
        <v>0</v>
      </c>
      <c r="AJ40">
        <v>0</v>
      </c>
      <c r="AK40">
        <v>0</v>
      </c>
      <c r="AL40">
        <v>0</v>
      </c>
      <c r="AM40">
        <v>0</v>
      </c>
      <c r="AN40">
        <v>0</v>
      </c>
      <c r="AO40">
        <v>0</v>
      </c>
      <c r="AP40">
        <v>0</v>
      </c>
      <c r="AQ40">
        <v>0</v>
      </c>
      <c r="AR40">
        <v>0</v>
      </c>
      <c r="AS40">
        <v>0</v>
      </c>
      <c r="AT40">
        <v>0</v>
      </c>
    </row>
    <row r="41" spans="1:46" x14ac:dyDescent="0.25">
      <c r="A41">
        <v>39</v>
      </c>
      <c r="B41">
        <v>9.4403125000000117</v>
      </c>
      <c r="C41">
        <v>0.54473777472527485</v>
      </c>
      <c r="D41">
        <v>0.34985778374097182</v>
      </c>
      <c r="E41">
        <v>1.097492681131741E-2</v>
      </c>
      <c r="F41">
        <v>3.8093462154032962</v>
      </c>
      <c r="G41">
        <v>7.8727850000000004</v>
      </c>
      <c r="H41">
        <v>-9.4435400000000005</v>
      </c>
      <c r="I41">
        <v>-12.094075</v>
      </c>
      <c r="J41">
        <v>9.344265</v>
      </c>
      <c r="K41">
        <v>-2.9676425000000002</v>
      </c>
      <c r="L41">
        <v>-22.641224999999999</v>
      </c>
      <c r="M41">
        <v>22.957350000000002</v>
      </c>
      <c r="N41">
        <v>-4.632462499999999</v>
      </c>
      <c r="O41">
        <v>-23.227699999999999</v>
      </c>
      <c r="P41">
        <v>44.320374999999999</v>
      </c>
      <c r="Q41">
        <v>-18.200800000000001</v>
      </c>
      <c r="R41">
        <v>26.130299999999998</v>
      </c>
      <c r="S41">
        <v>28.997975</v>
      </c>
      <c r="T41">
        <v>-16.496974999999999</v>
      </c>
      <c r="U41">
        <v>-72.365312499999931</v>
      </c>
      <c r="V41">
        <v>55.548125000000063</v>
      </c>
      <c r="W41">
        <v>73.703125000000028</v>
      </c>
      <c r="X41">
        <v>-126.32531250000009</v>
      </c>
      <c r="Y41">
        <v>-0.51593749999998906</v>
      </c>
      <c r="Z41">
        <v>-225.55625000000009</v>
      </c>
      <c r="AA41">
        <v>-686.19687499999986</v>
      </c>
      <c r="AB41">
        <v>-281.35781250000002</v>
      </c>
      <c r="AC41">
        <v>-315.94374999999991</v>
      </c>
      <c r="AD41">
        <v>-127.7093749999998</v>
      </c>
      <c r="AE41">
        <v>-235.3499999999998</v>
      </c>
      <c r="AF41">
        <v>86.250000000000085</v>
      </c>
      <c r="AG41">
        <v>197.8156249999999</v>
      </c>
      <c r="AH41">
        <v>-16.312500000000188</v>
      </c>
      <c r="AI41">
        <v>0</v>
      </c>
      <c r="AJ41">
        <v>0</v>
      </c>
      <c r="AK41">
        <v>0</v>
      </c>
      <c r="AL41">
        <v>0</v>
      </c>
      <c r="AM41">
        <v>0</v>
      </c>
      <c r="AN41">
        <v>0</v>
      </c>
      <c r="AO41">
        <v>0</v>
      </c>
      <c r="AP41">
        <v>0</v>
      </c>
      <c r="AQ41">
        <v>0</v>
      </c>
      <c r="AR41">
        <v>0</v>
      </c>
      <c r="AS41">
        <v>0</v>
      </c>
      <c r="AT41">
        <v>0</v>
      </c>
    </row>
    <row r="42" spans="1:46" x14ac:dyDescent="0.25">
      <c r="A42">
        <v>40</v>
      </c>
      <c r="B42">
        <v>9.4462500000000205</v>
      </c>
      <c r="C42">
        <v>0.54459175824175832</v>
      </c>
      <c r="D42">
        <v>0.35777274869186138</v>
      </c>
      <c r="E42">
        <v>1.609529983369325E-2</v>
      </c>
      <c r="F42">
        <v>3.785610413727329</v>
      </c>
      <c r="G42">
        <v>7.8040700000000003</v>
      </c>
      <c r="H42">
        <v>-9.3889099999999992</v>
      </c>
      <c r="I42">
        <v>-12.027699999999999</v>
      </c>
      <c r="J42">
        <v>9.2203499999999998</v>
      </c>
      <c r="K42">
        <v>-2.9712700000000001</v>
      </c>
      <c r="L42">
        <v>-22.882300000000001</v>
      </c>
      <c r="M42">
        <v>22.2837</v>
      </c>
      <c r="N42">
        <v>-4.9036999999999997</v>
      </c>
      <c r="O42">
        <v>-23.536000000000001</v>
      </c>
      <c r="P42">
        <v>44.213799999999999</v>
      </c>
      <c r="Q42">
        <v>-18.450700000000001</v>
      </c>
      <c r="R42">
        <v>26.256</v>
      </c>
      <c r="S42">
        <v>29.2226</v>
      </c>
      <c r="T42">
        <v>-16.5259</v>
      </c>
      <c r="U42">
        <v>-75.232499999999916</v>
      </c>
      <c r="V42">
        <v>56.727500000000042</v>
      </c>
      <c r="W42">
        <v>79.749999999999986</v>
      </c>
      <c r="X42">
        <v>-131.51499999999999</v>
      </c>
      <c r="Y42">
        <v>4.7412500000000302</v>
      </c>
      <c r="Z42">
        <v>-214.11250000000021</v>
      </c>
      <c r="AA42">
        <v>-699.53749999999991</v>
      </c>
      <c r="AB42">
        <v>-290.76125000000002</v>
      </c>
      <c r="AC42">
        <v>-328.04999999999973</v>
      </c>
      <c r="AD42">
        <v>-148.61249999999961</v>
      </c>
      <c r="AE42">
        <v>-227.61249999999981</v>
      </c>
      <c r="AF42">
        <v>57.700000000000081</v>
      </c>
      <c r="AG42">
        <v>165.2874999999998</v>
      </c>
      <c r="AH42">
        <v>-6.3750000000002416</v>
      </c>
      <c r="AI42">
        <v>0</v>
      </c>
      <c r="AJ42">
        <v>0</v>
      </c>
      <c r="AK42">
        <v>0</v>
      </c>
      <c r="AL42">
        <v>0</v>
      </c>
      <c r="AM42">
        <v>0</v>
      </c>
      <c r="AN42">
        <v>0</v>
      </c>
      <c r="AO42">
        <v>0</v>
      </c>
      <c r="AP42">
        <v>0</v>
      </c>
      <c r="AQ42">
        <v>0</v>
      </c>
      <c r="AR42">
        <v>0</v>
      </c>
      <c r="AS42">
        <v>0</v>
      </c>
      <c r="AT42">
        <v>0</v>
      </c>
    </row>
    <row r="43" spans="1:46" x14ac:dyDescent="0.25">
      <c r="A43">
        <v>41</v>
      </c>
      <c r="B43">
        <v>9.4528125000000145</v>
      </c>
      <c r="C43">
        <v>0.5445048076923078</v>
      </c>
      <c r="D43">
        <v>0.36375784786724003</v>
      </c>
      <c r="E43">
        <v>2.25357046634856E-2</v>
      </c>
      <c r="F43">
        <v>3.7571634908614762</v>
      </c>
      <c r="G43">
        <v>7.7223200000000007</v>
      </c>
      <c r="H43">
        <v>-9.3300850000000004</v>
      </c>
      <c r="I43">
        <v>-11.934575000000001</v>
      </c>
      <c r="J43">
        <v>9.0812350000000013</v>
      </c>
      <c r="K43">
        <v>-2.9581599999999999</v>
      </c>
      <c r="L43">
        <v>-23.06945</v>
      </c>
      <c r="M43">
        <v>21.558275000000009</v>
      </c>
      <c r="N43">
        <v>-5.2139849999999983</v>
      </c>
      <c r="O43">
        <v>-23.883800000000001</v>
      </c>
      <c r="P43">
        <v>44.023150000000001</v>
      </c>
      <c r="Q43">
        <v>-18.656025</v>
      </c>
      <c r="R43">
        <v>26.245699999999999</v>
      </c>
      <c r="S43">
        <v>29.32855</v>
      </c>
      <c r="T43">
        <v>-16.509725</v>
      </c>
      <c r="U43">
        <v>-78.849062499999931</v>
      </c>
      <c r="V43">
        <v>57.685625000000023</v>
      </c>
      <c r="W43">
        <v>86.996874999999932</v>
      </c>
      <c r="X43">
        <v>-133.63437500000001</v>
      </c>
      <c r="Y43">
        <v>7.3043750000000163</v>
      </c>
      <c r="Z43">
        <v>-198.85937500000011</v>
      </c>
      <c r="AA43">
        <v>-711.43749999999989</v>
      </c>
      <c r="AB43">
        <v>-300.55124999999998</v>
      </c>
      <c r="AC43">
        <v>-335.09687499999973</v>
      </c>
      <c r="AD43">
        <v>-169.14374999999961</v>
      </c>
      <c r="AE43">
        <v>-212.78124999999989</v>
      </c>
      <c r="AF43">
        <v>18.57812500000021</v>
      </c>
      <c r="AG43">
        <v>137.98750000000001</v>
      </c>
      <c r="AH43">
        <v>5.918749999999795</v>
      </c>
      <c r="AI43">
        <v>0</v>
      </c>
      <c r="AJ43">
        <v>0</v>
      </c>
      <c r="AK43">
        <v>0</v>
      </c>
      <c r="AL43">
        <v>0</v>
      </c>
      <c r="AM43">
        <v>0</v>
      </c>
      <c r="AN43">
        <v>0</v>
      </c>
      <c r="AO43">
        <v>0</v>
      </c>
      <c r="AP43">
        <v>0</v>
      </c>
      <c r="AQ43">
        <v>0</v>
      </c>
      <c r="AR43">
        <v>0</v>
      </c>
      <c r="AS43">
        <v>0</v>
      </c>
      <c r="AT43">
        <v>0</v>
      </c>
    </row>
    <row r="44" spans="1:46" x14ac:dyDescent="0.25">
      <c r="A44">
        <v>42</v>
      </c>
      <c r="B44">
        <v>9.4593750000000085</v>
      </c>
      <c r="C44">
        <v>0.54441785714285718</v>
      </c>
      <c r="D44">
        <v>0.37448729385902341</v>
      </c>
      <c r="E44">
        <v>2.673391195149806E-2</v>
      </c>
      <c r="F44">
        <v>3.7139234052647181</v>
      </c>
      <c r="G44">
        <v>7.6405700000000003</v>
      </c>
      <c r="H44">
        <v>-9.2712599999999998</v>
      </c>
      <c r="I44">
        <v>-11.84145</v>
      </c>
      <c r="J44">
        <v>8.942120000000001</v>
      </c>
      <c r="K44">
        <v>-2.9450500000000002</v>
      </c>
      <c r="L44">
        <v>-23.256599999999999</v>
      </c>
      <c r="M44">
        <v>20.832850000000001</v>
      </c>
      <c r="N44">
        <v>-5.5242699999999987</v>
      </c>
      <c r="O44">
        <v>-24.2316</v>
      </c>
      <c r="P44">
        <v>43.832500000000003</v>
      </c>
      <c r="Q44">
        <v>-18.861350000000002</v>
      </c>
      <c r="R44">
        <v>26.235399999999998</v>
      </c>
      <c r="S44">
        <v>29.4345</v>
      </c>
      <c r="T44">
        <v>-16.493549999999999</v>
      </c>
      <c r="U44">
        <v>-82.465624999999974</v>
      </c>
      <c r="V44">
        <v>58.64374999999999</v>
      </c>
      <c r="W44">
        <v>94.243749999999935</v>
      </c>
      <c r="X44">
        <v>-135.75375</v>
      </c>
      <c r="Y44">
        <v>9.867500000000021</v>
      </c>
      <c r="Z44">
        <v>-183.60624999999999</v>
      </c>
      <c r="AA44">
        <v>-723.33749999999998</v>
      </c>
      <c r="AB44">
        <v>-310.34125</v>
      </c>
      <c r="AC44">
        <v>-342.14374999999973</v>
      </c>
      <c r="AD44">
        <v>-189.6749999999997</v>
      </c>
      <c r="AE44">
        <v>-197.9499999999999</v>
      </c>
      <c r="AF44">
        <v>-20.543749999999939</v>
      </c>
      <c r="AG44">
        <v>110.6874999999999</v>
      </c>
      <c r="AH44">
        <v>18.21249999999992</v>
      </c>
      <c r="AI44">
        <v>0</v>
      </c>
      <c r="AJ44">
        <v>0</v>
      </c>
      <c r="AK44">
        <v>0</v>
      </c>
      <c r="AL44">
        <v>0</v>
      </c>
      <c r="AM44">
        <v>0</v>
      </c>
      <c r="AN44">
        <v>0</v>
      </c>
      <c r="AO44">
        <v>0</v>
      </c>
      <c r="AP44">
        <v>0</v>
      </c>
      <c r="AQ44">
        <v>0</v>
      </c>
      <c r="AR44">
        <v>0</v>
      </c>
      <c r="AS44">
        <v>0</v>
      </c>
      <c r="AT44">
        <v>0</v>
      </c>
    </row>
    <row r="45" spans="1:46" x14ac:dyDescent="0.25">
      <c r="A45">
        <v>43</v>
      </c>
      <c r="B45">
        <v>9.4659375000000026</v>
      </c>
      <c r="C45">
        <v>0.54433090659340666</v>
      </c>
      <c r="D45">
        <v>0.38269975506564241</v>
      </c>
      <c r="E45">
        <v>3.1702186583249838E-2</v>
      </c>
      <c r="F45">
        <v>3.6941083290365202</v>
      </c>
      <c r="G45">
        <v>7.5588200000000008</v>
      </c>
      <c r="H45">
        <v>-9.212435000000001</v>
      </c>
      <c r="I45">
        <v>-11.748324999999999</v>
      </c>
      <c r="J45">
        <v>8.8030050000000006</v>
      </c>
      <c r="K45">
        <v>-2.93194</v>
      </c>
      <c r="L45">
        <v>-23.443750000000001</v>
      </c>
      <c r="M45">
        <v>20.107424999999999</v>
      </c>
      <c r="N45">
        <v>-5.8345549999999999</v>
      </c>
      <c r="O45">
        <v>-24.5794</v>
      </c>
      <c r="P45">
        <v>43.641849999999998</v>
      </c>
      <c r="Q45">
        <v>-19.066675</v>
      </c>
      <c r="R45">
        <v>26.225100000000001</v>
      </c>
      <c r="S45">
        <v>29.54045</v>
      </c>
      <c r="T45">
        <v>-16.477374999999999</v>
      </c>
      <c r="U45">
        <v>-86.082187500000003</v>
      </c>
      <c r="V45">
        <v>59.601874999999957</v>
      </c>
      <c r="W45">
        <v>101.49062499999989</v>
      </c>
      <c r="X45">
        <v>-137.87312499999999</v>
      </c>
      <c r="Y45">
        <v>12.43062500000002</v>
      </c>
      <c r="Z45">
        <v>-168.35312499999989</v>
      </c>
      <c r="AA45">
        <v>-735.23749999999995</v>
      </c>
      <c r="AB45">
        <v>-320.13125000000002</v>
      </c>
      <c r="AC45">
        <v>-349.19062499999973</v>
      </c>
      <c r="AD45">
        <v>-210.2062499999999</v>
      </c>
      <c r="AE45">
        <v>-183.11874999999989</v>
      </c>
      <c r="AF45">
        <v>-59.665625000000077</v>
      </c>
      <c r="AG45">
        <v>83.387499999999875</v>
      </c>
      <c r="AH45">
        <v>30.506250000000041</v>
      </c>
      <c r="AI45">
        <v>0</v>
      </c>
      <c r="AJ45">
        <v>0</v>
      </c>
      <c r="AK45">
        <v>0</v>
      </c>
      <c r="AL45">
        <v>0</v>
      </c>
      <c r="AM45">
        <v>0</v>
      </c>
      <c r="AN45">
        <v>0</v>
      </c>
      <c r="AO45">
        <v>0</v>
      </c>
      <c r="AP45">
        <v>0</v>
      </c>
      <c r="AQ45">
        <v>0</v>
      </c>
      <c r="AR45">
        <v>0</v>
      </c>
      <c r="AS45">
        <v>0</v>
      </c>
      <c r="AT45">
        <v>0</v>
      </c>
    </row>
    <row r="46" spans="1:46" x14ac:dyDescent="0.25">
      <c r="A46">
        <v>44</v>
      </c>
      <c r="B46">
        <v>9.4724999999999966</v>
      </c>
      <c r="C46">
        <v>0.54424395604395603</v>
      </c>
      <c r="D46">
        <v>0.39695424061914802</v>
      </c>
      <c r="E46">
        <v>3.3634236461490538E-2</v>
      </c>
      <c r="F46">
        <v>3.6557029999269242</v>
      </c>
      <c r="G46">
        <v>7.4770700000000003</v>
      </c>
      <c r="H46">
        <v>-9.1536100000000005</v>
      </c>
      <c r="I46">
        <v>-11.655200000000001</v>
      </c>
      <c r="J46">
        <v>8.6638900000000003</v>
      </c>
      <c r="K46">
        <v>-2.9188299999999998</v>
      </c>
      <c r="L46">
        <v>-23.6309</v>
      </c>
      <c r="M46">
        <v>19.382000000000001</v>
      </c>
      <c r="N46">
        <v>-6.1448400000000003</v>
      </c>
      <c r="O46">
        <v>-24.927199999999999</v>
      </c>
      <c r="P46">
        <v>43.4512</v>
      </c>
      <c r="Q46">
        <v>-19.271999999999998</v>
      </c>
      <c r="R46">
        <v>26.2148</v>
      </c>
      <c r="S46">
        <v>29.6464</v>
      </c>
      <c r="T46">
        <v>-16.461200000000002</v>
      </c>
      <c r="U46">
        <v>-89.698750000000047</v>
      </c>
      <c r="V46">
        <v>60.559999999999953</v>
      </c>
      <c r="W46">
        <v>108.7374999999999</v>
      </c>
      <c r="X46">
        <v>-139.99249999999989</v>
      </c>
      <c r="Y46">
        <v>14.993750000000031</v>
      </c>
      <c r="Z46">
        <v>-153.0999999999998</v>
      </c>
      <c r="AA46">
        <v>-747.13750000000005</v>
      </c>
      <c r="AB46">
        <v>-329.92124999999999</v>
      </c>
      <c r="AC46">
        <v>-356.23749999999973</v>
      </c>
      <c r="AD46">
        <v>-230.73750000000001</v>
      </c>
      <c r="AE46">
        <v>-168.28749999999991</v>
      </c>
      <c r="AF46">
        <v>-98.78750000000025</v>
      </c>
      <c r="AG46">
        <v>56.087499999999842</v>
      </c>
      <c r="AH46">
        <v>42.800000000000168</v>
      </c>
      <c r="AI46">
        <v>0</v>
      </c>
      <c r="AJ46">
        <v>0</v>
      </c>
      <c r="AK46">
        <v>0</v>
      </c>
      <c r="AL46">
        <v>0</v>
      </c>
      <c r="AM46">
        <v>0</v>
      </c>
      <c r="AN46">
        <v>0</v>
      </c>
      <c r="AO46">
        <v>0</v>
      </c>
      <c r="AP46">
        <v>0</v>
      </c>
      <c r="AQ46">
        <v>0</v>
      </c>
      <c r="AR46">
        <v>0</v>
      </c>
      <c r="AS46">
        <v>0</v>
      </c>
      <c r="AT46">
        <v>0</v>
      </c>
    </row>
    <row r="47" spans="1:46" x14ac:dyDescent="0.25">
      <c r="A47">
        <v>45</v>
      </c>
      <c r="B47">
        <v>9.4790624999999977</v>
      </c>
      <c r="C47">
        <v>0.54421483516483515</v>
      </c>
      <c r="D47">
        <v>0.41617734161724818</v>
      </c>
      <c r="E47">
        <v>3.6138405233493202E-2</v>
      </c>
      <c r="F47">
        <v>3.6091829895404821</v>
      </c>
      <c r="G47">
        <v>7.3794225000000004</v>
      </c>
      <c r="H47">
        <v>-9.0913149999999998</v>
      </c>
      <c r="I47">
        <v>-11.530849999999999</v>
      </c>
      <c r="J47">
        <v>8.5230200000000007</v>
      </c>
      <c r="K47">
        <v>-2.9019525000000002</v>
      </c>
      <c r="L47">
        <v>-23.749949999999998</v>
      </c>
      <c r="M47">
        <v>18.613150000000001</v>
      </c>
      <c r="N47">
        <v>-6.4943974999999989</v>
      </c>
      <c r="O47">
        <v>-25.291875000000001</v>
      </c>
      <c r="P47">
        <v>43.180374999999998</v>
      </c>
      <c r="Q47">
        <v>-19.40325</v>
      </c>
      <c r="R47">
        <v>26.027525000000001</v>
      </c>
      <c r="S47">
        <v>29.652625</v>
      </c>
      <c r="T47">
        <v>-16.391774999999999</v>
      </c>
      <c r="U47">
        <v>-93.979062500000026</v>
      </c>
      <c r="V47">
        <v>61.377187499999977</v>
      </c>
      <c r="W47">
        <v>116.97812499999991</v>
      </c>
      <c r="X47">
        <v>-138.64625000000001</v>
      </c>
      <c r="Y47">
        <v>14.05000000000002</v>
      </c>
      <c r="Z47">
        <v>-134.7374999999999</v>
      </c>
      <c r="AA47">
        <v>-756.55312500000002</v>
      </c>
      <c r="AB47">
        <v>-339.28</v>
      </c>
      <c r="AC47">
        <v>-357.43749999999977</v>
      </c>
      <c r="AD47">
        <v>-249.81249999999989</v>
      </c>
      <c r="AE47">
        <v>-146.32812500000011</v>
      </c>
      <c r="AF47">
        <v>-145.6</v>
      </c>
      <c r="AG47">
        <v>32.09375</v>
      </c>
      <c r="AH47">
        <v>56.506250000000151</v>
      </c>
      <c r="AI47">
        <v>0</v>
      </c>
      <c r="AJ47">
        <v>0</v>
      </c>
      <c r="AK47">
        <v>0</v>
      </c>
      <c r="AL47">
        <v>0</v>
      </c>
      <c r="AM47">
        <v>0</v>
      </c>
      <c r="AN47">
        <v>0</v>
      </c>
      <c r="AO47">
        <v>0</v>
      </c>
      <c r="AP47">
        <v>0</v>
      </c>
      <c r="AQ47">
        <v>0</v>
      </c>
      <c r="AR47">
        <v>0</v>
      </c>
      <c r="AS47">
        <v>0</v>
      </c>
      <c r="AT47">
        <v>0</v>
      </c>
    </row>
    <row r="48" spans="1:46" x14ac:dyDescent="0.25">
      <c r="A48">
        <v>46</v>
      </c>
      <c r="B48">
        <v>9.4856249999999989</v>
      </c>
      <c r="C48">
        <v>0.54418571428571427</v>
      </c>
      <c r="D48">
        <v>0.43756982077986678</v>
      </c>
      <c r="E48">
        <v>3.7944373213325347E-2</v>
      </c>
      <c r="F48">
        <v>3.560037415022784</v>
      </c>
      <c r="G48">
        <v>7.2817749999999997</v>
      </c>
      <c r="H48">
        <v>-9.0290199999999992</v>
      </c>
      <c r="I48">
        <v>-11.406499999999999</v>
      </c>
      <c r="J48">
        <v>8.3821499999999993</v>
      </c>
      <c r="K48">
        <v>-2.8850750000000001</v>
      </c>
      <c r="L48">
        <v>-23.869</v>
      </c>
      <c r="M48">
        <v>17.8443</v>
      </c>
      <c r="N48">
        <v>-6.8439550000000002</v>
      </c>
      <c r="O48">
        <v>-25.656549999999999</v>
      </c>
      <c r="P48">
        <v>42.909550000000003</v>
      </c>
      <c r="Q48">
        <v>-19.534500000000001</v>
      </c>
      <c r="R48">
        <v>25.840250000000001</v>
      </c>
      <c r="S48">
        <v>29.658850000000001</v>
      </c>
      <c r="T48">
        <v>-16.32235</v>
      </c>
      <c r="U48">
        <v>-98.259375000000034</v>
      </c>
      <c r="V48">
        <v>62.194375000000022</v>
      </c>
      <c r="W48">
        <v>125.21875</v>
      </c>
      <c r="X48">
        <v>-137.30000000000001</v>
      </c>
      <c r="Y48">
        <v>13.10625000000001</v>
      </c>
      <c r="Z48">
        <v>-116.3749999999999</v>
      </c>
      <c r="AA48">
        <v>-765.96875000000011</v>
      </c>
      <c r="AB48">
        <v>-348.63875000000007</v>
      </c>
      <c r="AC48">
        <v>-358.63749999999987</v>
      </c>
      <c r="AD48">
        <v>-268.88749999999987</v>
      </c>
      <c r="AE48">
        <v>-124.36875000000011</v>
      </c>
      <c r="AF48">
        <v>-192.41250000000011</v>
      </c>
      <c r="AG48">
        <v>8.0999999999999943</v>
      </c>
      <c r="AH48">
        <v>70.212500000000233</v>
      </c>
      <c r="AI48">
        <v>0</v>
      </c>
      <c r="AJ48">
        <v>0</v>
      </c>
      <c r="AK48">
        <v>0</v>
      </c>
      <c r="AL48">
        <v>0</v>
      </c>
      <c r="AM48">
        <v>0</v>
      </c>
      <c r="AN48">
        <v>0</v>
      </c>
      <c r="AO48">
        <v>0</v>
      </c>
      <c r="AP48">
        <v>0</v>
      </c>
      <c r="AQ48">
        <v>0</v>
      </c>
      <c r="AR48">
        <v>0</v>
      </c>
      <c r="AS48">
        <v>0</v>
      </c>
      <c r="AT48">
        <v>0</v>
      </c>
    </row>
    <row r="49" spans="1:46" x14ac:dyDescent="0.25">
      <c r="A49">
        <v>47</v>
      </c>
      <c r="B49">
        <v>9.4921875</v>
      </c>
      <c r="C49">
        <v>0.54415659340659339</v>
      </c>
      <c r="D49">
        <v>0.46022250473831999</v>
      </c>
      <c r="E49">
        <v>3.8068144835739039E-2</v>
      </c>
      <c r="F49">
        <v>3.5182751519236768</v>
      </c>
      <c r="G49">
        <v>7.1841274999999998</v>
      </c>
      <c r="H49">
        <v>-8.9667250000000003</v>
      </c>
      <c r="I49">
        <v>-11.28215</v>
      </c>
      <c r="J49">
        <v>8.2412799999999997</v>
      </c>
      <c r="K49">
        <v>-2.8681975</v>
      </c>
      <c r="L49">
        <v>-23.988050000000001</v>
      </c>
      <c r="M49">
        <v>17.07545</v>
      </c>
      <c r="N49">
        <v>-7.1935125000000024</v>
      </c>
      <c r="O49">
        <v>-26.021225000000001</v>
      </c>
      <c r="P49">
        <v>42.638725000000001</v>
      </c>
      <c r="Q49">
        <v>-19.665749999999999</v>
      </c>
      <c r="R49">
        <v>25.652975000000001</v>
      </c>
      <c r="S49">
        <v>29.665075000000002</v>
      </c>
      <c r="T49">
        <v>-16.252925000000001</v>
      </c>
      <c r="U49">
        <v>-102.5396875</v>
      </c>
      <c r="V49">
        <v>63.011562500000061</v>
      </c>
      <c r="W49">
        <v>133.45937500000011</v>
      </c>
      <c r="X49">
        <v>-135.95375000000001</v>
      </c>
      <c r="Y49">
        <v>12.1625</v>
      </c>
      <c r="Z49">
        <v>-98.012499999999875</v>
      </c>
      <c r="AA49">
        <v>-775.3843750000002</v>
      </c>
      <c r="AB49">
        <v>-357.99750000000012</v>
      </c>
      <c r="AC49">
        <v>-359.83749999999998</v>
      </c>
      <c r="AD49">
        <v>-287.96249999999998</v>
      </c>
      <c r="AE49">
        <v>-102.4093750000002</v>
      </c>
      <c r="AF49">
        <v>-239.22500000000019</v>
      </c>
      <c r="AG49">
        <v>-15.89375000000002</v>
      </c>
      <c r="AH49">
        <v>83.918750000000315</v>
      </c>
      <c r="AI49">
        <v>0</v>
      </c>
      <c r="AJ49">
        <v>0</v>
      </c>
      <c r="AK49">
        <v>0</v>
      </c>
      <c r="AL49">
        <v>0</v>
      </c>
      <c r="AM49">
        <v>0</v>
      </c>
      <c r="AN49">
        <v>0</v>
      </c>
      <c r="AO49">
        <v>0</v>
      </c>
      <c r="AP49">
        <v>0</v>
      </c>
      <c r="AQ49">
        <v>0</v>
      </c>
      <c r="AR49">
        <v>0</v>
      </c>
      <c r="AS49">
        <v>0</v>
      </c>
      <c r="AT49">
        <v>0</v>
      </c>
    </row>
    <row r="50" spans="1:46" x14ac:dyDescent="0.25">
      <c r="A50">
        <v>48</v>
      </c>
      <c r="B50">
        <v>9.4987500000000011</v>
      </c>
      <c r="C50">
        <v>0.54412747252747251</v>
      </c>
      <c r="D50">
        <v>0.48120818461567838</v>
      </c>
      <c r="E50">
        <v>3.7566140570506473E-2</v>
      </c>
      <c r="F50">
        <v>3.471461317358604</v>
      </c>
      <c r="G50">
        <v>7.0864799999999999</v>
      </c>
      <c r="H50">
        <v>-8.9044299999999996</v>
      </c>
      <c r="I50">
        <v>-11.1578</v>
      </c>
      <c r="J50">
        <v>8.1004100000000001</v>
      </c>
      <c r="K50">
        <v>-2.8513199999999999</v>
      </c>
      <c r="L50">
        <v>-24.107099999999999</v>
      </c>
      <c r="M50">
        <v>16.3066</v>
      </c>
      <c r="N50">
        <v>-7.5430700000000002</v>
      </c>
      <c r="O50">
        <v>-26.385899999999999</v>
      </c>
      <c r="P50">
        <v>42.367899999999999</v>
      </c>
      <c r="Q50">
        <v>-19.797000000000001</v>
      </c>
      <c r="R50">
        <v>25.465699999999998</v>
      </c>
      <c r="S50">
        <v>29.671299999999999</v>
      </c>
      <c r="T50">
        <v>-16.183499999999999</v>
      </c>
      <c r="U50">
        <v>-106.82</v>
      </c>
      <c r="V50">
        <v>63.828750000000099</v>
      </c>
      <c r="W50">
        <v>141.70000000000019</v>
      </c>
      <c r="X50">
        <v>-134.60749999999999</v>
      </c>
      <c r="Y50">
        <v>11.21875</v>
      </c>
      <c r="Z50">
        <v>-79.649999999999991</v>
      </c>
      <c r="AA50">
        <v>-784.80000000000018</v>
      </c>
      <c r="AB50">
        <v>-367.35624999999999</v>
      </c>
      <c r="AC50">
        <v>-361.03750000000008</v>
      </c>
      <c r="AD50">
        <v>-307.03749999999991</v>
      </c>
      <c r="AE50">
        <v>-80.450000000000358</v>
      </c>
      <c r="AF50">
        <v>-286.03750000000002</v>
      </c>
      <c r="AG50">
        <v>-39.887499999999847</v>
      </c>
      <c r="AH50">
        <v>97.625000000000298</v>
      </c>
      <c r="AI50">
        <v>0</v>
      </c>
      <c r="AJ50">
        <v>0</v>
      </c>
      <c r="AK50">
        <v>0</v>
      </c>
      <c r="AL50">
        <v>0</v>
      </c>
      <c r="AM50">
        <v>0</v>
      </c>
      <c r="AN50">
        <v>0</v>
      </c>
      <c r="AO50">
        <v>0</v>
      </c>
      <c r="AP50">
        <v>0</v>
      </c>
      <c r="AQ50">
        <v>0</v>
      </c>
      <c r="AR50">
        <v>0</v>
      </c>
      <c r="AS50">
        <v>0</v>
      </c>
      <c r="AT50">
        <v>0</v>
      </c>
    </row>
    <row r="51" spans="1:46" x14ac:dyDescent="0.25">
      <c r="A51">
        <v>49</v>
      </c>
      <c r="B51">
        <v>9.505625000000002</v>
      </c>
      <c r="C51">
        <v>0.54415370879120883</v>
      </c>
      <c r="D51">
        <v>0.49879206067991799</v>
      </c>
      <c r="E51">
        <v>3.6596131384225503E-2</v>
      </c>
      <c r="F51">
        <v>3.4187228503426921</v>
      </c>
      <c r="G51">
        <v>6.9704874999999999</v>
      </c>
      <c r="H51">
        <v>-8.8390674999999987</v>
      </c>
      <c r="I51">
        <v>-10.998749999999999</v>
      </c>
      <c r="J51">
        <v>7.9720649999999997</v>
      </c>
      <c r="K51">
        <v>-2.8457599999999998</v>
      </c>
      <c r="L51">
        <v>-24.147349999999999</v>
      </c>
      <c r="M51">
        <v>15.505850000000001</v>
      </c>
      <c r="N51">
        <v>-7.9282250000000012</v>
      </c>
      <c r="O51">
        <v>-26.743300000000001</v>
      </c>
      <c r="P51">
        <v>42.024650000000001</v>
      </c>
      <c r="Q51">
        <v>-19.826650000000001</v>
      </c>
      <c r="R51">
        <v>25.0809</v>
      </c>
      <c r="S51">
        <v>29.5853</v>
      </c>
      <c r="T51">
        <v>-16.057675</v>
      </c>
      <c r="U51">
        <v>-111.6171875</v>
      </c>
      <c r="V51">
        <v>64.58875000000009</v>
      </c>
      <c r="W51">
        <v>150.66562500000009</v>
      </c>
      <c r="X51">
        <v>-129.72749999999999</v>
      </c>
      <c r="Y51">
        <v>6.6046874999999901</v>
      </c>
      <c r="Z51">
        <v>-59.171874999999943</v>
      </c>
      <c r="AA51">
        <v>-791.28437500000007</v>
      </c>
      <c r="AB51">
        <v>-375.17124999999999</v>
      </c>
      <c r="AC51">
        <v>-356.49374999999998</v>
      </c>
      <c r="AD51">
        <v>-323.90312499999999</v>
      </c>
      <c r="AE51">
        <v>-52.396875000000193</v>
      </c>
      <c r="AF51">
        <v>-333.828125</v>
      </c>
      <c r="AG51">
        <v>-64.615624999999895</v>
      </c>
      <c r="AH51">
        <v>111.00625000000019</v>
      </c>
      <c r="AI51">
        <v>0</v>
      </c>
      <c r="AJ51">
        <v>0</v>
      </c>
      <c r="AK51">
        <v>0</v>
      </c>
      <c r="AL51">
        <v>0</v>
      </c>
      <c r="AM51">
        <v>0</v>
      </c>
      <c r="AN51">
        <v>0</v>
      </c>
      <c r="AO51">
        <v>0</v>
      </c>
      <c r="AP51">
        <v>0</v>
      </c>
      <c r="AQ51">
        <v>0</v>
      </c>
      <c r="AR51">
        <v>0</v>
      </c>
      <c r="AS51">
        <v>0</v>
      </c>
      <c r="AT51">
        <v>0</v>
      </c>
    </row>
    <row r="52" spans="1:46" x14ac:dyDescent="0.25">
      <c r="A52">
        <v>50</v>
      </c>
      <c r="B52">
        <v>9.5125000000000028</v>
      </c>
      <c r="C52">
        <v>0.54417994505494505</v>
      </c>
      <c r="D52">
        <v>0.51648105212652251</v>
      </c>
      <c r="E52">
        <v>3.4473117543886433E-2</v>
      </c>
      <c r="F52">
        <v>3.3775836221258131</v>
      </c>
      <c r="G52">
        <v>6.854495</v>
      </c>
      <c r="H52">
        <v>-8.7737049999999996</v>
      </c>
      <c r="I52">
        <v>-10.839700000000001</v>
      </c>
      <c r="J52">
        <v>7.8437199999999994</v>
      </c>
      <c r="K52">
        <v>-2.8401999999999998</v>
      </c>
      <c r="L52">
        <v>-24.1876</v>
      </c>
      <c r="M52">
        <v>14.7051</v>
      </c>
      <c r="N52">
        <v>-8.3133800000000022</v>
      </c>
      <c r="O52">
        <v>-27.1007</v>
      </c>
      <c r="P52">
        <v>41.681399999999996</v>
      </c>
      <c r="Q52">
        <v>-19.856300000000001</v>
      </c>
      <c r="R52">
        <v>24.696100000000001</v>
      </c>
      <c r="S52">
        <v>29.499300000000002</v>
      </c>
      <c r="T52">
        <v>-15.931850000000001</v>
      </c>
      <c r="U52">
        <v>-116.41437500000001</v>
      </c>
      <c r="V52">
        <v>65.348750000000067</v>
      </c>
      <c r="W52">
        <v>159.63125000000011</v>
      </c>
      <c r="X52">
        <v>-124.8475</v>
      </c>
      <c r="Y52">
        <v>1.9906249999999801</v>
      </c>
      <c r="Z52">
        <v>-38.693749999999888</v>
      </c>
      <c r="AA52">
        <v>-797.76875000000007</v>
      </c>
      <c r="AB52">
        <v>-382.98624999999998</v>
      </c>
      <c r="AC52">
        <v>-351.95</v>
      </c>
      <c r="AD52">
        <v>-340.76875000000013</v>
      </c>
      <c r="AE52">
        <v>-24.343750000000011</v>
      </c>
      <c r="AF52">
        <v>-381.61875000000009</v>
      </c>
      <c r="AG52">
        <v>-89.343749999999929</v>
      </c>
      <c r="AH52">
        <v>124.3875000000001</v>
      </c>
      <c r="AI52">
        <v>0</v>
      </c>
      <c r="AJ52">
        <v>0</v>
      </c>
      <c r="AK52">
        <v>0</v>
      </c>
      <c r="AL52">
        <v>0</v>
      </c>
      <c r="AM52">
        <v>0</v>
      </c>
      <c r="AN52">
        <v>0</v>
      </c>
      <c r="AO52">
        <v>0</v>
      </c>
      <c r="AP52">
        <v>0</v>
      </c>
      <c r="AQ52">
        <v>0</v>
      </c>
      <c r="AR52">
        <v>0</v>
      </c>
      <c r="AS52">
        <v>0</v>
      </c>
      <c r="AT52">
        <v>0</v>
      </c>
    </row>
    <row r="53" spans="1:46" x14ac:dyDescent="0.25">
      <c r="A53">
        <v>51</v>
      </c>
      <c r="B53">
        <v>9.5193750000000019</v>
      </c>
      <c r="C53">
        <v>0.54420618131868137</v>
      </c>
      <c r="D53">
        <v>0.5309991571391699</v>
      </c>
      <c r="E53">
        <v>3.10758864239324E-2</v>
      </c>
      <c r="F53">
        <v>3.335153800934783</v>
      </c>
      <c r="G53">
        <v>6.7385024999999992</v>
      </c>
      <c r="H53">
        <v>-8.7083424999999988</v>
      </c>
      <c r="I53">
        <v>-10.68065</v>
      </c>
      <c r="J53">
        <v>7.7153749999999999</v>
      </c>
      <c r="K53">
        <v>-2.8346399999999998</v>
      </c>
      <c r="L53">
        <v>-24.22785</v>
      </c>
      <c r="M53">
        <v>13.904350000000001</v>
      </c>
      <c r="N53">
        <v>-8.6985350000000032</v>
      </c>
      <c r="O53">
        <v>-27.458100000000002</v>
      </c>
      <c r="P53">
        <v>41.338149999999999</v>
      </c>
      <c r="Q53">
        <v>-19.885950000000001</v>
      </c>
      <c r="R53">
        <v>24.311299999999999</v>
      </c>
      <c r="S53">
        <v>29.4133</v>
      </c>
      <c r="T53">
        <v>-15.806025</v>
      </c>
      <c r="U53">
        <v>-121.2115625</v>
      </c>
      <c r="V53">
        <v>66.108750000000057</v>
      </c>
      <c r="W53">
        <v>168.5968750000001</v>
      </c>
      <c r="X53">
        <v>-119.9675</v>
      </c>
      <c r="Y53">
        <v>-2.6234375000000321</v>
      </c>
      <c r="Z53">
        <v>-18.21562499999985</v>
      </c>
      <c r="AA53">
        <v>-804.25312499999995</v>
      </c>
      <c r="AB53">
        <v>-390.80124999999998</v>
      </c>
      <c r="AC53">
        <v>-347.40624999999989</v>
      </c>
      <c r="AD53">
        <v>-357.63437500000032</v>
      </c>
      <c r="AE53">
        <v>3.7093750000001648</v>
      </c>
      <c r="AF53">
        <v>-429.40937500000013</v>
      </c>
      <c r="AG53">
        <v>-114.07187500000001</v>
      </c>
      <c r="AH53">
        <v>137.7687500000001</v>
      </c>
      <c r="AI53">
        <v>0</v>
      </c>
      <c r="AJ53">
        <v>0</v>
      </c>
      <c r="AK53">
        <v>0</v>
      </c>
      <c r="AL53">
        <v>0</v>
      </c>
      <c r="AM53">
        <v>0</v>
      </c>
      <c r="AN53">
        <v>0</v>
      </c>
      <c r="AO53">
        <v>0</v>
      </c>
      <c r="AP53">
        <v>0</v>
      </c>
      <c r="AQ53">
        <v>0</v>
      </c>
      <c r="AR53">
        <v>0</v>
      </c>
      <c r="AS53">
        <v>0</v>
      </c>
      <c r="AT53">
        <v>0</v>
      </c>
    </row>
    <row r="54" spans="1:46" x14ac:dyDescent="0.25">
      <c r="A54">
        <v>52</v>
      </c>
      <c r="B54">
        <v>9.5262500000000028</v>
      </c>
      <c r="C54">
        <v>0.54423241758241758</v>
      </c>
      <c r="D54">
        <v>0.54425017801249154</v>
      </c>
      <c r="E54">
        <v>2.826723473292032E-2</v>
      </c>
      <c r="F54">
        <v>3.2797287135293729</v>
      </c>
      <c r="G54">
        <v>6.6225100000000001</v>
      </c>
      <c r="H54">
        <v>-8.6429799999999997</v>
      </c>
      <c r="I54">
        <v>-10.521599999999999</v>
      </c>
      <c r="J54">
        <v>7.5870300000000004</v>
      </c>
      <c r="K54">
        <v>-2.8290799999999998</v>
      </c>
      <c r="L54">
        <v>-24.2681</v>
      </c>
      <c r="M54">
        <v>13.1036</v>
      </c>
      <c r="N54">
        <v>-9.0836900000000007</v>
      </c>
      <c r="O54">
        <v>-27.8155</v>
      </c>
      <c r="P54">
        <v>40.994900000000001</v>
      </c>
      <c r="Q54">
        <v>-19.915600000000001</v>
      </c>
      <c r="R54">
        <v>23.926500000000001</v>
      </c>
      <c r="S54">
        <v>29.327300000000001</v>
      </c>
      <c r="T54">
        <v>-15.680199999999999</v>
      </c>
      <c r="U54">
        <v>-126.00875000000001</v>
      </c>
      <c r="V54">
        <v>66.868750000000034</v>
      </c>
      <c r="W54">
        <v>177.56250000000011</v>
      </c>
      <c r="X54">
        <v>-115.08750000000001</v>
      </c>
      <c r="Y54">
        <v>-7.2375000000000078</v>
      </c>
      <c r="Z54">
        <v>2.2625000000000561</v>
      </c>
      <c r="AA54">
        <v>-810.73749999999984</v>
      </c>
      <c r="AB54">
        <v>-398.61624999999992</v>
      </c>
      <c r="AC54">
        <v>-342.86249999999978</v>
      </c>
      <c r="AD54">
        <v>-374.50000000000028</v>
      </c>
      <c r="AE54">
        <v>31.762500000000141</v>
      </c>
      <c r="AF54">
        <v>-477.19999999999982</v>
      </c>
      <c r="AG54">
        <v>-138.79999999999981</v>
      </c>
      <c r="AH54">
        <v>151.14999999999989</v>
      </c>
      <c r="AI54">
        <v>0</v>
      </c>
      <c r="AJ54">
        <v>0</v>
      </c>
      <c r="AK54">
        <v>0</v>
      </c>
      <c r="AL54">
        <v>0</v>
      </c>
      <c r="AM54">
        <v>0</v>
      </c>
      <c r="AN54">
        <v>0</v>
      </c>
      <c r="AO54">
        <v>0</v>
      </c>
      <c r="AP54">
        <v>0</v>
      </c>
      <c r="AQ54">
        <v>0</v>
      </c>
      <c r="AR54">
        <v>0</v>
      </c>
      <c r="AS54">
        <v>0</v>
      </c>
      <c r="AT54">
        <v>0</v>
      </c>
    </row>
    <row r="55" spans="1:46" x14ac:dyDescent="0.25">
      <c r="A55">
        <v>53</v>
      </c>
      <c r="B55">
        <v>9.5328124999999968</v>
      </c>
      <c r="C55">
        <v>0.54431085164835169</v>
      </c>
      <c r="D55">
        <v>0.55753493210592642</v>
      </c>
      <c r="E55">
        <v>2.8216112081346761E-2</v>
      </c>
      <c r="F55">
        <v>3.2323773373462878</v>
      </c>
      <c r="G55">
        <v>6.4864850000000001</v>
      </c>
      <c r="H55">
        <v>-8.574605</v>
      </c>
      <c r="I55">
        <v>-10.325525000000001</v>
      </c>
      <c r="J55">
        <v>7.4851999999999999</v>
      </c>
      <c r="K55">
        <v>-2.8491149999999998</v>
      </c>
      <c r="L55">
        <v>-24.223324999999999</v>
      </c>
      <c r="M55">
        <v>12.282875000000001</v>
      </c>
      <c r="N55">
        <v>-9.4957675000000012</v>
      </c>
      <c r="O55">
        <v>-28.143825</v>
      </c>
      <c r="P55">
        <v>40.589149999999997</v>
      </c>
      <c r="Q55">
        <v>-19.822424999999999</v>
      </c>
      <c r="R55">
        <v>23.3569</v>
      </c>
      <c r="S55">
        <v>29.1357</v>
      </c>
      <c r="T55">
        <v>-15.503724999999999</v>
      </c>
      <c r="U55">
        <v>-131.1040625</v>
      </c>
      <c r="V55">
        <v>67.648750000000035</v>
      </c>
      <c r="W55">
        <v>186.9340625000001</v>
      </c>
      <c r="X55">
        <v>-106.8234375</v>
      </c>
      <c r="Y55">
        <v>-14.99187500000003</v>
      </c>
      <c r="Z55">
        <v>23.67812500000014</v>
      </c>
      <c r="AA55">
        <v>-814.33968749999985</v>
      </c>
      <c r="AB55">
        <v>-403.57499999999987</v>
      </c>
      <c r="AC55">
        <v>-333.50624999999991</v>
      </c>
      <c r="AD55">
        <v>-388.92500000000018</v>
      </c>
      <c r="AE55">
        <v>63.884375000000162</v>
      </c>
      <c r="AF55">
        <v>-517.68749999999989</v>
      </c>
      <c r="AG55">
        <v>-170.87499999999989</v>
      </c>
      <c r="AH55">
        <v>161.45312499999989</v>
      </c>
      <c r="AI55">
        <v>0</v>
      </c>
      <c r="AJ55">
        <v>0</v>
      </c>
      <c r="AK55">
        <v>0</v>
      </c>
      <c r="AL55">
        <v>0</v>
      </c>
      <c r="AM55">
        <v>0</v>
      </c>
      <c r="AN55">
        <v>0</v>
      </c>
      <c r="AO55">
        <v>0</v>
      </c>
      <c r="AP55">
        <v>0</v>
      </c>
      <c r="AQ55">
        <v>0</v>
      </c>
      <c r="AR55">
        <v>0</v>
      </c>
      <c r="AS55">
        <v>0</v>
      </c>
      <c r="AT55">
        <v>0</v>
      </c>
    </row>
    <row r="56" spans="1:46" x14ac:dyDescent="0.25">
      <c r="A56">
        <v>54</v>
      </c>
      <c r="B56">
        <v>9.5393749999999926</v>
      </c>
      <c r="C56">
        <v>0.54438928571428569</v>
      </c>
      <c r="D56">
        <v>0.56904177436783965</v>
      </c>
      <c r="E56">
        <v>2.7318072415621172E-2</v>
      </c>
      <c r="F56">
        <v>3.1909912011017112</v>
      </c>
      <c r="G56">
        <v>6.3504599999999991</v>
      </c>
      <c r="H56">
        <v>-8.5062299999999986</v>
      </c>
      <c r="I56">
        <v>-10.12945</v>
      </c>
      <c r="J56">
        <v>7.3833700000000002</v>
      </c>
      <c r="K56">
        <v>-2.8691499999999999</v>
      </c>
      <c r="L56">
        <v>-24.178550000000001</v>
      </c>
      <c r="M56">
        <v>11.462149999999999</v>
      </c>
      <c r="N56">
        <v>-9.9078450000000018</v>
      </c>
      <c r="O56">
        <v>-28.472149999999999</v>
      </c>
      <c r="P56">
        <v>40.183399999999999</v>
      </c>
      <c r="Q56">
        <v>-19.72925</v>
      </c>
      <c r="R56">
        <v>22.787299999999998</v>
      </c>
      <c r="S56">
        <v>28.944099999999999</v>
      </c>
      <c r="T56">
        <v>-15.327249999999999</v>
      </c>
      <c r="U56">
        <v>-136.199375</v>
      </c>
      <c r="V56">
        <v>68.428750000000036</v>
      </c>
      <c r="W56">
        <v>196.30562500000011</v>
      </c>
      <c r="X56">
        <v>-98.559374999999974</v>
      </c>
      <c r="Y56">
        <v>-22.74625000000005</v>
      </c>
      <c r="Z56">
        <v>45.093750000000227</v>
      </c>
      <c r="AA56">
        <v>-817.94187499999998</v>
      </c>
      <c r="AB56">
        <v>-408.53374999999988</v>
      </c>
      <c r="AC56">
        <v>-324.14999999999992</v>
      </c>
      <c r="AD56">
        <v>-403.35000000000008</v>
      </c>
      <c r="AE56">
        <v>96.006250000000193</v>
      </c>
      <c r="AF56">
        <v>-558.17499999999995</v>
      </c>
      <c r="AG56">
        <v>-202.9500000000001</v>
      </c>
      <c r="AH56">
        <v>171.75624999999999</v>
      </c>
      <c r="AI56">
        <v>0</v>
      </c>
      <c r="AJ56">
        <v>0</v>
      </c>
      <c r="AK56">
        <v>0</v>
      </c>
      <c r="AL56">
        <v>0</v>
      </c>
      <c r="AM56">
        <v>0</v>
      </c>
      <c r="AN56">
        <v>0</v>
      </c>
      <c r="AO56">
        <v>0</v>
      </c>
      <c r="AP56">
        <v>0</v>
      </c>
      <c r="AQ56">
        <v>0</v>
      </c>
      <c r="AR56">
        <v>0</v>
      </c>
      <c r="AS56">
        <v>0</v>
      </c>
      <c r="AT56">
        <v>0</v>
      </c>
    </row>
    <row r="57" spans="1:46" x14ac:dyDescent="0.25">
      <c r="A57">
        <v>55</v>
      </c>
      <c r="B57">
        <v>9.5459374999999866</v>
      </c>
      <c r="C57">
        <v>0.54446771978021979</v>
      </c>
      <c r="D57">
        <v>0.58219901369865823</v>
      </c>
      <c r="E57">
        <v>2.7510434435509282E-2</v>
      </c>
      <c r="F57">
        <v>3.1441783092104578</v>
      </c>
      <c r="G57">
        <v>6.214434999999999</v>
      </c>
      <c r="H57">
        <v>-8.437854999999999</v>
      </c>
      <c r="I57">
        <v>-9.9333749999999981</v>
      </c>
      <c r="J57">
        <v>7.2815399999999997</v>
      </c>
      <c r="K57">
        <v>-2.8891849999999999</v>
      </c>
      <c r="L57">
        <v>-24.133775</v>
      </c>
      <c r="M57">
        <v>10.641425</v>
      </c>
      <c r="N57">
        <v>-10.319922500000001</v>
      </c>
      <c r="O57">
        <v>-28.800474999999999</v>
      </c>
      <c r="P57">
        <v>39.777649999999987</v>
      </c>
      <c r="Q57">
        <v>-19.636075000000002</v>
      </c>
      <c r="R57">
        <v>22.217700000000001</v>
      </c>
      <c r="S57">
        <v>28.752500000000001</v>
      </c>
      <c r="T57">
        <v>-15.150774999999999</v>
      </c>
      <c r="U57">
        <v>-141.29468750000001</v>
      </c>
      <c r="V57">
        <v>69.208750000000038</v>
      </c>
      <c r="W57">
        <v>205.67718750000009</v>
      </c>
      <c r="X57">
        <v>-90.295312499999952</v>
      </c>
      <c r="Y57">
        <v>-30.50062500000007</v>
      </c>
      <c r="Z57">
        <v>66.509375000000318</v>
      </c>
      <c r="AA57">
        <v>-821.5440625</v>
      </c>
      <c r="AB57">
        <v>-413.49249999999989</v>
      </c>
      <c r="AC57">
        <v>-314.79374999999987</v>
      </c>
      <c r="AD57">
        <v>-417.77500000000009</v>
      </c>
      <c r="AE57">
        <v>128.12812500000021</v>
      </c>
      <c r="AF57">
        <v>-598.66250000000014</v>
      </c>
      <c r="AG57">
        <v>-235.0250000000002</v>
      </c>
      <c r="AH57">
        <v>182.05937499999999</v>
      </c>
      <c r="AI57">
        <v>0</v>
      </c>
      <c r="AJ57">
        <v>0</v>
      </c>
      <c r="AK57">
        <v>0</v>
      </c>
      <c r="AL57">
        <v>0</v>
      </c>
      <c r="AM57">
        <v>0</v>
      </c>
      <c r="AN57">
        <v>0</v>
      </c>
      <c r="AO57">
        <v>0</v>
      </c>
      <c r="AP57">
        <v>0</v>
      </c>
      <c r="AQ57">
        <v>0</v>
      </c>
      <c r="AR57">
        <v>0</v>
      </c>
      <c r="AS57">
        <v>0</v>
      </c>
      <c r="AT57">
        <v>0</v>
      </c>
    </row>
    <row r="58" spans="1:46" x14ac:dyDescent="0.25">
      <c r="A58">
        <v>56</v>
      </c>
      <c r="B58">
        <v>9.5524999999999807</v>
      </c>
      <c r="C58">
        <v>0.54454615384615379</v>
      </c>
      <c r="D58">
        <v>0.59680285126964583</v>
      </c>
      <c r="E58">
        <v>2.8880335283344331E-2</v>
      </c>
      <c r="F58">
        <v>3.0973639670517898</v>
      </c>
      <c r="G58">
        <v>6.0784099999999999</v>
      </c>
      <c r="H58">
        <v>-8.3694799999999994</v>
      </c>
      <c r="I58">
        <v>-9.7372999999999994</v>
      </c>
      <c r="J58">
        <v>7.17971</v>
      </c>
      <c r="K58">
        <v>-2.9092199999999999</v>
      </c>
      <c r="L58">
        <v>-24.088999999999999</v>
      </c>
      <c r="M58">
        <v>9.8207000000000004</v>
      </c>
      <c r="N58">
        <v>-10.731999999999999</v>
      </c>
      <c r="O58">
        <v>-29.128799999999998</v>
      </c>
      <c r="P58">
        <v>39.371899999999997</v>
      </c>
      <c r="Q58">
        <v>-19.542899999999999</v>
      </c>
      <c r="R58">
        <v>21.648099999999999</v>
      </c>
      <c r="S58">
        <v>28.5609</v>
      </c>
      <c r="T58">
        <v>-14.974299999999999</v>
      </c>
      <c r="U58">
        <v>-146.38999999999999</v>
      </c>
      <c r="V58">
        <v>69.988750000000039</v>
      </c>
      <c r="W58">
        <v>215.04875000000001</v>
      </c>
      <c r="X58">
        <v>-82.03125</v>
      </c>
      <c r="Y58">
        <v>-38.255000000000038</v>
      </c>
      <c r="Z58">
        <v>87.925000000000253</v>
      </c>
      <c r="AA58">
        <v>-825.14625000000001</v>
      </c>
      <c r="AB58">
        <v>-418.45125000000002</v>
      </c>
      <c r="AC58">
        <v>-305.4375</v>
      </c>
      <c r="AD58">
        <v>-432.19999999999987</v>
      </c>
      <c r="AE58">
        <v>160.25</v>
      </c>
      <c r="AF58">
        <v>-639.14999999999986</v>
      </c>
      <c r="AG58">
        <v>-267.10000000000008</v>
      </c>
      <c r="AH58">
        <v>192.36250000000001</v>
      </c>
      <c r="AI58">
        <v>0</v>
      </c>
      <c r="AJ58">
        <v>0</v>
      </c>
      <c r="AK58">
        <v>0</v>
      </c>
      <c r="AL58">
        <v>0</v>
      </c>
      <c r="AM58">
        <v>0</v>
      </c>
      <c r="AN58">
        <v>0</v>
      </c>
      <c r="AO58">
        <v>0</v>
      </c>
      <c r="AP58">
        <v>0</v>
      </c>
      <c r="AQ58">
        <v>0</v>
      </c>
      <c r="AR58">
        <v>0</v>
      </c>
      <c r="AS58">
        <v>0</v>
      </c>
      <c r="AT58">
        <v>0</v>
      </c>
    </row>
    <row r="59" spans="1:46" x14ac:dyDescent="0.25">
      <c r="A59">
        <v>57</v>
      </c>
      <c r="B59">
        <v>9.5590624999999889</v>
      </c>
      <c r="C59">
        <v>0.54467225274725273</v>
      </c>
      <c r="D59">
        <v>0.60872389715711506</v>
      </c>
      <c r="E59">
        <v>3.3956556944592119E-2</v>
      </c>
      <c r="F59">
        <v>3.0386050049087929</v>
      </c>
      <c r="G59">
        <v>5.9216549999999986</v>
      </c>
      <c r="H59">
        <v>-8.2978774999999985</v>
      </c>
      <c r="I59">
        <v>-9.5032774999999994</v>
      </c>
      <c r="J59">
        <v>7.1174774999999997</v>
      </c>
      <c r="K59">
        <v>-2.9656950000000002</v>
      </c>
      <c r="L59">
        <v>-23.957924999999999</v>
      </c>
      <c r="M59">
        <v>8.9911324999999991</v>
      </c>
      <c r="N59">
        <v>-11.156825</v>
      </c>
      <c r="O59">
        <v>-29.411349999999999</v>
      </c>
      <c r="P59">
        <v>38.913249999999998</v>
      </c>
      <c r="Q59">
        <v>-19.315574999999999</v>
      </c>
      <c r="R59">
        <v>20.939399999999999</v>
      </c>
      <c r="S59">
        <v>28.218299999999999</v>
      </c>
      <c r="T59">
        <v>-14.76605</v>
      </c>
      <c r="U59">
        <v>-151.515625</v>
      </c>
      <c r="V59">
        <v>70.84093750000001</v>
      </c>
      <c r="W59">
        <v>224.46156250000001</v>
      </c>
      <c r="X59">
        <v>-70.667812499999997</v>
      </c>
      <c r="Y59">
        <v>-48.037500000000051</v>
      </c>
      <c r="Z59">
        <v>109.0437500000001</v>
      </c>
      <c r="AA59">
        <v>-826.08687500000008</v>
      </c>
      <c r="AB59">
        <v>-419.1821875</v>
      </c>
      <c r="AC59">
        <v>-292.63437500000009</v>
      </c>
      <c r="AD59">
        <v>-444.61874999999992</v>
      </c>
      <c r="AE59">
        <v>193.69375000000011</v>
      </c>
      <c r="AF59">
        <v>-666.19999999999993</v>
      </c>
      <c r="AG59">
        <v>-315.2125000000002</v>
      </c>
      <c r="AH59">
        <v>196.24062499999999</v>
      </c>
      <c r="AI59">
        <v>0</v>
      </c>
      <c r="AJ59">
        <v>0</v>
      </c>
      <c r="AK59">
        <v>0</v>
      </c>
      <c r="AL59">
        <v>0</v>
      </c>
      <c r="AM59">
        <v>0</v>
      </c>
      <c r="AN59">
        <v>0</v>
      </c>
      <c r="AO59">
        <v>0</v>
      </c>
      <c r="AP59">
        <v>0</v>
      </c>
      <c r="AQ59">
        <v>0</v>
      </c>
      <c r="AR59">
        <v>0</v>
      </c>
      <c r="AS59">
        <v>0</v>
      </c>
      <c r="AT59">
        <v>0</v>
      </c>
    </row>
    <row r="60" spans="1:46" x14ac:dyDescent="0.25">
      <c r="A60">
        <v>58</v>
      </c>
      <c r="B60">
        <v>9.5656249999999972</v>
      </c>
      <c r="C60">
        <v>0.54479835164835166</v>
      </c>
      <c r="D60">
        <v>0.62190619710889483</v>
      </c>
      <c r="E60">
        <v>3.493831547234974E-2</v>
      </c>
      <c r="F60">
        <v>2.9976398087819218</v>
      </c>
      <c r="G60">
        <v>5.764899999999999</v>
      </c>
      <c r="H60">
        <v>-8.2262749999999993</v>
      </c>
      <c r="I60">
        <v>-9.2692549999999994</v>
      </c>
      <c r="J60">
        <v>7.0552450000000002</v>
      </c>
      <c r="K60">
        <v>-3.02217</v>
      </c>
      <c r="L60">
        <v>-23.82685</v>
      </c>
      <c r="M60">
        <v>8.1615649999999977</v>
      </c>
      <c r="N60">
        <v>-11.58165</v>
      </c>
      <c r="O60">
        <v>-29.693899999999999</v>
      </c>
      <c r="P60">
        <v>38.454599999999999</v>
      </c>
      <c r="Q60">
        <v>-19.088249999999999</v>
      </c>
      <c r="R60">
        <v>20.230699999999999</v>
      </c>
      <c r="S60">
        <v>27.875699999999998</v>
      </c>
      <c r="T60">
        <v>-14.5578</v>
      </c>
      <c r="U60">
        <v>-156.64125000000001</v>
      </c>
      <c r="V60">
        <v>71.693124999999966</v>
      </c>
      <c r="W60">
        <v>233.87437499999999</v>
      </c>
      <c r="X60">
        <v>-59.304374999999979</v>
      </c>
      <c r="Y60">
        <v>-57.820000000000071</v>
      </c>
      <c r="Z60">
        <v>130.16249999999999</v>
      </c>
      <c r="AA60">
        <v>-827.02750000000003</v>
      </c>
      <c r="AB60">
        <v>-419.91312499999998</v>
      </c>
      <c r="AC60">
        <v>-279.83125000000013</v>
      </c>
      <c r="AD60">
        <v>-457.0374999999998</v>
      </c>
      <c r="AE60">
        <v>227.1375000000001</v>
      </c>
      <c r="AF60">
        <v>-693.25</v>
      </c>
      <c r="AG60">
        <v>-363.32500000000027</v>
      </c>
      <c r="AH60">
        <v>200.11875000000001</v>
      </c>
      <c r="AI60">
        <v>0</v>
      </c>
      <c r="AJ60">
        <v>0</v>
      </c>
      <c r="AK60">
        <v>0</v>
      </c>
      <c r="AL60">
        <v>0</v>
      </c>
      <c r="AM60">
        <v>0</v>
      </c>
      <c r="AN60">
        <v>0</v>
      </c>
      <c r="AO60">
        <v>0</v>
      </c>
      <c r="AP60">
        <v>0</v>
      </c>
      <c r="AQ60">
        <v>0</v>
      </c>
      <c r="AR60">
        <v>0</v>
      </c>
      <c r="AS60">
        <v>0</v>
      </c>
      <c r="AT60">
        <v>0</v>
      </c>
    </row>
    <row r="61" spans="1:46" x14ac:dyDescent="0.25">
      <c r="A61">
        <v>59</v>
      </c>
      <c r="B61">
        <v>9.5721875000000036</v>
      </c>
      <c r="C61">
        <v>0.54492445054945049</v>
      </c>
      <c r="D61">
        <v>0.6341360121807238</v>
      </c>
      <c r="E61">
        <v>3.4871057145497611E-2</v>
      </c>
      <c r="F61">
        <v>2.9435309115705679</v>
      </c>
      <c r="G61">
        <v>5.6081450000000004</v>
      </c>
      <c r="H61">
        <v>-8.1546725000000002</v>
      </c>
      <c r="I61">
        <v>-9.0352324999999993</v>
      </c>
      <c r="J61">
        <v>6.9930125000000007</v>
      </c>
      <c r="K61">
        <v>-3.0786449999999999</v>
      </c>
      <c r="L61">
        <v>-23.695775000000001</v>
      </c>
      <c r="M61">
        <v>7.3319975000000017</v>
      </c>
      <c r="N61">
        <v>-12.006475</v>
      </c>
      <c r="O61">
        <v>-29.97645</v>
      </c>
      <c r="P61">
        <v>37.995950000000001</v>
      </c>
      <c r="Q61">
        <v>-18.860925000000002</v>
      </c>
      <c r="R61">
        <v>19.521999999999998</v>
      </c>
      <c r="S61">
        <v>27.533100000000001</v>
      </c>
      <c r="T61">
        <v>-14.349550000000001</v>
      </c>
      <c r="U61">
        <v>-161.766875</v>
      </c>
      <c r="V61">
        <v>72.545312499999923</v>
      </c>
      <c r="W61">
        <v>243.2871874999999</v>
      </c>
      <c r="X61">
        <v>-47.940937500000047</v>
      </c>
      <c r="Y61">
        <v>-67.60250000000002</v>
      </c>
      <c r="Z61">
        <v>151.2812499999998</v>
      </c>
      <c r="AA61">
        <v>-827.96812499999999</v>
      </c>
      <c r="AB61">
        <v>-420.64406250000002</v>
      </c>
      <c r="AC61">
        <v>-267.02812500000027</v>
      </c>
      <c r="AD61">
        <v>-469.45624999999973</v>
      </c>
      <c r="AE61">
        <v>260.58125000000001</v>
      </c>
      <c r="AF61">
        <v>-720.29999999999984</v>
      </c>
      <c r="AG61">
        <v>-411.43750000000011</v>
      </c>
      <c r="AH61">
        <v>203.99687499999999</v>
      </c>
      <c r="AI61">
        <v>0</v>
      </c>
      <c r="AJ61">
        <v>0</v>
      </c>
      <c r="AK61">
        <v>0</v>
      </c>
      <c r="AL61">
        <v>0</v>
      </c>
      <c r="AM61">
        <v>0</v>
      </c>
      <c r="AN61">
        <v>0</v>
      </c>
      <c r="AO61">
        <v>0</v>
      </c>
      <c r="AP61">
        <v>0</v>
      </c>
      <c r="AQ61">
        <v>0</v>
      </c>
      <c r="AR61">
        <v>0</v>
      </c>
      <c r="AS61">
        <v>0</v>
      </c>
      <c r="AT61">
        <v>0</v>
      </c>
    </row>
    <row r="62" spans="1:46" x14ac:dyDescent="0.25">
      <c r="A62">
        <v>60</v>
      </c>
      <c r="B62">
        <v>9.5787500000000119</v>
      </c>
      <c r="C62">
        <v>0.54505054945054943</v>
      </c>
      <c r="D62">
        <v>0.64452552491676307</v>
      </c>
      <c r="E62">
        <v>3.0079474394196129E-2</v>
      </c>
      <c r="F62">
        <v>2.8760808593659419</v>
      </c>
      <c r="G62">
        <v>5.45139</v>
      </c>
      <c r="H62">
        <v>-8.0830699999999993</v>
      </c>
      <c r="I62">
        <v>-8.8012099999999993</v>
      </c>
      <c r="J62">
        <v>6.9307800000000004</v>
      </c>
      <c r="K62">
        <v>-3.1351200000000001</v>
      </c>
      <c r="L62">
        <v>-23.564699999999998</v>
      </c>
      <c r="M62">
        <v>6.5024300000000004</v>
      </c>
      <c r="N62">
        <v>-12.4313</v>
      </c>
      <c r="O62">
        <v>-30.259</v>
      </c>
      <c r="P62">
        <v>37.537300000000002</v>
      </c>
      <c r="Q62">
        <v>-18.633600000000001</v>
      </c>
      <c r="R62">
        <v>18.813300000000002</v>
      </c>
      <c r="S62">
        <v>27.1905</v>
      </c>
      <c r="T62">
        <v>-14.141299999999999</v>
      </c>
      <c r="U62">
        <v>-166.89250000000001</v>
      </c>
      <c r="V62">
        <v>73.397499999999894</v>
      </c>
      <c r="W62">
        <v>252.6999999999999</v>
      </c>
      <c r="X62">
        <v>-36.577500000000043</v>
      </c>
      <c r="Y62">
        <v>-77.385000000000034</v>
      </c>
      <c r="Z62">
        <v>172.39999999999969</v>
      </c>
      <c r="AA62">
        <v>-828.90875000000005</v>
      </c>
      <c r="AB62">
        <v>-421.37500000000011</v>
      </c>
      <c r="AC62">
        <v>-254.22500000000039</v>
      </c>
      <c r="AD62">
        <v>-481.8749999999996</v>
      </c>
      <c r="AE62">
        <v>294.02499999999998</v>
      </c>
      <c r="AF62">
        <v>-747.34999999999991</v>
      </c>
      <c r="AG62">
        <v>-459.55000000000013</v>
      </c>
      <c r="AH62">
        <v>207.875</v>
      </c>
      <c r="AI62">
        <v>0</v>
      </c>
      <c r="AJ62">
        <v>0</v>
      </c>
      <c r="AK62">
        <v>0</v>
      </c>
      <c r="AL62">
        <v>0</v>
      </c>
      <c r="AM62">
        <v>0</v>
      </c>
      <c r="AN62">
        <v>0</v>
      </c>
      <c r="AO62">
        <v>0</v>
      </c>
      <c r="AP62">
        <v>0</v>
      </c>
      <c r="AQ62">
        <v>0</v>
      </c>
      <c r="AR62">
        <v>0</v>
      </c>
      <c r="AS62">
        <v>0</v>
      </c>
      <c r="AT62">
        <v>0</v>
      </c>
    </row>
    <row r="63" spans="1:46" x14ac:dyDescent="0.25">
      <c r="A63">
        <v>61</v>
      </c>
      <c r="B63">
        <v>9.5850000000000133</v>
      </c>
      <c r="C63">
        <v>0.54521909340659336</v>
      </c>
      <c r="D63">
        <v>0.656602467300194</v>
      </c>
      <c r="E63">
        <v>2.770506974957309E-2</v>
      </c>
      <c r="F63">
        <v>2.828233883298537</v>
      </c>
      <c r="G63">
        <v>5.2743599999999997</v>
      </c>
      <c r="H63">
        <v>-8.0078774999999993</v>
      </c>
      <c r="I63">
        <v>-8.5298324999999995</v>
      </c>
      <c r="J63">
        <v>6.9198575</v>
      </c>
      <c r="K63">
        <v>-3.2334149999999999</v>
      </c>
      <c r="L63">
        <v>-23.350974999999998</v>
      </c>
      <c r="M63">
        <v>5.6741799999999989</v>
      </c>
      <c r="N63">
        <v>-12.849225000000001</v>
      </c>
      <c r="O63">
        <v>-30.4849</v>
      </c>
      <c r="P63">
        <v>37.032200000000003</v>
      </c>
      <c r="Q63">
        <v>-18.272874999999999</v>
      </c>
      <c r="R63">
        <v>18.0273</v>
      </c>
      <c r="S63">
        <v>26.614000000000001</v>
      </c>
      <c r="T63">
        <v>-13.9338</v>
      </c>
      <c r="U63">
        <v>-171.73093750000001</v>
      </c>
      <c r="V63">
        <v>74.342499999999902</v>
      </c>
      <c r="W63">
        <v>261.76437499999992</v>
      </c>
      <c r="X63">
        <v>-22.56031250000002</v>
      </c>
      <c r="Y63">
        <v>-87.708750000000038</v>
      </c>
      <c r="Z63">
        <v>192.02499999999969</v>
      </c>
      <c r="AA63">
        <v>-827.25481562499999</v>
      </c>
      <c r="AB63">
        <v>-416.69062500000001</v>
      </c>
      <c r="AC63">
        <v>-239.33125000000021</v>
      </c>
      <c r="AD63">
        <v>-493.28437499999978</v>
      </c>
      <c r="AE63">
        <v>325.54374999999999</v>
      </c>
      <c r="AF63">
        <v>-759.61874999999998</v>
      </c>
      <c r="AG63">
        <v>-531.86562500000025</v>
      </c>
      <c r="AH63">
        <v>202.640625</v>
      </c>
      <c r="AI63">
        <v>0</v>
      </c>
      <c r="AJ63">
        <v>0</v>
      </c>
      <c r="AK63">
        <v>0</v>
      </c>
      <c r="AL63">
        <v>0</v>
      </c>
      <c r="AM63">
        <v>0</v>
      </c>
      <c r="AN63">
        <v>0</v>
      </c>
      <c r="AO63">
        <v>0</v>
      </c>
      <c r="AP63">
        <v>0</v>
      </c>
      <c r="AQ63">
        <v>0</v>
      </c>
      <c r="AR63">
        <v>0</v>
      </c>
      <c r="AS63">
        <v>0</v>
      </c>
      <c r="AT63">
        <v>0</v>
      </c>
    </row>
    <row r="64" spans="1:46" x14ac:dyDescent="0.25">
      <c r="A64">
        <v>62</v>
      </c>
      <c r="B64">
        <v>9.5912500000000165</v>
      </c>
      <c r="C64">
        <v>0.5453876373626374</v>
      </c>
      <c r="D64">
        <v>0.67034905905248776</v>
      </c>
      <c r="E64">
        <v>2.194409765628454E-2</v>
      </c>
      <c r="F64">
        <v>2.76920417073151</v>
      </c>
      <c r="G64">
        <v>5.0973299999999986</v>
      </c>
      <c r="H64">
        <v>-7.9326849999999993</v>
      </c>
      <c r="I64">
        <v>-8.2584549999999979</v>
      </c>
      <c r="J64">
        <v>6.9089349999999996</v>
      </c>
      <c r="K64">
        <v>-3.3317100000000011</v>
      </c>
      <c r="L64">
        <v>-23.137250000000002</v>
      </c>
      <c r="M64">
        <v>4.8459299999999974</v>
      </c>
      <c r="N64">
        <v>-13.267150000000001</v>
      </c>
      <c r="O64">
        <v>-30.710799999999999</v>
      </c>
      <c r="P64">
        <v>36.527099999999997</v>
      </c>
      <c r="Q64">
        <v>-17.91215</v>
      </c>
      <c r="R64">
        <v>17.241299999999999</v>
      </c>
      <c r="S64">
        <v>26.037500000000001</v>
      </c>
      <c r="T64">
        <v>-13.7263</v>
      </c>
      <c r="U64">
        <v>-176.56937500000001</v>
      </c>
      <c r="V64">
        <v>75.287499999999895</v>
      </c>
      <c r="W64">
        <v>270.82875000000001</v>
      </c>
      <c r="X64">
        <v>-8.5431249999999928</v>
      </c>
      <c r="Y64">
        <v>-98.032500000000027</v>
      </c>
      <c r="Z64">
        <v>211.64999999999969</v>
      </c>
      <c r="AA64">
        <v>-825.60088125000004</v>
      </c>
      <c r="AB64">
        <v>-412.00625000000002</v>
      </c>
      <c r="AC64">
        <v>-224.4375</v>
      </c>
      <c r="AD64">
        <v>-504.69375000000002</v>
      </c>
      <c r="AE64">
        <v>357.06250000000023</v>
      </c>
      <c r="AF64">
        <v>-771.88750000000005</v>
      </c>
      <c r="AG64">
        <v>-604.18125000000032</v>
      </c>
      <c r="AH64">
        <v>197.40625</v>
      </c>
      <c r="AI64">
        <v>0</v>
      </c>
      <c r="AJ64">
        <v>0</v>
      </c>
      <c r="AK64">
        <v>0</v>
      </c>
      <c r="AL64">
        <v>0</v>
      </c>
      <c r="AM64">
        <v>0</v>
      </c>
      <c r="AN64">
        <v>0</v>
      </c>
      <c r="AO64">
        <v>0</v>
      </c>
      <c r="AP64">
        <v>0</v>
      </c>
      <c r="AQ64">
        <v>0</v>
      </c>
      <c r="AR64">
        <v>0</v>
      </c>
      <c r="AS64">
        <v>0</v>
      </c>
      <c r="AT64">
        <v>0</v>
      </c>
    </row>
    <row r="65" spans="1:46" x14ac:dyDescent="0.25">
      <c r="A65">
        <v>63</v>
      </c>
      <c r="B65">
        <v>9.5975000000000179</v>
      </c>
      <c r="C65">
        <v>0.54555618131868133</v>
      </c>
      <c r="D65">
        <v>0.68417421179074567</v>
      </c>
      <c r="E65">
        <v>1.8234358925137448E-2</v>
      </c>
      <c r="F65">
        <v>2.6916988489223801</v>
      </c>
      <c r="G65">
        <v>4.9203000000000001</v>
      </c>
      <c r="H65">
        <v>-7.8574925000000002</v>
      </c>
      <c r="I65">
        <v>-7.9870775000000007</v>
      </c>
      <c r="J65">
        <v>6.8980125000000001</v>
      </c>
      <c r="K65">
        <v>-3.430005</v>
      </c>
      <c r="L65">
        <v>-22.923525000000001</v>
      </c>
      <c r="M65">
        <v>4.0176800000000021</v>
      </c>
      <c r="N65">
        <v>-13.685074999999999</v>
      </c>
      <c r="O65">
        <v>-30.936699999999998</v>
      </c>
      <c r="P65">
        <v>36.021999999999998</v>
      </c>
      <c r="Q65">
        <v>-17.551424999999998</v>
      </c>
      <c r="R65">
        <v>16.455300000000001</v>
      </c>
      <c r="S65">
        <v>25.460999999999999</v>
      </c>
      <c r="T65">
        <v>-13.518800000000001</v>
      </c>
      <c r="U65">
        <v>-181.40781250000001</v>
      </c>
      <c r="V65">
        <v>76.232499999999888</v>
      </c>
      <c r="W65">
        <v>279.89312499999988</v>
      </c>
      <c r="X65">
        <v>5.4740624999999312</v>
      </c>
      <c r="Y65">
        <v>-108.35625</v>
      </c>
      <c r="Z65">
        <v>231.27499999999961</v>
      </c>
      <c r="AA65">
        <v>-823.94694687500009</v>
      </c>
      <c r="AB65">
        <v>-407.32187499999998</v>
      </c>
      <c r="AC65">
        <v>-209.5437499999999</v>
      </c>
      <c r="AD65">
        <v>-516.10312500000009</v>
      </c>
      <c r="AE65">
        <v>388.58125000000013</v>
      </c>
      <c r="AF65">
        <v>-784.15625000000011</v>
      </c>
      <c r="AG65">
        <v>-676.49687500000005</v>
      </c>
      <c r="AH65">
        <v>192.171875</v>
      </c>
      <c r="AI65">
        <v>0</v>
      </c>
      <c r="AJ65">
        <v>0</v>
      </c>
      <c r="AK65">
        <v>0</v>
      </c>
      <c r="AL65">
        <v>0</v>
      </c>
      <c r="AM65">
        <v>0</v>
      </c>
      <c r="AN65">
        <v>0</v>
      </c>
      <c r="AO65">
        <v>0</v>
      </c>
      <c r="AP65">
        <v>0</v>
      </c>
      <c r="AQ65">
        <v>0</v>
      </c>
      <c r="AR65">
        <v>0</v>
      </c>
      <c r="AS65">
        <v>0</v>
      </c>
      <c r="AT65">
        <v>0</v>
      </c>
    </row>
    <row r="66" spans="1:46" x14ac:dyDescent="0.25">
      <c r="A66">
        <v>64</v>
      </c>
      <c r="B66">
        <v>9.6037500000000193</v>
      </c>
      <c r="C66">
        <v>0.54572472527472526</v>
      </c>
      <c r="D66">
        <v>0.69392067595420537</v>
      </c>
      <c r="E66">
        <v>1.9766632075516849E-2</v>
      </c>
      <c r="F66">
        <v>2.6003861256481722</v>
      </c>
      <c r="G66">
        <v>4.7432699999999999</v>
      </c>
      <c r="H66">
        <v>-7.7823000000000002</v>
      </c>
      <c r="I66">
        <v>-7.7157</v>
      </c>
      <c r="J66">
        <v>6.8870899999999997</v>
      </c>
      <c r="K66">
        <v>-3.5283000000000002</v>
      </c>
      <c r="L66">
        <v>-22.709800000000001</v>
      </c>
      <c r="M66">
        <v>3.1894300000000002</v>
      </c>
      <c r="N66">
        <v>-14.103</v>
      </c>
      <c r="O66">
        <v>-31.162600000000001</v>
      </c>
      <c r="P66">
        <v>35.5169</v>
      </c>
      <c r="Q66">
        <v>-17.1907</v>
      </c>
      <c r="R66">
        <v>15.6693</v>
      </c>
      <c r="S66">
        <v>24.884499999999999</v>
      </c>
      <c r="T66">
        <v>-13.311299999999999</v>
      </c>
      <c r="U66">
        <v>-186.24625</v>
      </c>
      <c r="V66">
        <v>77.177499999999895</v>
      </c>
      <c r="W66">
        <v>288.95749999999992</v>
      </c>
      <c r="X66">
        <v>19.491249999999962</v>
      </c>
      <c r="Y66">
        <v>-118.67999999999989</v>
      </c>
      <c r="Z66">
        <v>250.89999999999969</v>
      </c>
      <c r="AA66">
        <v>-822.29301250000003</v>
      </c>
      <c r="AB66">
        <v>-402.63749999999999</v>
      </c>
      <c r="AC66">
        <v>-194.64999999999969</v>
      </c>
      <c r="AD66">
        <v>-527.51250000000027</v>
      </c>
      <c r="AE66">
        <v>420.10000000000008</v>
      </c>
      <c r="AF66">
        <v>-796.42500000000018</v>
      </c>
      <c r="AG66">
        <v>-748.81250000000011</v>
      </c>
      <c r="AH66">
        <v>186.9375</v>
      </c>
      <c r="AI66">
        <v>0</v>
      </c>
      <c r="AJ66">
        <v>0</v>
      </c>
      <c r="AK66">
        <v>0</v>
      </c>
      <c r="AL66">
        <v>0</v>
      </c>
      <c r="AM66">
        <v>0</v>
      </c>
      <c r="AN66">
        <v>0</v>
      </c>
      <c r="AO66">
        <v>0</v>
      </c>
      <c r="AP66">
        <v>0</v>
      </c>
      <c r="AQ66">
        <v>0</v>
      </c>
      <c r="AR66">
        <v>0</v>
      </c>
      <c r="AS66">
        <v>0</v>
      </c>
      <c r="AT66">
        <v>0</v>
      </c>
    </row>
    <row r="67" spans="1:46" x14ac:dyDescent="0.25">
      <c r="A67">
        <v>65</v>
      </c>
      <c r="B67">
        <v>9.6090625000000145</v>
      </c>
      <c r="C67">
        <v>0.54592912087912082</v>
      </c>
      <c r="D67">
        <v>0.70155939396755573</v>
      </c>
      <c r="E67">
        <v>1.6057738233910039E-2</v>
      </c>
      <c r="F67">
        <v>2.5161964197965978</v>
      </c>
      <c r="G67">
        <v>4.5478075000000002</v>
      </c>
      <c r="H67">
        <v>-7.7031375000000004</v>
      </c>
      <c r="I67">
        <v>-7.4091625000000008</v>
      </c>
      <c r="J67">
        <v>6.9369949999999996</v>
      </c>
      <c r="K67">
        <v>-3.6673650000000002</v>
      </c>
      <c r="L67">
        <v>-22.421724999999999</v>
      </c>
      <c r="M67">
        <v>2.3730939750000029</v>
      </c>
      <c r="N67">
        <v>-14.490349999999999</v>
      </c>
      <c r="O67">
        <v>-31.326000000000001</v>
      </c>
      <c r="P67">
        <v>34.966975000000012</v>
      </c>
      <c r="Q67">
        <v>-16.711224999999999</v>
      </c>
      <c r="R67">
        <v>14.862450000000001</v>
      </c>
      <c r="S67">
        <v>23.963374999999999</v>
      </c>
      <c r="T67">
        <v>-13.144925000000001</v>
      </c>
      <c r="U67">
        <v>-190.453125</v>
      </c>
      <c r="V67">
        <v>78.198124999999919</v>
      </c>
      <c r="W67">
        <v>297.27187499999991</v>
      </c>
      <c r="X67">
        <v>35.441249999999933</v>
      </c>
      <c r="Y67">
        <v>-127.9549999999999</v>
      </c>
      <c r="Z67">
        <v>267.93124999999969</v>
      </c>
      <c r="AA67">
        <v>-817.70475937500009</v>
      </c>
      <c r="AB67">
        <v>-391.89062500000011</v>
      </c>
      <c r="AC67">
        <v>-178.71562499999979</v>
      </c>
      <c r="AD67">
        <v>-538.9156250000002</v>
      </c>
      <c r="AE67">
        <v>446.04374999999999</v>
      </c>
      <c r="AF67">
        <v>-796.8325000000001</v>
      </c>
      <c r="AG67">
        <v>-848.05624999999975</v>
      </c>
      <c r="AH67">
        <v>172.26875000000001</v>
      </c>
      <c r="AI67">
        <v>0</v>
      </c>
      <c r="AJ67">
        <v>0</v>
      </c>
      <c r="AK67">
        <v>0</v>
      </c>
      <c r="AL67">
        <v>0</v>
      </c>
      <c r="AM67">
        <v>0</v>
      </c>
      <c r="AN67">
        <v>0</v>
      </c>
      <c r="AO67">
        <v>0</v>
      </c>
      <c r="AP67">
        <v>0</v>
      </c>
      <c r="AQ67">
        <v>0</v>
      </c>
      <c r="AR67">
        <v>0</v>
      </c>
      <c r="AS67">
        <v>0</v>
      </c>
      <c r="AT67">
        <v>0</v>
      </c>
    </row>
    <row r="68" spans="1:46" x14ac:dyDescent="0.25">
      <c r="A68">
        <v>66</v>
      </c>
      <c r="B68">
        <v>9.6143750000000097</v>
      </c>
      <c r="C68">
        <v>0.54613351648351649</v>
      </c>
      <c r="D68">
        <v>0.70972506664677626</v>
      </c>
      <c r="E68">
        <v>1.275757525973018E-2</v>
      </c>
      <c r="F68">
        <v>2.4263691474266529</v>
      </c>
      <c r="G68">
        <v>4.3523449999999988</v>
      </c>
      <c r="H68">
        <v>-7.6239749999999997</v>
      </c>
      <c r="I68">
        <v>-7.102624999999998</v>
      </c>
      <c r="J68">
        <v>6.9869000000000003</v>
      </c>
      <c r="K68">
        <v>-3.8064300000000011</v>
      </c>
      <c r="L68">
        <v>-22.133649999999999</v>
      </c>
      <c r="M68">
        <v>1.556757949999994</v>
      </c>
      <c r="N68">
        <v>-14.877700000000001</v>
      </c>
      <c r="O68">
        <v>-31.4894</v>
      </c>
      <c r="P68">
        <v>34.417050000000003</v>
      </c>
      <c r="Q68">
        <v>-16.231750000000002</v>
      </c>
      <c r="R68">
        <v>14.055599999999989</v>
      </c>
      <c r="S68">
        <v>23.042249999999989</v>
      </c>
      <c r="T68">
        <v>-12.97855</v>
      </c>
      <c r="U68">
        <v>-194.66</v>
      </c>
      <c r="V68">
        <v>79.218749999999957</v>
      </c>
      <c r="W68">
        <v>305.58625000000001</v>
      </c>
      <c r="X68">
        <v>51.391250000000113</v>
      </c>
      <c r="Y68">
        <v>-137.22999999999999</v>
      </c>
      <c r="Z68">
        <v>284.96250000000009</v>
      </c>
      <c r="AA68">
        <v>-813.11650625000004</v>
      </c>
      <c r="AB68">
        <v>-381.14375000000001</v>
      </c>
      <c r="AC68">
        <v>-162.78124999999949</v>
      </c>
      <c r="AD68">
        <v>-550.31875000000025</v>
      </c>
      <c r="AE68">
        <v>471.98750000000018</v>
      </c>
      <c r="AF68">
        <v>-797.24000000000012</v>
      </c>
      <c r="AG68">
        <v>-947.30000000000075</v>
      </c>
      <c r="AH68">
        <v>157.59999999999991</v>
      </c>
      <c r="AI68">
        <v>0</v>
      </c>
      <c r="AJ68">
        <v>0</v>
      </c>
      <c r="AK68">
        <v>0</v>
      </c>
      <c r="AL68">
        <v>0</v>
      </c>
      <c r="AM68">
        <v>0</v>
      </c>
      <c r="AN68">
        <v>0</v>
      </c>
      <c r="AO68">
        <v>0</v>
      </c>
      <c r="AP68">
        <v>0</v>
      </c>
      <c r="AQ68">
        <v>0</v>
      </c>
      <c r="AR68">
        <v>0</v>
      </c>
      <c r="AS68">
        <v>0</v>
      </c>
      <c r="AT68">
        <v>0</v>
      </c>
    </row>
    <row r="69" spans="1:46" x14ac:dyDescent="0.25">
      <c r="A69">
        <v>67</v>
      </c>
      <c r="B69">
        <v>9.6196875000000048</v>
      </c>
      <c r="C69">
        <v>0.54633791208791216</v>
      </c>
      <c r="D69">
        <v>0.71621282343285864</v>
      </c>
      <c r="E69">
        <v>8.4492325902086295E-3</v>
      </c>
      <c r="F69">
        <v>2.3410561659527969</v>
      </c>
      <c r="G69">
        <v>4.1568824999999991</v>
      </c>
      <c r="H69">
        <v>-7.5448124999999999</v>
      </c>
      <c r="I69">
        <v>-6.7960874999999987</v>
      </c>
      <c r="J69">
        <v>7.0368050000000002</v>
      </c>
      <c r="K69">
        <v>-3.9454950000000002</v>
      </c>
      <c r="L69">
        <v>-21.845575</v>
      </c>
      <c r="M69">
        <v>0.74042192499999748</v>
      </c>
      <c r="N69">
        <v>-15.26505</v>
      </c>
      <c r="O69">
        <v>-31.652799999999999</v>
      </c>
      <c r="P69">
        <v>33.867124999999987</v>
      </c>
      <c r="Q69">
        <v>-15.752274999999999</v>
      </c>
      <c r="R69">
        <v>13.248749999999999</v>
      </c>
      <c r="S69">
        <v>22.121124999999999</v>
      </c>
      <c r="T69">
        <v>-12.812175</v>
      </c>
      <c r="U69">
        <v>-198.86687499999999</v>
      </c>
      <c r="V69">
        <v>80.239374999999967</v>
      </c>
      <c r="W69">
        <v>313.90062499999999</v>
      </c>
      <c r="X69">
        <v>67.341250000000073</v>
      </c>
      <c r="Y69">
        <v>-146.505</v>
      </c>
      <c r="Z69">
        <v>301.9937500000002</v>
      </c>
      <c r="AA69">
        <v>-808.52825312499999</v>
      </c>
      <c r="AB69">
        <v>-370.39687500000002</v>
      </c>
      <c r="AC69">
        <v>-146.8468749999995</v>
      </c>
      <c r="AD69">
        <v>-561.72187500000018</v>
      </c>
      <c r="AE69">
        <v>497.93124999999998</v>
      </c>
      <c r="AF69">
        <v>-797.64750000000004</v>
      </c>
      <c r="AG69">
        <v>-1046.54375</v>
      </c>
      <c r="AH69">
        <v>142.93124999999989</v>
      </c>
      <c r="AI69">
        <v>0</v>
      </c>
      <c r="AJ69">
        <v>0</v>
      </c>
      <c r="AK69">
        <v>0</v>
      </c>
      <c r="AL69">
        <v>0</v>
      </c>
      <c r="AM69">
        <v>0</v>
      </c>
      <c r="AN69">
        <v>0</v>
      </c>
      <c r="AO69">
        <v>0</v>
      </c>
      <c r="AP69">
        <v>0</v>
      </c>
      <c r="AQ69">
        <v>0</v>
      </c>
      <c r="AR69">
        <v>0</v>
      </c>
      <c r="AS69">
        <v>0</v>
      </c>
      <c r="AT69">
        <v>0</v>
      </c>
    </row>
    <row r="70" spans="1:46" x14ac:dyDescent="0.25">
      <c r="A70">
        <v>68</v>
      </c>
      <c r="B70">
        <v>9.625</v>
      </c>
      <c r="C70">
        <v>0.54654230769230772</v>
      </c>
      <c r="D70">
        <v>0.72104470839053736</v>
      </c>
      <c r="E70">
        <v>7.0865896056606118E-3</v>
      </c>
      <c r="F70">
        <v>2.2446415034252412</v>
      </c>
      <c r="G70">
        <v>3.9614199999999999</v>
      </c>
      <c r="H70">
        <v>-7.4656500000000001</v>
      </c>
      <c r="I70">
        <v>-6.4895500000000004</v>
      </c>
      <c r="J70">
        <v>7.0867100000000001</v>
      </c>
      <c r="K70">
        <v>-4.0845599999999997</v>
      </c>
      <c r="L70">
        <v>-21.557500000000001</v>
      </c>
      <c r="M70">
        <v>-7.5914099999999998E-2</v>
      </c>
      <c r="N70">
        <v>-15.6524</v>
      </c>
      <c r="O70">
        <v>-31.816199999999998</v>
      </c>
      <c r="P70">
        <v>33.3172</v>
      </c>
      <c r="Q70">
        <v>-15.2728</v>
      </c>
      <c r="R70">
        <v>12.4419</v>
      </c>
      <c r="S70">
        <v>21.2</v>
      </c>
      <c r="T70">
        <v>-12.645799999999999</v>
      </c>
      <c r="U70">
        <v>-203.07374999999999</v>
      </c>
      <c r="V70">
        <v>81.259999999999991</v>
      </c>
      <c r="W70">
        <v>322.21499999999997</v>
      </c>
      <c r="X70">
        <v>83.291250000000034</v>
      </c>
      <c r="Y70">
        <v>-155.78</v>
      </c>
      <c r="Z70">
        <v>319.02500000000032</v>
      </c>
      <c r="AA70">
        <v>-803.94</v>
      </c>
      <c r="AB70">
        <v>-359.65</v>
      </c>
      <c r="AC70">
        <v>-130.91249999999951</v>
      </c>
      <c r="AD70">
        <v>-573.12500000000011</v>
      </c>
      <c r="AE70">
        <v>523.87499999999989</v>
      </c>
      <c r="AF70">
        <v>-798.05499999999995</v>
      </c>
      <c r="AG70">
        <v>-1145.7874999999999</v>
      </c>
      <c r="AH70">
        <v>128.2624999999999</v>
      </c>
      <c r="AI70">
        <v>0</v>
      </c>
      <c r="AJ70">
        <v>0</v>
      </c>
      <c r="AK70">
        <v>0</v>
      </c>
      <c r="AL70">
        <v>0</v>
      </c>
      <c r="AM70">
        <v>0</v>
      </c>
      <c r="AN70">
        <v>0</v>
      </c>
      <c r="AO70">
        <v>0</v>
      </c>
      <c r="AP70">
        <v>0</v>
      </c>
      <c r="AQ70">
        <v>0</v>
      </c>
      <c r="AR70">
        <v>0</v>
      </c>
      <c r="AS70">
        <v>0</v>
      </c>
      <c r="AT70">
        <v>0</v>
      </c>
    </row>
    <row r="71" spans="1:46" x14ac:dyDescent="0.25">
      <c r="A71">
        <v>69</v>
      </c>
      <c r="B71">
        <v>9.6306249999999949</v>
      </c>
      <c r="C71">
        <v>0.54677582417582427</v>
      </c>
      <c r="D71">
        <v>0.72071957293837985</v>
      </c>
      <c r="E71">
        <v>5.1192547211707726E-3</v>
      </c>
      <c r="F71">
        <v>2.1464490305848809</v>
      </c>
      <c r="G71">
        <v>3.7507349999999979</v>
      </c>
      <c r="H71">
        <v>-7.3822924999999993</v>
      </c>
      <c r="I71">
        <v>-6.151657499999998</v>
      </c>
      <c r="J71">
        <v>7.2033875000000007</v>
      </c>
      <c r="K71">
        <v>-4.2570550000000011</v>
      </c>
      <c r="L71">
        <v>-21.207525</v>
      </c>
      <c r="M71">
        <v>-0.86745807500000571</v>
      </c>
      <c r="N71">
        <v>-15.984349999999999</v>
      </c>
      <c r="O71">
        <v>-31.914625000000001</v>
      </c>
      <c r="P71">
        <v>32.720874999999992</v>
      </c>
      <c r="Q71">
        <v>-14.704525</v>
      </c>
      <c r="R71">
        <v>11.652639999999989</v>
      </c>
      <c r="S71">
        <v>19.82954999999999</v>
      </c>
      <c r="T71">
        <v>-12.55565</v>
      </c>
      <c r="U71">
        <v>-206.30375000000001</v>
      </c>
      <c r="V71">
        <v>82.301562500000017</v>
      </c>
      <c r="W71">
        <v>329.3928125000001</v>
      </c>
      <c r="X71">
        <v>100.0584375000002</v>
      </c>
      <c r="Y71">
        <v>-162.60874999999999</v>
      </c>
      <c r="Z71">
        <v>332.54375000000027</v>
      </c>
      <c r="AA71">
        <v>-795.69299687499995</v>
      </c>
      <c r="AB71">
        <v>-343.07499999999987</v>
      </c>
      <c r="AC71">
        <v>-114.69687499999959</v>
      </c>
      <c r="AD71">
        <v>-584.65625000000023</v>
      </c>
      <c r="AE71">
        <v>540.47187500000007</v>
      </c>
      <c r="AF71">
        <v>-791.12343749999991</v>
      </c>
      <c r="AG71">
        <v>-1262.6996875000009</v>
      </c>
      <c r="AH71">
        <v>107.61874999999981</v>
      </c>
      <c r="AI71">
        <v>0</v>
      </c>
      <c r="AJ71">
        <v>0</v>
      </c>
      <c r="AK71">
        <v>0</v>
      </c>
      <c r="AL71">
        <v>0</v>
      </c>
      <c r="AM71">
        <v>0</v>
      </c>
      <c r="AN71">
        <v>0</v>
      </c>
      <c r="AO71">
        <v>0</v>
      </c>
      <c r="AP71">
        <v>0</v>
      </c>
      <c r="AQ71">
        <v>0</v>
      </c>
      <c r="AR71">
        <v>0</v>
      </c>
      <c r="AS71">
        <v>0</v>
      </c>
      <c r="AT71">
        <v>0</v>
      </c>
    </row>
    <row r="72" spans="1:46" x14ac:dyDescent="0.25">
      <c r="A72">
        <v>70</v>
      </c>
      <c r="B72">
        <v>9.6362499999999898</v>
      </c>
      <c r="C72">
        <v>0.5470093406593407</v>
      </c>
      <c r="D72">
        <v>0.71824696851156877</v>
      </c>
      <c r="E72">
        <v>3.15362100036081E-3</v>
      </c>
      <c r="F72">
        <v>2.0394556679367728</v>
      </c>
      <c r="G72">
        <v>3.5400499999999999</v>
      </c>
      <c r="H72">
        <v>-7.2989350000000002</v>
      </c>
      <c r="I72">
        <v>-5.8137650000000001</v>
      </c>
      <c r="J72">
        <v>7.3200649999999996</v>
      </c>
      <c r="K72">
        <v>-4.4295499999999999</v>
      </c>
      <c r="L72">
        <v>-20.85755</v>
      </c>
      <c r="M72">
        <v>-1.65900205</v>
      </c>
      <c r="N72">
        <v>-16.316299999999998</v>
      </c>
      <c r="O72">
        <v>-32.01305</v>
      </c>
      <c r="P72">
        <v>32.124549999999999</v>
      </c>
      <c r="Q72">
        <v>-14.13625</v>
      </c>
      <c r="R72">
        <v>10.863379999999999</v>
      </c>
      <c r="S72">
        <v>18.459099999999999</v>
      </c>
      <c r="T72">
        <v>-12.4655</v>
      </c>
      <c r="U72">
        <v>-209.53375</v>
      </c>
      <c r="V72">
        <v>83.343125000000015</v>
      </c>
      <c r="W72">
        <v>336.57062500000012</v>
      </c>
      <c r="X72">
        <v>116.825625</v>
      </c>
      <c r="Y72">
        <v>-169.4375</v>
      </c>
      <c r="Z72">
        <v>346.06250000000011</v>
      </c>
      <c r="AA72">
        <v>-787.44599375000007</v>
      </c>
      <c r="AB72">
        <v>-326.49999999999989</v>
      </c>
      <c r="AC72">
        <v>-98.481249999999847</v>
      </c>
      <c r="AD72">
        <v>-596.18750000000011</v>
      </c>
      <c r="AE72">
        <v>557.06874999999991</v>
      </c>
      <c r="AF72">
        <v>-784.19187499999998</v>
      </c>
      <c r="AG72">
        <v>-1379.6118750000001</v>
      </c>
      <c r="AH72">
        <v>86.974999999999909</v>
      </c>
      <c r="AI72">
        <v>0</v>
      </c>
      <c r="AJ72">
        <v>0</v>
      </c>
      <c r="AK72">
        <v>0</v>
      </c>
      <c r="AL72">
        <v>0</v>
      </c>
      <c r="AM72">
        <v>0</v>
      </c>
      <c r="AN72">
        <v>0</v>
      </c>
      <c r="AO72">
        <v>0</v>
      </c>
      <c r="AP72">
        <v>0</v>
      </c>
      <c r="AQ72">
        <v>0</v>
      </c>
      <c r="AR72">
        <v>0</v>
      </c>
      <c r="AS72">
        <v>0</v>
      </c>
      <c r="AT72">
        <v>0</v>
      </c>
    </row>
    <row r="73" spans="1:46" x14ac:dyDescent="0.25">
      <c r="A73">
        <v>71</v>
      </c>
      <c r="B73">
        <v>9.6418749999999847</v>
      </c>
      <c r="C73">
        <v>0.54724285714285725</v>
      </c>
      <c r="D73">
        <v>0.71114274655465537</v>
      </c>
      <c r="E73">
        <v>4.9006914449983112E-3</v>
      </c>
      <c r="F73">
        <v>1.925995541123438</v>
      </c>
      <c r="G73">
        <v>3.3293649999999979</v>
      </c>
      <c r="H73">
        <v>-7.2155774999999993</v>
      </c>
      <c r="I73">
        <v>-5.4758724999999977</v>
      </c>
      <c r="J73">
        <v>7.4367425000000011</v>
      </c>
      <c r="K73">
        <v>-4.6020450000000013</v>
      </c>
      <c r="L73">
        <v>-20.507574999999999</v>
      </c>
      <c r="M73">
        <v>-2.4505460250000062</v>
      </c>
      <c r="N73">
        <v>-16.648250000000001</v>
      </c>
      <c r="O73">
        <v>-32.111474999999999</v>
      </c>
      <c r="P73">
        <v>31.528224999999999</v>
      </c>
      <c r="Q73">
        <v>-13.567975000000001</v>
      </c>
      <c r="R73">
        <v>10.07411999999999</v>
      </c>
      <c r="S73">
        <v>17.088649999999991</v>
      </c>
      <c r="T73">
        <v>-12.375349999999999</v>
      </c>
      <c r="U73">
        <v>-212.76374999999999</v>
      </c>
      <c r="V73">
        <v>84.384687500000041</v>
      </c>
      <c r="W73">
        <v>343.74843750000008</v>
      </c>
      <c r="X73">
        <v>133.59281250000021</v>
      </c>
      <c r="Y73">
        <v>-176.26625000000001</v>
      </c>
      <c r="Z73">
        <v>359.58125000000018</v>
      </c>
      <c r="AA73">
        <v>-779.19899062499996</v>
      </c>
      <c r="AB73">
        <v>-309.92499999999973</v>
      </c>
      <c r="AC73">
        <v>-82.265624999999886</v>
      </c>
      <c r="AD73">
        <v>-607.71875000000023</v>
      </c>
      <c r="AE73">
        <v>573.66562500000009</v>
      </c>
      <c r="AF73">
        <v>-777.26031249999994</v>
      </c>
      <c r="AG73">
        <v>-1496.524062500001</v>
      </c>
      <c r="AH73">
        <v>66.331249999999756</v>
      </c>
      <c r="AI73">
        <v>0</v>
      </c>
      <c r="AJ73">
        <v>0</v>
      </c>
      <c r="AK73">
        <v>0</v>
      </c>
      <c r="AL73">
        <v>0</v>
      </c>
      <c r="AM73">
        <v>0</v>
      </c>
      <c r="AN73">
        <v>0</v>
      </c>
      <c r="AO73">
        <v>0</v>
      </c>
      <c r="AP73">
        <v>0</v>
      </c>
      <c r="AQ73">
        <v>0</v>
      </c>
      <c r="AR73">
        <v>0</v>
      </c>
      <c r="AS73">
        <v>0</v>
      </c>
      <c r="AT73">
        <v>0</v>
      </c>
    </row>
    <row r="74" spans="1:46" x14ac:dyDescent="0.25">
      <c r="A74">
        <v>72</v>
      </c>
      <c r="B74">
        <v>9.6474999999999795</v>
      </c>
      <c r="C74">
        <v>0.54747637362637369</v>
      </c>
      <c r="D74">
        <v>0.7002472935276145</v>
      </c>
      <c r="E74">
        <v>6.027436106941589E-3</v>
      </c>
      <c r="F74">
        <v>1.805728250628162</v>
      </c>
      <c r="G74">
        <v>3.1186799999999999</v>
      </c>
      <c r="H74">
        <v>-7.1322200000000002</v>
      </c>
      <c r="I74">
        <v>-5.1379799999999998</v>
      </c>
      <c r="J74">
        <v>7.55342</v>
      </c>
      <c r="K74">
        <v>-4.77454</v>
      </c>
      <c r="L74">
        <v>-20.157599999999999</v>
      </c>
      <c r="M74">
        <v>-3.2420900000000001</v>
      </c>
      <c r="N74">
        <v>-16.9802</v>
      </c>
      <c r="O74">
        <v>-32.209899999999998</v>
      </c>
      <c r="P74">
        <v>30.931899999999999</v>
      </c>
      <c r="Q74">
        <v>-12.999700000000001</v>
      </c>
      <c r="R74">
        <v>9.2848600000000001</v>
      </c>
      <c r="S74">
        <v>15.7182</v>
      </c>
      <c r="T74">
        <v>-12.2852</v>
      </c>
      <c r="U74">
        <v>-215.99375000000001</v>
      </c>
      <c r="V74">
        <v>85.426250000000039</v>
      </c>
      <c r="W74">
        <v>350.92624999999998</v>
      </c>
      <c r="X74">
        <v>150.36000000000001</v>
      </c>
      <c r="Y74">
        <v>-183.095</v>
      </c>
      <c r="Z74">
        <v>373.1</v>
      </c>
      <c r="AA74">
        <v>-770.95198749999997</v>
      </c>
      <c r="AB74">
        <v>-293.3499999999998</v>
      </c>
      <c r="AC74">
        <v>-66.050000000000168</v>
      </c>
      <c r="AD74">
        <v>-619.25000000000011</v>
      </c>
      <c r="AE74">
        <v>590.26249999999993</v>
      </c>
      <c r="AF74">
        <v>-770.32875000000001</v>
      </c>
      <c r="AG74">
        <v>-1613.43625</v>
      </c>
      <c r="AH74">
        <v>45.687499999999879</v>
      </c>
      <c r="AI74">
        <v>0</v>
      </c>
      <c r="AJ74">
        <v>0</v>
      </c>
      <c r="AK74">
        <v>0</v>
      </c>
      <c r="AL74">
        <v>0</v>
      </c>
      <c r="AM74">
        <v>0</v>
      </c>
      <c r="AN74">
        <v>0</v>
      </c>
      <c r="AO74">
        <v>0</v>
      </c>
      <c r="AP74">
        <v>0</v>
      </c>
      <c r="AQ74">
        <v>0</v>
      </c>
      <c r="AR74">
        <v>0</v>
      </c>
      <c r="AS74">
        <v>0</v>
      </c>
      <c r="AT74">
        <v>0</v>
      </c>
    </row>
    <row r="75" spans="1:46" x14ac:dyDescent="0.25">
      <c r="A75">
        <v>73</v>
      </c>
      <c r="B75">
        <v>9.6528124999999818</v>
      </c>
      <c r="C75">
        <v>0.54773200549450551</v>
      </c>
      <c r="D75">
        <v>0.68824759963813587</v>
      </c>
      <c r="E75">
        <v>5.4545137650307517E-3</v>
      </c>
      <c r="F75">
        <v>1.69206278770263</v>
      </c>
      <c r="G75">
        <v>2.897377500000001</v>
      </c>
      <c r="H75">
        <v>-7.0447250000000006</v>
      </c>
      <c r="I75">
        <v>-4.774020000000001</v>
      </c>
      <c r="J75">
        <v>7.7374624999999986</v>
      </c>
      <c r="K75">
        <v>-4.9682349999999991</v>
      </c>
      <c r="L75">
        <v>-19.761375000000001</v>
      </c>
      <c r="M75">
        <v>-3.9924499999999972</v>
      </c>
      <c r="N75">
        <v>-17.234950000000001</v>
      </c>
      <c r="O75">
        <v>-32.243575</v>
      </c>
      <c r="P75">
        <v>30.289725000000001</v>
      </c>
      <c r="Q75">
        <v>-12.387449999999999</v>
      </c>
      <c r="R75">
        <v>8.5334625000000024</v>
      </c>
      <c r="S75">
        <v>13.861777500000009</v>
      </c>
      <c r="T75">
        <v>-12.283975</v>
      </c>
      <c r="U75">
        <v>-217.921875</v>
      </c>
      <c r="V75">
        <v>86.409687500000032</v>
      </c>
      <c r="W75">
        <v>356.62531250000001</v>
      </c>
      <c r="X75">
        <v>166.43531250000001</v>
      </c>
      <c r="Y75">
        <v>-186.54750000000001</v>
      </c>
      <c r="Z75">
        <v>382.40624999999989</v>
      </c>
      <c r="AA75">
        <v>-758.21492812500003</v>
      </c>
      <c r="AB75">
        <v>-272.27812499999987</v>
      </c>
      <c r="AC75">
        <v>-50.268750000000253</v>
      </c>
      <c r="AD75">
        <v>-629.44687500000009</v>
      </c>
      <c r="AE75">
        <v>594.31093750000002</v>
      </c>
      <c r="AF75">
        <v>-759.4865625000001</v>
      </c>
      <c r="AG75">
        <v>-1722.4331875</v>
      </c>
      <c r="AH75">
        <v>26.212499999999981</v>
      </c>
      <c r="AI75">
        <v>0</v>
      </c>
      <c r="AJ75">
        <v>0</v>
      </c>
      <c r="AK75">
        <v>0</v>
      </c>
      <c r="AL75">
        <v>0</v>
      </c>
      <c r="AM75">
        <v>0</v>
      </c>
      <c r="AN75">
        <v>0</v>
      </c>
      <c r="AO75">
        <v>0</v>
      </c>
      <c r="AP75">
        <v>0</v>
      </c>
      <c r="AQ75">
        <v>0</v>
      </c>
      <c r="AR75">
        <v>0</v>
      </c>
      <c r="AS75">
        <v>0</v>
      </c>
      <c r="AT75">
        <v>0</v>
      </c>
    </row>
    <row r="76" spans="1:46" x14ac:dyDescent="0.25">
      <c r="A76">
        <v>74</v>
      </c>
      <c r="B76">
        <v>9.6581249999999841</v>
      </c>
      <c r="C76">
        <v>0.54798763736263745</v>
      </c>
      <c r="D76">
        <v>0.67005082606091049</v>
      </c>
      <c r="E76">
        <v>2.7968146083567199E-3</v>
      </c>
      <c r="F76">
        <v>1.5741524500590149</v>
      </c>
      <c r="G76">
        <v>2.6760749999999982</v>
      </c>
      <c r="H76">
        <v>-6.9572299999999991</v>
      </c>
      <c r="I76">
        <v>-4.410059999999997</v>
      </c>
      <c r="J76">
        <v>7.9215050000000016</v>
      </c>
      <c r="K76">
        <v>-5.1619300000000017</v>
      </c>
      <c r="L76">
        <v>-19.36515</v>
      </c>
      <c r="M76">
        <v>-4.7428100000000057</v>
      </c>
      <c r="N76">
        <v>-17.489699999999999</v>
      </c>
      <c r="O76">
        <v>-32.277250000000002</v>
      </c>
      <c r="P76">
        <v>29.647549999999999</v>
      </c>
      <c r="Q76">
        <v>-11.7752</v>
      </c>
      <c r="R76">
        <v>7.7820649999999949</v>
      </c>
      <c r="S76">
        <v>12.005354999999989</v>
      </c>
      <c r="T76">
        <v>-12.28275</v>
      </c>
      <c r="U76">
        <v>-219.85</v>
      </c>
      <c r="V76">
        <v>87.393125000000026</v>
      </c>
      <c r="W76">
        <v>362.32437499999997</v>
      </c>
      <c r="X76">
        <v>182.51062500000009</v>
      </c>
      <c r="Y76">
        <v>-190</v>
      </c>
      <c r="Z76">
        <v>391.71249999999998</v>
      </c>
      <c r="AA76">
        <v>-745.47786874999986</v>
      </c>
      <c r="AB76">
        <v>-251.2062499999997</v>
      </c>
      <c r="AC76">
        <v>-34.487500000000111</v>
      </c>
      <c r="AD76">
        <v>-639.64375000000018</v>
      </c>
      <c r="AE76">
        <v>598.35937500000011</v>
      </c>
      <c r="AF76">
        <v>-748.64437499999997</v>
      </c>
      <c r="AG76">
        <v>-1831.430125000001</v>
      </c>
      <c r="AH76">
        <v>6.7374999999998053</v>
      </c>
      <c r="AI76">
        <v>0</v>
      </c>
      <c r="AJ76">
        <v>0</v>
      </c>
      <c r="AK76">
        <v>0</v>
      </c>
      <c r="AL76">
        <v>0</v>
      </c>
      <c r="AM76">
        <v>0</v>
      </c>
      <c r="AN76">
        <v>0</v>
      </c>
      <c r="AO76">
        <v>0</v>
      </c>
      <c r="AP76">
        <v>0</v>
      </c>
      <c r="AQ76">
        <v>0</v>
      </c>
      <c r="AR76">
        <v>0</v>
      </c>
      <c r="AS76">
        <v>0</v>
      </c>
      <c r="AT76">
        <v>0</v>
      </c>
    </row>
    <row r="77" spans="1:46" x14ac:dyDescent="0.25">
      <c r="A77">
        <v>75</v>
      </c>
      <c r="B77">
        <v>9.6634374999999864</v>
      </c>
      <c r="C77">
        <v>0.54824326923076927</v>
      </c>
      <c r="D77">
        <v>0.64653008454017169</v>
      </c>
      <c r="E77">
        <v>3.5106985923717389E-4</v>
      </c>
      <c r="F77">
        <v>1.461562171888227</v>
      </c>
      <c r="G77">
        <v>2.4547724999999989</v>
      </c>
      <c r="H77">
        <v>-6.8697349999999986</v>
      </c>
      <c r="I77">
        <v>-4.0460999999999991</v>
      </c>
      <c r="J77">
        <v>8.1055475000000001</v>
      </c>
      <c r="K77">
        <v>-5.3556250000000007</v>
      </c>
      <c r="L77">
        <v>-18.968924999999999</v>
      </c>
      <c r="M77">
        <v>-5.4931700000000028</v>
      </c>
      <c r="N77">
        <v>-17.744450000000001</v>
      </c>
      <c r="O77">
        <v>-32.310924999999997</v>
      </c>
      <c r="P77">
        <v>29.005375000000001</v>
      </c>
      <c r="Q77">
        <v>-11.16295</v>
      </c>
      <c r="R77">
        <v>7.0306674999999981</v>
      </c>
      <c r="S77">
        <v>10.14893249999999</v>
      </c>
      <c r="T77">
        <v>-12.281525</v>
      </c>
      <c r="U77">
        <v>-221.77812499999999</v>
      </c>
      <c r="V77">
        <v>88.376562500000006</v>
      </c>
      <c r="W77">
        <v>368.0234375</v>
      </c>
      <c r="X77">
        <v>198.5859375</v>
      </c>
      <c r="Y77">
        <v>-193.45249999999999</v>
      </c>
      <c r="Z77">
        <v>401.0187499999999</v>
      </c>
      <c r="AA77">
        <v>-732.74080937499991</v>
      </c>
      <c r="AB77">
        <v>-230.13437499999981</v>
      </c>
      <c r="AC77">
        <v>-18.7062500000002</v>
      </c>
      <c r="AD77">
        <v>-649.84062500000005</v>
      </c>
      <c r="AE77">
        <v>602.40781250000009</v>
      </c>
      <c r="AF77">
        <v>-737.80218749999995</v>
      </c>
      <c r="AG77">
        <v>-1940.4270624999999</v>
      </c>
      <c r="AH77">
        <v>-12.73750000000009</v>
      </c>
      <c r="AI77">
        <v>0</v>
      </c>
      <c r="AJ77">
        <v>0</v>
      </c>
      <c r="AK77">
        <v>0</v>
      </c>
      <c r="AL77">
        <v>0</v>
      </c>
      <c r="AM77">
        <v>0</v>
      </c>
      <c r="AN77">
        <v>0</v>
      </c>
      <c r="AO77">
        <v>0</v>
      </c>
      <c r="AP77">
        <v>0</v>
      </c>
      <c r="AQ77">
        <v>0</v>
      </c>
      <c r="AR77">
        <v>0</v>
      </c>
      <c r="AS77">
        <v>0</v>
      </c>
      <c r="AT77">
        <v>0</v>
      </c>
    </row>
    <row r="78" spans="1:46" x14ac:dyDescent="0.25">
      <c r="A78">
        <v>76</v>
      </c>
      <c r="B78">
        <v>9.6687499999999886</v>
      </c>
      <c r="C78">
        <v>0.54849890109890109</v>
      </c>
      <c r="D78">
        <v>0.62321320711020345</v>
      </c>
      <c r="E78">
        <v>-1.713003663018403E-3</v>
      </c>
      <c r="F78">
        <v>1.3283556752655641</v>
      </c>
      <c r="G78">
        <v>2.2334700000000001</v>
      </c>
      <c r="H78">
        <v>-6.7822399999999998</v>
      </c>
      <c r="I78">
        <v>-3.68214</v>
      </c>
      <c r="J78">
        <v>8.2895900000000005</v>
      </c>
      <c r="K78">
        <v>-5.5493199999999998</v>
      </c>
      <c r="L78">
        <v>-18.572700000000001</v>
      </c>
      <c r="M78">
        <v>-6.2435299999999998</v>
      </c>
      <c r="N78">
        <v>-17.999199999999998</v>
      </c>
      <c r="O78">
        <v>-32.3446</v>
      </c>
      <c r="P78">
        <v>28.363199999999999</v>
      </c>
      <c r="Q78">
        <v>-10.550700000000001</v>
      </c>
      <c r="R78">
        <v>6.2792700000000004</v>
      </c>
      <c r="S78">
        <v>8.29251</v>
      </c>
      <c r="T78">
        <v>-12.2803</v>
      </c>
      <c r="U78">
        <v>-223.70625000000001</v>
      </c>
      <c r="V78">
        <v>89.36</v>
      </c>
      <c r="W78">
        <v>373.72250000000003</v>
      </c>
      <c r="X78">
        <v>214.66124999999991</v>
      </c>
      <c r="Y78">
        <v>-196.905</v>
      </c>
      <c r="Z78">
        <v>410.32499999999982</v>
      </c>
      <c r="AA78">
        <v>-720.00374999999997</v>
      </c>
      <c r="AB78">
        <v>-209.06249999999989</v>
      </c>
      <c r="AC78">
        <v>-2.925000000000288</v>
      </c>
      <c r="AD78">
        <v>-660.03750000000002</v>
      </c>
      <c r="AE78">
        <v>606.45625000000018</v>
      </c>
      <c r="AF78">
        <v>-726.96</v>
      </c>
      <c r="AG78">
        <v>-2049.424</v>
      </c>
      <c r="AH78">
        <v>-32.212499999999977</v>
      </c>
      <c r="AI78">
        <v>0</v>
      </c>
      <c r="AJ78">
        <v>0</v>
      </c>
      <c r="AK78">
        <v>0</v>
      </c>
      <c r="AL78">
        <v>0</v>
      </c>
      <c r="AM78">
        <v>0</v>
      </c>
      <c r="AN78">
        <v>0</v>
      </c>
      <c r="AO78">
        <v>0</v>
      </c>
      <c r="AP78">
        <v>0</v>
      </c>
      <c r="AQ78">
        <v>0</v>
      </c>
      <c r="AR78">
        <v>0</v>
      </c>
      <c r="AS78">
        <v>0</v>
      </c>
      <c r="AT78">
        <v>0</v>
      </c>
    </row>
    <row r="79" spans="1:46" x14ac:dyDescent="0.25">
      <c r="A79">
        <v>77</v>
      </c>
      <c r="B79">
        <v>9.6737499999999912</v>
      </c>
      <c r="C79">
        <v>0.54876978021978018</v>
      </c>
      <c r="D79">
        <v>0.59737891924158337</v>
      </c>
      <c r="E79">
        <v>-3.216725761331429E-3</v>
      </c>
      <c r="F79">
        <v>1.2105821340960321</v>
      </c>
      <c r="G79">
        <v>2.007359999999998</v>
      </c>
      <c r="H79">
        <v>-6.6910149999999993</v>
      </c>
      <c r="I79">
        <v>-3.298654999999997</v>
      </c>
      <c r="J79">
        <v>8.5348700000000015</v>
      </c>
      <c r="K79">
        <v>-5.749435000000001</v>
      </c>
      <c r="L79">
        <v>-18.148275000000002</v>
      </c>
      <c r="M79">
        <v>-6.9331775000000047</v>
      </c>
      <c r="N79">
        <v>-18.162575</v>
      </c>
      <c r="O79">
        <v>-32.316775</v>
      </c>
      <c r="P79">
        <v>27.685299999999991</v>
      </c>
      <c r="Q79">
        <v>-9.950037499999997</v>
      </c>
      <c r="R79">
        <v>5.5767474999999953</v>
      </c>
      <c r="S79">
        <v>6.0500844999999837</v>
      </c>
      <c r="T79">
        <v>-12.34595</v>
      </c>
      <c r="U79">
        <v>-224.06493750000001</v>
      </c>
      <c r="V79">
        <v>90.198125000000005</v>
      </c>
      <c r="W79">
        <v>377.67225000000002</v>
      </c>
      <c r="X79">
        <v>228.34</v>
      </c>
      <c r="Y79">
        <v>-196.7</v>
      </c>
      <c r="Z79">
        <v>415.0343749999999</v>
      </c>
      <c r="AA79">
        <v>-702.30499999999984</v>
      </c>
      <c r="AB79">
        <v>-185.81249999999989</v>
      </c>
      <c r="AC79">
        <v>11.446874999999849</v>
      </c>
      <c r="AD79">
        <v>-665.65937500000007</v>
      </c>
      <c r="AE79">
        <v>596.37812500000007</v>
      </c>
      <c r="AF79">
        <v>-713.26746874999992</v>
      </c>
      <c r="AG79">
        <v>-2115.358937500001</v>
      </c>
      <c r="AH79">
        <v>-42.743750000000048</v>
      </c>
      <c r="AI79">
        <v>-0.29126750000000212</v>
      </c>
      <c r="AJ79">
        <v>-0.5305250000000038</v>
      </c>
      <c r="AK79">
        <v>2.9334750000000211E-2</v>
      </c>
      <c r="AL79">
        <v>-1.6772800000000121</v>
      </c>
      <c r="AM79">
        <v>-0.14105125000000099</v>
      </c>
      <c r="AN79">
        <v>-5.9099500000000423E-2</v>
      </c>
      <c r="AO79">
        <v>-1.2273900000000089E-2</v>
      </c>
      <c r="AP79">
        <v>-1.0136775000000069</v>
      </c>
      <c r="AQ79">
        <v>-1.951222500000014E-2</v>
      </c>
      <c r="AR79">
        <v>6.5039750000000446E-3</v>
      </c>
      <c r="AS79">
        <v>-1.524382500000011E-2</v>
      </c>
      <c r="AT79">
        <v>-0.4012950000000029</v>
      </c>
    </row>
    <row r="80" spans="1:46" x14ac:dyDescent="0.25">
      <c r="A80">
        <v>78</v>
      </c>
      <c r="B80">
        <v>9.6787499999999937</v>
      </c>
      <c r="C80">
        <v>0.54904065934065938</v>
      </c>
      <c r="D80">
        <v>0.56649855642050773</v>
      </c>
      <c r="E80">
        <v>-6.1178080707479012E-3</v>
      </c>
      <c r="F80">
        <v>1.0952658390213701</v>
      </c>
      <c r="G80">
        <v>1.78125</v>
      </c>
      <c r="H80">
        <v>-6.5997899999999996</v>
      </c>
      <c r="I80">
        <v>-2.9151699999999998</v>
      </c>
      <c r="J80">
        <v>8.780149999999999</v>
      </c>
      <c r="K80">
        <v>-5.9495500000000003</v>
      </c>
      <c r="L80">
        <v>-17.723849999999999</v>
      </c>
      <c r="M80">
        <v>-7.6228249999999997</v>
      </c>
      <c r="N80">
        <v>-18.325949999999999</v>
      </c>
      <c r="O80">
        <v>-32.28895</v>
      </c>
      <c r="P80">
        <v>27.007400000000001</v>
      </c>
      <c r="Q80">
        <v>-9.3493750000000002</v>
      </c>
      <c r="R80">
        <v>4.874225</v>
      </c>
      <c r="S80">
        <v>3.8076590000000001</v>
      </c>
      <c r="T80">
        <v>-12.4116</v>
      </c>
      <c r="U80">
        <v>-224.42362499999999</v>
      </c>
      <c r="V80">
        <v>91.036249999999995</v>
      </c>
      <c r="W80">
        <v>381.62200000000001</v>
      </c>
      <c r="X80">
        <v>242.0187499999999</v>
      </c>
      <c r="Y80">
        <v>-196.495</v>
      </c>
      <c r="Z80">
        <v>419.74374999999998</v>
      </c>
      <c r="AA80">
        <v>-684.60625000000005</v>
      </c>
      <c r="AB80">
        <v>-162.5625000000002</v>
      </c>
      <c r="AC80">
        <v>25.818749999999781</v>
      </c>
      <c r="AD80">
        <v>-671.28125</v>
      </c>
      <c r="AE80">
        <v>586.30000000000018</v>
      </c>
      <c r="AF80">
        <v>-699.57493750000003</v>
      </c>
      <c r="AG80">
        <v>-2181.2938749999998</v>
      </c>
      <c r="AH80">
        <v>-53.274999999999963</v>
      </c>
      <c r="AI80">
        <v>-0.58253499999999991</v>
      </c>
      <c r="AJ80">
        <v>-1.06105</v>
      </c>
      <c r="AK80">
        <v>5.8669499999999999E-2</v>
      </c>
      <c r="AL80">
        <v>-3.3545600000000002</v>
      </c>
      <c r="AM80">
        <v>-0.28210249999999998</v>
      </c>
      <c r="AN80">
        <v>-0.118199</v>
      </c>
      <c r="AO80">
        <v>-2.4547800000000002E-2</v>
      </c>
      <c r="AP80">
        <v>-2.027355</v>
      </c>
      <c r="AQ80">
        <v>-3.9024450000000002E-2</v>
      </c>
      <c r="AR80">
        <v>1.3007950000000001E-2</v>
      </c>
      <c r="AS80">
        <v>-3.0487650000000002E-2</v>
      </c>
      <c r="AT80">
        <v>-0.80259000000000003</v>
      </c>
    </row>
    <row r="81" spans="1:46" x14ac:dyDescent="0.25">
      <c r="A81">
        <v>79</v>
      </c>
      <c r="B81">
        <v>9.6837499999999963</v>
      </c>
      <c r="C81">
        <v>0.54931153846153846</v>
      </c>
      <c r="D81">
        <v>0.56033714605987572</v>
      </c>
      <c r="E81">
        <v>-8.3086775523286867E-3</v>
      </c>
      <c r="F81">
        <v>1.011021226045399</v>
      </c>
      <c r="G81">
        <v>1.555140000000002</v>
      </c>
      <c r="H81">
        <v>-6.5085650000000008</v>
      </c>
      <c r="I81">
        <v>-2.5316850000000031</v>
      </c>
      <c r="J81">
        <v>9.0254299999999983</v>
      </c>
      <c r="K81">
        <v>-6.1496649999999988</v>
      </c>
      <c r="L81">
        <v>-17.299424999999999</v>
      </c>
      <c r="M81">
        <v>-8.3124724999999948</v>
      </c>
      <c r="N81">
        <v>-18.489325000000001</v>
      </c>
      <c r="O81">
        <v>-32.261125</v>
      </c>
      <c r="P81">
        <v>26.329499999999999</v>
      </c>
      <c r="Q81">
        <v>-8.7487125000000034</v>
      </c>
      <c r="R81">
        <v>4.1717025000000056</v>
      </c>
      <c r="S81">
        <v>1.5652335000000159</v>
      </c>
      <c r="T81">
        <v>-12.47725</v>
      </c>
      <c r="U81">
        <v>-224.78231249999999</v>
      </c>
      <c r="V81">
        <v>91.874374999999972</v>
      </c>
      <c r="W81">
        <v>385.57175000000001</v>
      </c>
      <c r="X81">
        <v>255.69749999999979</v>
      </c>
      <c r="Y81">
        <v>-196.29</v>
      </c>
      <c r="Z81">
        <v>424.453125</v>
      </c>
      <c r="AA81">
        <v>-666.90750000000025</v>
      </c>
      <c r="AB81">
        <v>-139.31250000000051</v>
      </c>
      <c r="AC81">
        <v>40.190624999999713</v>
      </c>
      <c r="AD81">
        <v>-676.90312500000005</v>
      </c>
      <c r="AE81">
        <v>576.22187500000018</v>
      </c>
      <c r="AF81">
        <v>-685.88240625000014</v>
      </c>
      <c r="AG81">
        <v>-2247.2288125</v>
      </c>
      <c r="AH81">
        <v>-63.806249999999878</v>
      </c>
      <c r="AI81">
        <v>-0.87380249999999782</v>
      </c>
      <c r="AJ81">
        <v>-1.591574999999996</v>
      </c>
      <c r="AK81">
        <v>8.8004249999999784E-2</v>
      </c>
      <c r="AL81">
        <v>-5.0318399999999883</v>
      </c>
      <c r="AM81">
        <v>-0.423153749999999</v>
      </c>
      <c r="AN81">
        <v>-0.17729849999999961</v>
      </c>
      <c r="AO81">
        <v>-3.6821699999999909E-2</v>
      </c>
      <c r="AP81">
        <v>-3.041032499999992</v>
      </c>
      <c r="AQ81">
        <v>-5.8536674999999858E-2</v>
      </c>
      <c r="AR81">
        <v>1.9511924999999951E-2</v>
      </c>
      <c r="AS81">
        <v>-4.5731474999999883E-2</v>
      </c>
      <c r="AT81">
        <v>-1.203884999999997</v>
      </c>
    </row>
    <row r="82" spans="1:46" x14ac:dyDescent="0.25">
      <c r="A82">
        <v>80</v>
      </c>
      <c r="B82">
        <v>9.6887499999999989</v>
      </c>
      <c r="C82">
        <v>0.54958241758241755</v>
      </c>
      <c r="D82">
        <v>0.48928585506805139</v>
      </c>
      <c r="E82">
        <v>-7.0594376990845316E-3</v>
      </c>
      <c r="F82">
        <v>0.875640865581096</v>
      </c>
      <c r="G82">
        <v>1.3290299999999999</v>
      </c>
      <c r="H82">
        <v>-6.4173400000000003</v>
      </c>
      <c r="I82">
        <v>-2.1482000000000001</v>
      </c>
      <c r="J82">
        <v>9.2707099999999993</v>
      </c>
      <c r="K82">
        <v>-6.34978</v>
      </c>
      <c r="L82">
        <v>-16.875</v>
      </c>
      <c r="M82">
        <v>-9.0021199999999997</v>
      </c>
      <c r="N82">
        <v>-18.652699999999999</v>
      </c>
      <c r="O82">
        <v>-32.2333</v>
      </c>
      <c r="P82">
        <v>25.651599999999998</v>
      </c>
      <c r="Q82">
        <v>-8.1480499999999996</v>
      </c>
      <c r="R82">
        <v>3.4691800000000002</v>
      </c>
      <c r="S82">
        <v>-0.67719200000000002</v>
      </c>
      <c r="T82">
        <v>-12.542899999999999</v>
      </c>
      <c r="U82">
        <v>-225.14099999999999</v>
      </c>
      <c r="V82">
        <v>92.712499999999977</v>
      </c>
      <c r="W82">
        <v>389.52149999999989</v>
      </c>
      <c r="X82">
        <v>269.37624999999991</v>
      </c>
      <c r="Y82">
        <v>-196.08500000000009</v>
      </c>
      <c r="Z82">
        <v>429.16250000000008</v>
      </c>
      <c r="AA82">
        <v>-649.20875000000012</v>
      </c>
      <c r="AB82">
        <v>-116.0625000000004</v>
      </c>
      <c r="AC82">
        <v>54.562499999999837</v>
      </c>
      <c r="AD82">
        <v>-682.52500000000009</v>
      </c>
      <c r="AE82">
        <v>566.14375000000007</v>
      </c>
      <c r="AF82">
        <v>-672.18987500000003</v>
      </c>
      <c r="AG82">
        <v>-2313.1637500000002</v>
      </c>
      <c r="AH82">
        <v>-74.337499999999949</v>
      </c>
      <c r="AI82">
        <v>-1.1650700000000001</v>
      </c>
      <c r="AJ82">
        <v>-2.1221000000000001</v>
      </c>
      <c r="AK82">
        <v>0.117339</v>
      </c>
      <c r="AL82">
        <v>-6.7091200000000004</v>
      </c>
      <c r="AM82">
        <v>-0.56420500000000007</v>
      </c>
      <c r="AN82">
        <v>-0.236398</v>
      </c>
      <c r="AO82">
        <v>-4.9095600000000003E-2</v>
      </c>
      <c r="AP82">
        <v>-4.05471</v>
      </c>
      <c r="AQ82">
        <v>-7.8048900000000004E-2</v>
      </c>
      <c r="AR82">
        <v>2.6015900000000002E-2</v>
      </c>
      <c r="AS82">
        <v>-6.0975300000000003E-2</v>
      </c>
      <c r="AT82">
        <v>-1.6051800000000001</v>
      </c>
    </row>
    <row r="83" spans="1:46" x14ac:dyDescent="0.25">
      <c r="A83">
        <v>81</v>
      </c>
      <c r="B83">
        <v>9.6940625000000011</v>
      </c>
      <c r="C83">
        <v>0.54986401098901094</v>
      </c>
      <c r="D83">
        <v>0.47515651599047048</v>
      </c>
      <c r="E83">
        <v>-9.6732053551708639E-3</v>
      </c>
      <c r="F83">
        <v>0.80362072344152291</v>
      </c>
      <c r="G83">
        <v>1.104858000000001</v>
      </c>
      <c r="H83">
        <v>-6.3231400000000004</v>
      </c>
      <c r="I83">
        <v>-1.752642000000002</v>
      </c>
      <c r="J83">
        <v>9.5641824999999976</v>
      </c>
      <c r="K83">
        <v>-6.541834999999999</v>
      </c>
      <c r="L83">
        <v>-16.441099999999999</v>
      </c>
      <c r="M83">
        <v>-9.6108899999999977</v>
      </c>
      <c r="N83">
        <v>-18.721450000000001</v>
      </c>
      <c r="O83">
        <v>-32.152000000000001</v>
      </c>
      <c r="P83">
        <v>24.964449999999999</v>
      </c>
      <c r="Q83">
        <v>-7.6164250000000013</v>
      </c>
      <c r="R83">
        <v>2.8273227500000022</v>
      </c>
      <c r="S83">
        <v>-3.0610939999999909</v>
      </c>
      <c r="T83">
        <v>-12.625925000000001</v>
      </c>
      <c r="U83">
        <v>-223.74712500000001</v>
      </c>
      <c r="V83">
        <v>93.328124999999986</v>
      </c>
      <c r="W83">
        <v>391.55081249999989</v>
      </c>
      <c r="X83">
        <v>279.10999999999979</v>
      </c>
      <c r="Y83">
        <v>-192.61281249999999</v>
      </c>
      <c r="Z83">
        <v>429.30937499999999</v>
      </c>
      <c r="AA83">
        <v>-626.82156250000014</v>
      </c>
      <c r="AB83">
        <v>-93.440625000000352</v>
      </c>
      <c r="AC83">
        <v>66.268749999999827</v>
      </c>
      <c r="AD83">
        <v>-679.234375</v>
      </c>
      <c r="AE83">
        <v>542.93218750000005</v>
      </c>
      <c r="AF83">
        <v>-654.77803125000014</v>
      </c>
      <c r="AG83">
        <v>-2312.6230624999998</v>
      </c>
      <c r="AH83">
        <v>-72.484375</v>
      </c>
      <c r="AI83">
        <v>-1.3475874999999991</v>
      </c>
      <c r="AJ83">
        <v>-2.2770375</v>
      </c>
      <c r="AK83">
        <v>0.12067675</v>
      </c>
      <c r="AL83">
        <v>-7.5702399999999974</v>
      </c>
      <c r="AM83">
        <v>-0.55933200000000005</v>
      </c>
      <c r="AN83">
        <v>-0.30954174999999973</v>
      </c>
      <c r="AO83">
        <v>-7.1001199999999917E-2</v>
      </c>
      <c r="AP83">
        <v>-3.9457125</v>
      </c>
      <c r="AQ83">
        <v>-0.1119579249999999</v>
      </c>
      <c r="AR83">
        <v>2.5873875000000001E-2</v>
      </c>
      <c r="AS83">
        <v>-9.2538474999999884E-2</v>
      </c>
      <c r="AT83">
        <v>-2.311289999999997</v>
      </c>
    </row>
    <row r="84" spans="1:46" x14ac:dyDescent="0.25">
      <c r="A84">
        <v>82</v>
      </c>
      <c r="B84">
        <v>9.6993750000000034</v>
      </c>
      <c r="C84">
        <v>0.55014560439560434</v>
      </c>
      <c r="D84">
        <v>0.40411012690251541</v>
      </c>
      <c r="E84">
        <v>-1.485658292503882E-2</v>
      </c>
      <c r="F84">
        <v>0.68146912949703298</v>
      </c>
      <c r="G84">
        <v>0.88068600000000163</v>
      </c>
      <c r="H84">
        <v>-6.2289400000000006</v>
      </c>
      <c r="I84">
        <v>-1.3570840000000031</v>
      </c>
      <c r="J84">
        <v>9.8576549999999976</v>
      </c>
      <c r="K84">
        <v>-6.7338899999999988</v>
      </c>
      <c r="L84">
        <v>-16.007200000000001</v>
      </c>
      <c r="M84">
        <v>-10.219659999999999</v>
      </c>
      <c r="N84">
        <v>-18.790199999999999</v>
      </c>
      <c r="O84">
        <v>-32.070700000000002</v>
      </c>
      <c r="P84">
        <v>24.2773</v>
      </c>
      <c r="Q84">
        <v>-7.084800000000004</v>
      </c>
      <c r="R84">
        <v>2.1854655000000052</v>
      </c>
      <c r="S84">
        <v>-5.444995999999982</v>
      </c>
      <c r="T84">
        <v>-12.70895</v>
      </c>
      <c r="U84">
        <v>-222.35325</v>
      </c>
      <c r="V84">
        <v>93.943749999999994</v>
      </c>
      <c r="W84">
        <v>393.58012500000001</v>
      </c>
      <c r="X84">
        <v>288.84374999999989</v>
      </c>
      <c r="Y84">
        <v>-189.140625</v>
      </c>
      <c r="Z84">
        <v>429.45625000000013</v>
      </c>
      <c r="AA84">
        <v>-604.43437500000027</v>
      </c>
      <c r="AB84">
        <v>-70.818750000000307</v>
      </c>
      <c r="AC84">
        <v>77.974999999999824</v>
      </c>
      <c r="AD84">
        <v>-675.94374999999991</v>
      </c>
      <c r="AE84">
        <v>519.72062500000015</v>
      </c>
      <c r="AF84">
        <v>-637.36618750000014</v>
      </c>
      <c r="AG84">
        <v>-2312.082375</v>
      </c>
      <c r="AH84">
        <v>-70.631250000000051</v>
      </c>
      <c r="AI84">
        <v>-1.530104999999998</v>
      </c>
      <c r="AJ84">
        <v>-2.4319749999999991</v>
      </c>
      <c r="AK84">
        <v>0.1240145</v>
      </c>
      <c r="AL84">
        <v>-8.4313599999999944</v>
      </c>
      <c r="AM84">
        <v>-0.55445900000000004</v>
      </c>
      <c r="AN84">
        <v>-0.38268549999999951</v>
      </c>
      <c r="AO84">
        <v>-9.2906799999999831E-2</v>
      </c>
      <c r="AP84">
        <v>-3.8367150000000012</v>
      </c>
      <c r="AQ84">
        <v>-0.1458669499999998</v>
      </c>
      <c r="AR84">
        <v>2.5731850000000001E-2</v>
      </c>
      <c r="AS84">
        <v>-0.1241016499999998</v>
      </c>
      <c r="AT84">
        <v>-3.017399999999995</v>
      </c>
    </row>
    <row r="85" spans="1:46" x14ac:dyDescent="0.25">
      <c r="A85">
        <v>83</v>
      </c>
      <c r="B85">
        <v>9.7046875000000057</v>
      </c>
      <c r="C85">
        <v>0.55042719780219784</v>
      </c>
      <c r="D85">
        <v>0.36059520837894798</v>
      </c>
      <c r="E85">
        <v>-1.387414784753126E-2</v>
      </c>
      <c r="F85">
        <v>0.60541018838795779</v>
      </c>
      <c r="G85">
        <v>0.65651399999999926</v>
      </c>
      <c r="H85">
        <v>-6.1347399999999999</v>
      </c>
      <c r="I85">
        <v>-0.96152599999999877</v>
      </c>
      <c r="J85">
        <v>10.151127499999999</v>
      </c>
      <c r="K85">
        <v>-6.9259449999999996</v>
      </c>
      <c r="L85">
        <v>-15.5733</v>
      </c>
      <c r="M85">
        <v>-10.828430000000001</v>
      </c>
      <c r="N85">
        <v>-18.85895</v>
      </c>
      <c r="O85">
        <v>-31.9894</v>
      </c>
      <c r="P85">
        <v>23.590150000000001</v>
      </c>
      <c r="Q85">
        <v>-6.5531749999999986</v>
      </c>
      <c r="R85">
        <v>1.5436082499999979</v>
      </c>
      <c r="S85">
        <v>-7.8288980000000077</v>
      </c>
      <c r="T85">
        <v>-12.791975000000001</v>
      </c>
      <c r="U85">
        <v>-220.95937499999999</v>
      </c>
      <c r="V85">
        <v>94.559375000000003</v>
      </c>
      <c r="W85">
        <v>395.60943750000001</v>
      </c>
      <c r="X85">
        <v>298.57749999999999</v>
      </c>
      <c r="Y85">
        <v>-185.66843750000001</v>
      </c>
      <c r="Z85">
        <v>429.60312500000009</v>
      </c>
      <c r="AA85">
        <v>-582.04718750000006</v>
      </c>
      <c r="AB85">
        <v>-48.196874999999949</v>
      </c>
      <c r="AC85">
        <v>89.681249999999977</v>
      </c>
      <c r="AD85">
        <v>-672.6531249999997</v>
      </c>
      <c r="AE85">
        <v>496.50906249999991</v>
      </c>
      <c r="AF85">
        <v>-619.95434374999991</v>
      </c>
      <c r="AG85">
        <v>-2311.5416875000001</v>
      </c>
      <c r="AH85">
        <v>-68.778125000000074</v>
      </c>
      <c r="AI85">
        <v>-1.712622500000001</v>
      </c>
      <c r="AJ85">
        <v>-2.5869124999999999</v>
      </c>
      <c r="AK85">
        <v>0.12735225</v>
      </c>
      <c r="AL85">
        <v>-9.2924800000000047</v>
      </c>
      <c r="AM85">
        <v>-0.54958600000000002</v>
      </c>
      <c r="AN85">
        <v>-0.45582925000000019</v>
      </c>
      <c r="AO85">
        <v>-0.11481240000000011</v>
      </c>
      <c r="AP85">
        <v>-3.7277174999999998</v>
      </c>
      <c r="AQ85">
        <v>-0.17977597500000009</v>
      </c>
      <c r="AR85">
        <v>2.5589825E-2</v>
      </c>
      <c r="AS85">
        <v>-0.15566482500000009</v>
      </c>
      <c r="AT85">
        <v>-3.7235100000000032</v>
      </c>
    </row>
    <row r="86" spans="1:46" x14ac:dyDescent="0.25">
      <c r="A86">
        <v>84</v>
      </c>
      <c r="B86">
        <v>9.710000000000008</v>
      </c>
      <c r="C86">
        <v>0.55070879120879124</v>
      </c>
      <c r="D86">
        <v>0.31346915299306422</v>
      </c>
      <c r="E86">
        <v>-1.329981076975539E-2</v>
      </c>
      <c r="F86">
        <v>0.52244091157291439</v>
      </c>
      <c r="G86">
        <v>0.432342</v>
      </c>
      <c r="H86">
        <v>-6.04054</v>
      </c>
      <c r="I86">
        <v>-0.56596800000000003</v>
      </c>
      <c r="J86">
        <v>10.444599999999999</v>
      </c>
      <c r="K86">
        <v>-7.1180000000000003</v>
      </c>
      <c r="L86">
        <v>-15.1394</v>
      </c>
      <c r="M86">
        <v>-11.437200000000001</v>
      </c>
      <c r="N86">
        <v>-18.927700000000002</v>
      </c>
      <c r="O86">
        <v>-31.908100000000001</v>
      </c>
      <c r="P86">
        <v>22.902999999999999</v>
      </c>
      <c r="Q86">
        <v>-6.0215500000000004</v>
      </c>
      <c r="R86">
        <v>0.90175099999999997</v>
      </c>
      <c r="S86">
        <v>-10.2128</v>
      </c>
      <c r="T86">
        <v>-12.875</v>
      </c>
      <c r="U86">
        <v>-219.56549999999999</v>
      </c>
      <c r="V86">
        <v>95.175000000000011</v>
      </c>
      <c r="W86">
        <v>397.63875000000002</v>
      </c>
      <c r="X86">
        <v>308.31124999999997</v>
      </c>
      <c r="Y86">
        <v>-182.19624999999991</v>
      </c>
      <c r="Z86">
        <v>429.75000000000011</v>
      </c>
      <c r="AA86">
        <v>-559.66000000000008</v>
      </c>
      <c r="AB86">
        <v>-25.5749999999999</v>
      </c>
      <c r="AC86">
        <v>101.3875</v>
      </c>
      <c r="AD86">
        <v>-669.36249999999961</v>
      </c>
      <c r="AE86">
        <v>473.2974999999999</v>
      </c>
      <c r="AF86">
        <v>-602.54250000000002</v>
      </c>
      <c r="AG86">
        <v>-2311.0010000000002</v>
      </c>
      <c r="AH86">
        <v>-66.925000000000125</v>
      </c>
      <c r="AI86">
        <v>-1.89514</v>
      </c>
      <c r="AJ86">
        <v>-2.7418499999999999</v>
      </c>
      <c r="AK86">
        <v>0.13069</v>
      </c>
      <c r="AL86">
        <v>-10.153600000000001</v>
      </c>
      <c r="AM86">
        <v>-0.544713</v>
      </c>
      <c r="AN86">
        <v>-0.52897299999999992</v>
      </c>
      <c r="AO86">
        <v>-0.13671800000000001</v>
      </c>
      <c r="AP86">
        <v>-3.6187200000000002</v>
      </c>
      <c r="AQ86">
        <v>-0.21368500000000001</v>
      </c>
      <c r="AR86">
        <v>2.54478E-2</v>
      </c>
      <c r="AS86">
        <v>-0.18722800000000001</v>
      </c>
      <c r="AT86">
        <v>-4.4296199999999999</v>
      </c>
    </row>
    <row r="87" spans="1:46" x14ac:dyDescent="0.25">
      <c r="A87">
        <v>85</v>
      </c>
      <c r="B87">
        <v>9.7153125000000102</v>
      </c>
      <c r="C87">
        <v>0.55099450549450557</v>
      </c>
      <c r="D87">
        <v>0.26644592156702568</v>
      </c>
      <c r="E87">
        <v>-1.7204333829943429E-2</v>
      </c>
      <c r="F87">
        <v>0.44856865466944168</v>
      </c>
      <c r="G87">
        <v>0.21738299999999841</v>
      </c>
      <c r="H87">
        <v>-5.9443899999999994</v>
      </c>
      <c r="I87">
        <v>-0.16624849999999711</v>
      </c>
      <c r="J87">
        <v>10.767749999999999</v>
      </c>
      <c r="K87">
        <v>-7.2903375000000006</v>
      </c>
      <c r="L87">
        <v>-14.713800000000001</v>
      </c>
      <c r="M87">
        <v>-11.947749999999999</v>
      </c>
      <c r="N87">
        <v>-18.9101</v>
      </c>
      <c r="O87">
        <v>-31.786625000000001</v>
      </c>
      <c r="P87">
        <v>22.25142499999999</v>
      </c>
      <c r="Q87">
        <v>-5.6065799999999966</v>
      </c>
      <c r="R87">
        <v>0.33852324999999578</v>
      </c>
      <c r="S87">
        <v>-12.45090000000001</v>
      </c>
      <c r="T87">
        <v>-12.925825</v>
      </c>
      <c r="U87">
        <v>-216.33699999999999</v>
      </c>
      <c r="V87">
        <v>95.51718750000002</v>
      </c>
      <c r="W87">
        <v>397.69024999999999</v>
      </c>
      <c r="X87">
        <v>313.11468750000012</v>
      </c>
      <c r="Y87">
        <v>-176.3262499999999</v>
      </c>
      <c r="Z87">
        <v>425.81875000000002</v>
      </c>
      <c r="AA87">
        <v>-533.69499999999982</v>
      </c>
      <c r="AB87">
        <v>-6.1499999999997392</v>
      </c>
      <c r="AC87">
        <v>109.28749999999999</v>
      </c>
      <c r="AD87">
        <v>-653.19999999999959</v>
      </c>
      <c r="AE87">
        <v>440.68906249999969</v>
      </c>
      <c r="AF87">
        <v>-580.03284374999987</v>
      </c>
      <c r="AG87">
        <v>-2249.372625</v>
      </c>
      <c r="AH87">
        <v>-55.11250000000004</v>
      </c>
      <c r="AI87">
        <v>-1.421354999999997</v>
      </c>
      <c r="AJ87">
        <v>-2.0563874999999951</v>
      </c>
      <c r="AK87">
        <v>9.8017499999999758E-2</v>
      </c>
      <c r="AL87">
        <v>-7.615199999999982</v>
      </c>
      <c r="AM87">
        <v>-0.40853474999999911</v>
      </c>
      <c r="AN87">
        <v>-0.39672974999999899</v>
      </c>
      <c r="AO87">
        <v>-0.1025384999999997</v>
      </c>
      <c r="AP87">
        <v>-2.714039999999994</v>
      </c>
      <c r="AQ87">
        <v>-0.16026374999999959</v>
      </c>
      <c r="AR87">
        <v>1.9085849999999949E-2</v>
      </c>
      <c r="AS87">
        <v>-0.14042099999999971</v>
      </c>
      <c r="AT87">
        <v>-3.3222149999999919</v>
      </c>
    </row>
    <row r="88" spans="1:46" x14ac:dyDescent="0.25">
      <c r="A88">
        <v>86</v>
      </c>
      <c r="B88">
        <v>9.7206250000000125</v>
      </c>
      <c r="C88">
        <v>0.55128021978021979</v>
      </c>
      <c r="D88">
        <v>0.22592922789011721</v>
      </c>
      <c r="E88">
        <v>-2.051228793799072E-2</v>
      </c>
      <c r="F88">
        <v>0.39688556175536133</v>
      </c>
      <c r="G88">
        <v>2.4239999999999822E-3</v>
      </c>
      <c r="H88">
        <v>-5.8482400000000014</v>
      </c>
      <c r="I88">
        <v>0.23347100000000001</v>
      </c>
      <c r="J88">
        <v>11.0909</v>
      </c>
      <c r="K88">
        <v>-7.4626749999999999</v>
      </c>
      <c r="L88">
        <v>-14.2882</v>
      </c>
      <c r="M88">
        <v>-12.458299999999999</v>
      </c>
      <c r="N88">
        <v>-18.892499999999998</v>
      </c>
      <c r="O88">
        <v>-31.665150000000001</v>
      </c>
      <c r="P88">
        <v>21.59985</v>
      </c>
      <c r="Q88">
        <v>-5.1916100000000007</v>
      </c>
      <c r="R88">
        <v>-0.22470450000000011</v>
      </c>
      <c r="S88">
        <v>-14.689</v>
      </c>
      <c r="T88">
        <v>-12.976649999999999</v>
      </c>
      <c r="U88">
        <v>-213.10849999999999</v>
      </c>
      <c r="V88">
        <v>95.859375000000028</v>
      </c>
      <c r="W88">
        <v>397.74175000000002</v>
      </c>
      <c r="X88">
        <v>317.91812499999997</v>
      </c>
      <c r="Y88">
        <v>-170.4562499999999</v>
      </c>
      <c r="Z88">
        <v>421.88749999999999</v>
      </c>
      <c r="AA88">
        <v>-507.73</v>
      </c>
      <c r="AB88">
        <v>13.27500000000015</v>
      </c>
      <c r="AC88">
        <v>117.1875</v>
      </c>
      <c r="AD88">
        <v>-637.03749999999968</v>
      </c>
      <c r="AE88">
        <v>408.08062499999988</v>
      </c>
      <c r="AF88">
        <v>-557.52318749999995</v>
      </c>
      <c r="AG88">
        <v>-2187.7442500000002</v>
      </c>
      <c r="AH88">
        <v>-43.300000000000118</v>
      </c>
      <c r="AI88">
        <v>-0.94757000000000002</v>
      </c>
      <c r="AJ88">
        <v>-1.3709249999999999</v>
      </c>
      <c r="AK88">
        <v>6.5345E-2</v>
      </c>
      <c r="AL88">
        <v>-5.0768000000000004</v>
      </c>
      <c r="AM88">
        <v>-0.2723565</v>
      </c>
      <c r="AN88">
        <v>-0.26448650000000001</v>
      </c>
      <c r="AO88">
        <v>-6.8358999999999989E-2</v>
      </c>
      <c r="AP88">
        <v>-1.8093600000000001</v>
      </c>
      <c r="AQ88">
        <v>-0.10684250000000001</v>
      </c>
      <c r="AR88">
        <v>1.27239E-2</v>
      </c>
      <c r="AS88">
        <v>-9.3614000000000003E-2</v>
      </c>
      <c r="AT88">
        <v>-2.2148099999999999</v>
      </c>
    </row>
    <row r="89" spans="1:46" x14ac:dyDescent="0.25">
      <c r="A89">
        <v>87</v>
      </c>
      <c r="B89">
        <v>9.7259375000000148</v>
      </c>
      <c r="C89">
        <v>0.55156593406593402</v>
      </c>
      <c r="D89">
        <v>0.19257794295243361</v>
      </c>
      <c r="E89">
        <v>-2.320876216945222E-2</v>
      </c>
      <c r="F89">
        <v>0.33517131718391607</v>
      </c>
      <c r="G89">
        <v>-0.2125349999999985</v>
      </c>
      <c r="H89">
        <v>-5.7520900000000008</v>
      </c>
      <c r="I89">
        <v>0.6331904999999971</v>
      </c>
      <c r="J89">
        <v>11.41405</v>
      </c>
      <c r="K89">
        <v>-7.6350124999999984</v>
      </c>
      <c r="L89">
        <v>-13.8626</v>
      </c>
      <c r="M89">
        <v>-12.96885</v>
      </c>
      <c r="N89">
        <v>-18.8749</v>
      </c>
      <c r="O89">
        <v>-31.543675</v>
      </c>
      <c r="P89">
        <v>20.94827500000001</v>
      </c>
      <c r="Q89">
        <v>-4.7766400000000031</v>
      </c>
      <c r="R89">
        <v>-0.78793224999999611</v>
      </c>
      <c r="S89">
        <v>-16.927099999999982</v>
      </c>
      <c r="T89">
        <v>-13.027475000000001</v>
      </c>
      <c r="U89">
        <v>-209.88</v>
      </c>
      <c r="V89">
        <v>96.201562500000023</v>
      </c>
      <c r="W89">
        <v>397.79325</v>
      </c>
      <c r="X89">
        <v>322.7215625</v>
      </c>
      <c r="Y89">
        <v>-164.58624999999989</v>
      </c>
      <c r="Z89">
        <v>417.95625000000013</v>
      </c>
      <c r="AA89">
        <v>-481.76500000000021</v>
      </c>
      <c r="AB89">
        <v>32.700000000000031</v>
      </c>
      <c r="AC89">
        <v>125.08750000000001</v>
      </c>
      <c r="AD89">
        <v>-620.87499999999989</v>
      </c>
      <c r="AE89">
        <v>375.47218750000019</v>
      </c>
      <c r="AF89">
        <v>-535.01353125000003</v>
      </c>
      <c r="AG89">
        <v>-2126.115875</v>
      </c>
      <c r="AH89">
        <v>-31.4875000000002</v>
      </c>
      <c r="AI89">
        <v>-0.47378500000000318</v>
      </c>
      <c r="AJ89">
        <v>-0.68546250000000519</v>
      </c>
      <c r="AK89">
        <v>3.2672500000000229E-2</v>
      </c>
      <c r="AL89">
        <v>-2.538400000000018</v>
      </c>
      <c r="AM89">
        <v>-0.13617825000000089</v>
      </c>
      <c r="AN89">
        <v>-0.13224325000000089</v>
      </c>
      <c r="AO89">
        <v>-3.4179500000000237E-2</v>
      </c>
      <c r="AP89">
        <v>-0.90468000000000659</v>
      </c>
      <c r="AQ89">
        <v>-5.3421250000000392E-2</v>
      </c>
      <c r="AR89">
        <v>6.3619500000000467E-3</v>
      </c>
      <c r="AS89">
        <v>-4.6807000000000348E-2</v>
      </c>
      <c r="AT89">
        <v>-1.107405000000008</v>
      </c>
    </row>
    <row r="90" spans="1:46" x14ac:dyDescent="0.25">
      <c r="A90">
        <v>88</v>
      </c>
      <c r="B90">
        <v>9.7312500000000171</v>
      </c>
      <c r="C90">
        <v>0.55185164835164835</v>
      </c>
      <c r="D90">
        <v>0.1593645204353844</v>
      </c>
      <c r="E90">
        <v>-2.702664987983313E-2</v>
      </c>
      <c r="F90">
        <v>0.28033422619994558</v>
      </c>
      <c r="G90">
        <v>-0.42749399999999999</v>
      </c>
      <c r="H90">
        <v>-5.6559400000000002</v>
      </c>
      <c r="I90">
        <v>1.03291</v>
      </c>
      <c r="J90">
        <v>11.7372</v>
      </c>
      <c r="K90">
        <v>-7.8073499999999996</v>
      </c>
      <c r="L90">
        <v>-13.436999999999999</v>
      </c>
      <c r="M90">
        <v>-13.4794</v>
      </c>
      <c r="N90">
        <v>-18.857299999999999</v>
      </c>
      <c r="O90">
        <v>-31.4222</v>
      </c>
      <c r="P90">
        <v>20.296700000000001</v>
      </c>
      <c r="Q90">
        <v>-4.3616700000000002</v>
      </c>
      <c r="R90">
        <v>-1.3511599999999999</v>
      </c>
      <c r="S90">
        <v>-19.165199999999999</v>
      </c>
      <c r="T90">
        <v>-13.0783</v>
      </c>
      <c r="U90">
        <v>-206.6515</v>
      </c>
      <c r="V90">
        <v>96.543750000000031</v>
      </c>
      <c r="W90">
        <v>397.84474999999998</v>
      </c>
      <c r="X90">
        <v>327.52499999999998</v>
      </c>
      <c r="Y90">
        <v>-158.71624999999989</v>
      </c>
      <c r="Z90">
        <v>414.02500000000009</v>
      </c>
      <c r="AA90">
        <v>-455.8</v>
      </c>
      <c r="AB90">
        <v>52.125000000000199</v>
      </c>
      <c r="AC90">
        <v>132.98750000000001</v>
      </c>
      <c r="AD90">
        <v>-604.71249999999975</v>
      </c>
      <c r="AE90">
        <v>342.86374999999998</v>
      </c>
      <c r="AF90">
        <v>-512.50387499999988</v>
      </c>
      <c r="AG90">
        <v>-2064.4875000000002</v>
      </c>
      <c r="AH90">
        <v>-19.675000000000111</v>
      </c>
      <c r="AI90">
        <v>0</v>
      </c>
      <c r="AJ90">
        <v>0</v>
      </c>
      <c r="AK90">
        <v>0</v>
      </c>
      <c r="AL90">
        <v>0</v>
      </c>
      <c r="AM90">
        <v>0</v>
      </c>
      <c r="AN90">
        <v>0</v>
      </c>
      <c r="AO90">
        <v>0</v>
      </c>
      <c r="AP90">
        <v>0</v>
      </c>
      <c r="AQ90">
        <v>0</v>
      </c>
      <c r="AR90">
        <v>0</v>
      </c>
      <c r="AS90">
        <v>0</v>
      </c>
      <c r="AT90">
        <v>0</v>
      </c>
    </row>
    <row r="91" spans="1:46" x14ac:dyDescent="0.25">
      <c r="A91">
        <v>89</v>
      </c>
      <c r="B91">
        <v>9.7356250000000131</v>
      </c>
      <c r="C91">
        <v>0.55213461538461539</v>
      </c>
      <c r="D91">
        <v>0.12261688323980149</v>
      </c>
      <c r="E91">
        <v>-2.9847453361530041E-2</v>
      </c>
      <c r="F91">
        <v>0.24396867645797521</v>
      </c>
      <c r="G91">
        <v>-0.62583799999999923</v>
      </c>
      <c r="H91">
        <v>-5.5590025000000001</v>
      </c>
      <c r="I91">
        <v>1.428879999999999</v>
      </c>
      <c r="J91">
        <v>12.069100000000001</v>
      </c>
      <c r="K91">
        <v>-7.9524449999999991</v>
      </c>
      <c r="L91">
        <v>-13.034549999999999</v>
      </c>
      <c r="M91">
        <v>-13.88045</v>
      </c>
      <c r="N91">
        <v>-18.77065</v>
      </c>
      <c r="O91">
        <v>-31.277699999999999</v>
      </c>
      <c r="P91">
        <v>19.738849999999999</v>
      </c>
      <c r="Q91">
        <v>-4.0909125000000008</v>
      </c>
      <c r="R91">
        <v>-1.812939999999998</v>
      </c>
      <c r="S91">
        <v>-21.056074999999989</v>
      </c>
      <c r="T91">
        <v>-13.066825</v>
      </c>
      <c r="U91">
        <v>-201.619125</v>
      </c>
      <c r="V91">
        <v>96.600937500000029</v>
      </c>
      <c r="W91">
        <v>395.97731249999998</v>
      </c>
      <c r="X91">
        <v>327.22187500000001</v>
      </c>
      <c r="Y91">
        <v>-151.4809374999999</v>
      </c>
      <c r="Z91">
        <v>406.93124999999998</v>
      </c>
      <c r="AA91">
        <v>-427.95625000000013</v>
      </c>
      <c r="AB91">
        <v>66.675000000000097</v>
      </c>
      <c r="AC91">
        <v>136.56562500000001</v>
      </c>
      <c r="AD91">
        <v>-573.75312499999995</v>
      </c>
      <c r="AE91">
        <v>306.36218750000018</v>
      </c>
      <c r="AF91">
        <v>-484.53946875000003</v>
      </c>
      <c r="AG91">
        <v>-1968.2874999999999</v>
      </c>
      <c r="AH91">
        <v>-2.4531250000001168</v>
      </c>
      <c r="AI91">
        <v>0</v>
      </c>
      <c r="AJ91">
        <v>0</v>
      </c>
      <c r="AK91">
        <v>0</v>
      </c>
      <c r="AL91">
        <v>0</v>
      </c>
      <c r="AM91">
        <v>0</v>
      </c>
      <c r="AN91">
        <v>0</v>
      </c>
      <c r="AO91">
        <v>0</v>
      </c>
      <c r="AP91">
        <v>0</v>
      </c>
      <c r="AQ91">
        <v>0</v>
      </c>
      <c r="AR91">
        <v>0</v>
      </c>
      <c r="AS91">
        <v>0</v>
      </c>
      <c r="AT91">
        <v>0</v>
      </c>
    </row>
    <row r="92" spans="1:46" x14ac:dyDescent="0.25">
      <c r="A92">
        <v>90</v>
      </c>
      <c r="B92">
        <v>9.7400000000000091</v>
      </c>
      <c r="C92">
        <v>0.55241758241758232</v>
      </c>
      <c r="D92">
        <v>9.8194271171955824E-2</v>
      </c>
      <c r="E92">
        <v>-2.6534622004160291E-2</v>
      </c>
      <c r="F92">
        <v>0.1910270487309905</v>
      </c>
      <c r="G92">
        <v>-0.82418199999999842</v>
      </c>
      <c r="H92">
        <v>-5.4620650000000008</v>
      </c>
      <c r="I92">
        <v>1.824849999999997</v>
      </c>
      <c r="J92">
        <v>12.401</v>
      </c>
      <c r="K92">
        <v>-8.0975399999999986</v>
      </c>
      <c r="L92">
        <v>-12.632099999999999</v>
      </c>
      <c r="M92">
        <v>-14.281499999999999</v>
      </c>
      <c r="N92">
        <v>-18.684000000000001</v>
      </c>
      <c r="O92">
        <v>-31.133199999999999</v>
      </c>
      <c r="P92">
        <v>19.181000000000001</v>
      </c>
      <c r="Q92">
        <v>-3.820155000000002</v>
      </c>
      <c r="R92">
        <v>-2.2747199999999972</v>
      </c>
      <c r="S92">
        <v>-22.94694999999999</v>
      </c>
      <c r="T92">
        <v>-13.055350000000001</v>
      </c>
      <c r="U92">
        <v>-196.58674999999999</v>
      </c>
      <c r="V92">
        <v>96.658125000000027</v>
      </c>
      <c r="W92">
        <v>394.10987499999999</v>
      </c>
      <c r="X92">
        <v>326.91874999999999</v>
      </c>
      <c r="Y92">
        <v>-144.24562499999999</v>
      </c>
      <c r="Z92">
        <v>399.83749999999998</v>
      </c>
      <c r="AA92">
        <v>-400.11250000000018</v>
      </c>
      <c r="AB92">
        <v>81.224999999999994</v>
      </c>
      <c r="AC92">
        <v>140.14375000000001</v>
      </c>
      <c r="AD92">
        <v>-542.79375000000016</v>
      </c>
      <c r="AE92">
        <v>269.86062500000031</v>
      </c>
      <c r="AF92">
        <v>-456.57506250000012</v>
      </c>
      <c r="AG92">
        <v>-1872.087500000001</v>
      </c>
      <c r="AH92">
        <v>14.768749999999869</v>
      </c>
      <c r="AI92">
        <v>0</v>
      </c>
      <c r="AJ92">
        <v>0</v>
      </c>
      <c r="AK92">
        <v>0</v>
      </c>
      <c r="AL92">
        <v>0</v>
      </c>
      <c r="AM92">
        <v>0</v>
      </c>
      <c r="AN92">
        <v>0</v>
      </c>
      <c r="AO92">
        <v>0</v>
      </c>
      <c r="AP92">
        <v>0</v>
      </c>
      <c r="AQ92">
        <v>0</v>
      </c>
      <c r="AR92">
        <v>0</v>
      </c>
      <c r="AS92">
        <v>0</v>
      </c>
      <c r="AT92">
        <v>0</v>
      </c>
    </row>
    <row r="93" spans="1:46" x14ac:dyDescent="0.25">
      <c r="A93">
        <v>91</v>
      </c>
      <c r="B93">
        <v>9.7443750000000051</v>
      </c>
      <c r="C93">
        <v>0.55270054945054936</v>
      </c>
      <c r="D93">
        <v>9.5602222720702457E-2</v>
      </c>
      <c r="E93">
        <v>-2.1743383691370199E-2</v>
      </c>
      <c r="F93">
        <v>0.14460052258222961</v>
      </c>
      <c r="G93">
        <v>-1.022526</v>
      </c>
      <c r="H93">
        <v>-5.3651274999999998</v>
      </c>
      <c r="I93">
        <v>2.220820000000002</v>
      </c>
      <c r="J93">
        <v>12.732900000000001</v>
      </c>
      <c r="K93">
        <v>-8.2426349999999999</v>
      </c>
      <c r="L93">
        <v>-12.229649999999999</v>
      </c>
      <c r="M93">
        <v>-14.682550000000001</v>
      </c>
      <c r="N93">
        <v>-18.597349999999999</v>
      </c>
      <c r="O93">
        <v>-30.988700000000001</v>
      </c>
      <c r="P93">
        <v>18.623149999999999</v>
      </c>
      <c r="Q93">
        <v>-3.5493975</v>
      </c>
      <c r="R93">
        <v>-2.7365000000000022</v>
      </c>
      <c r="S93">
        <v>-24.837825000000009</v>
      </c>
      <c r="T93">
        <v>-13.043875</v>
      </c>
      <c r="U93">
        <v>-191.55437499999999</v>
      </c>
      <c r="V93">
        <v>96.715312500000039</v>
      </c>
      <c r="W93">
        <v>392.24243749999999</v>
      </c>
      <c r="X93">
        <v>326.61562500000002</v>
      </c>
      <c r="Y93">
        <v>-137.01031249999991</v>
      </c>
      <c r="Z93">
        <v>392.74374999999992</v>
      </c>
      <c r="AA93">
        <v>-372.26874999999978</v>
      </c>
      <c r="AB93">
        <v>95.775000000000105</v>
      </c>
      <c r="AC93">
        <v>143.72187500000001</v>
      </c>
      <c r="AD93">
        <v>-511.83437500000002</v>
      </c>
      <c r="AE93">
        <v>233.35906249999991</v>
      </c>
      <c r="AF93">
        <v>-428.61065624999981</v>
      </c>
      <c r="AG93">
        <v>-1775.8875</v>
      </c>
      <c r="AH93">
        <v>31.990625000000112</v>
      </c>
      <c r="AI93">
        <v>0</v>
      </c>
      <c r="AJ93">
        <v>0</v>
      </c>
      <c r="AK93">
        <v>0</v>
      </c>
      <c r="AL93">
        <v>0</v>
      </c>
      <c r="AM93">
        <v>0</v>
      </c>
      <c r="AN93">
        <v>0</v>
      </c>
      <c r="AO93">
        <v>0</v>
      </c>
      <c r="AP93">
        <v>0</v>
      </c>
      <c r="AQ93">
        <v>0</v>
      </c>
      <c r="AR93">
        <v>0</v>
      </c>
      <c r="AS93">
        <v>0</v>
      </c>
      <c r="AT93">
        <v>0</v>
      </c>
    </row>
    <row r="94" spans="1:46" x14ac:dyDescent="0.25">
      <c r="A94">
        <v>92</v>
      </c>
      <c r="B94">
        <v>9.7487500000000011</v>
      </c>
      <c r="C94">
        <v>0.5529835164835164</v>
      </c>
      <c r="D94">
        <v>8.2102945070984298E-2</v>
      </c>
      <c r="E94">
        <v>-1.149531350611053E-2</v>
      </c>
      <c r="F94">
        <v>0.13726485244828029</v>
      </c>
      <c r="G94">
        <v>-1.2208699999999999</v>
      </c>
      <c r="H94">
        <v>-5.2681899999999997</v>
      </c>
      <c r="I94">
        <v>2.6167899999999999</v>
      </c>
      <c r="J94">
        <v>13.0648</v>
      </c>
      <c r="K94">
        <v>-8.3877299999999995</v>
      </c>
      <c r="L94">
        <v>-11.827199999999999</v>
      </c>
      <c r="M94">
        <v>-15.083600000000001</v>
      </c>
      <c r="N94">
        <v>-18.5107</v>
      </c>
      <c r="O94">
        <v>-30.844200000000001</v>
      </c>
      <c r="P94">
        <v>18.065300000000001</v>
      </c>
      <c r="Q94">
        <v>-3.2786400000000002</v>
      </c>
      <c r="R94">
        <v>-3.19828</v>
      </c>
      <c r="S94">
        <v>-26.7287</v>
      </c>
      <c r="T94">
        <v>-13.032400000000001</v>
      </c>
      <c r="U94">
        <v>-186.52199999999999</v>
      </c>
      <c r="V94">
        <v>96.772500000000036</v>
      </c>
      <c r="W94">
        <v>390.375</v>
      </c>
      <c r="X94">
        <v>326.3125</v>
      </c>
      <c r="Y94">
        <v>-129.77500000000001</v>
      </c>
      <c r="Z94">
        <v>385.64999999999981</v>
      </c>
      <c r="AA94">
        <v>-344.42500000000001</v>
      </c>
      <c r="AB94">
        <v>110.325</v>
      </c>
      <c r="AC94">
        <v>147.30000000000001</v>
      </c>
      <c r="AD94">
        <v>-480.87500000000023</v>
      </c>
      <c r="AE94">
        <v>196.85749999999999</v>
      </c>
      <c r="AF94">
        <v>-400.64625000000001</v>
      </c>
      <c r="AG94">
        <v>-1679.6875</v>
      </c>
      <c r="AH94">
        <v>49.212500000000112</v>
      </c>
      <c r="AI94">
        <v>0</v>
      </c>
      <c r="AJ94">
        <v>0</v>
      </c>
      <c r="AK94">
        <v>0</v>
      </c>
      <c r="AL94">
        <v>0</v>
      </c>
      <c r="AM94">
        <v>0</v>
      </c>
      <c r="AN94">
        <v>0</v>
      </c>
      <c r="AO94">
        <v>0</v>
      </c>
      <c r="AP94">
        <v>0</v>
      </c>
      <c r="AQ94">
        <v>0</v>
      </c>
      <c r="AR94">
        <v>0</v>
      </c>
      <c r="AS94">
        <v>0</v>
      </c>
      <c r="AT94">
        <v>0</v>
      </c>
    </row>
    <row r="95" spans="1:46" x14ac:dyDescent="0.25">
      <c r="A95">
        <v>93</v>
      </c>
      <c r="B95">
        <v>9.7506249999999994</v>
      </c>
      <c r="C95">
        <v>0.55325686813186803</v>
      </c>
      <c r="D95">
        <v>4.4401295138726933E-2</v>
      </c>
      <c r="E95">
        <v>1.2057177413941991E-3</v>
      </c>
      <c r="F95">
        <v>0.1036017890213473</v>
      </c>
      <c r="G95">
        <v>-1.3955699999999991</v>
      </c>
      <c r="H95">
        <v>-5.1715825000000004</v>
      </c>
      <c r="I95">
        <v>3.0015699999999992</v>
      </c>
      <c r="J95">
        <v>13.385524999999999</v>
      </c>
      <c r="K95">
        <v>-8.502184999999999</v>
      </c>
      <c r="L95">
        <v>-11.458349999999999</v>
      </c>
      <c r="M95">
        <v>-15.3714</v>
      </c>
      <c r="N95">
        <v>-18.3767</v>
      </c>
      <c r="O95">
        <v>-30.694099999999999</v>
      </c>
      <c r="P95">
        <v>17.6614</v>
      </c>
      <c r="Q95">
        <v>-3.1556825000000011</v>
      </c>
      <c r="R95">
        <v>-3.5377924999999988</v>
      </c>
      <c r="S95">
        <v>-28.197199999999999</v>
      </c>
      <c r="T95">
        <v>-12.945449999999999</v>
      </c>
      <c r="U95">
        <v>-179.83056250000001</v>
      </c>
      <c r="V95">
        <v>96.57625000000003</v>
      </c>
      <c r="W95">
        <v>386.75375000000003</v>
      </c>
      <c r="X95">
        <v>321.52812499999999</v>
      </c>
      <c r="Y95">
        <v>-122.065625</v>
      </c>
      <c r="Z95">
        <v>376.56999999999988</v>
      </c>
      <c r="AA95">
        <v>-316.54374999999999</v>
      </c>
      <c r="AB95">
        <v>119.471875</v>
      </c>
      <c r="AC95">
        <v>146.99687499999999</v>
      </c>
      <c r="AD95">
        <v>-436.2062500000003</v>
      </c>
      <c r="AE95">
        <v>161.98812500000011</v>
      </c>
      <c r="AF95">
        <v>-368.80250000000012</v>
      </c>
      <c r="AG95">
        <v>-1575.6468749999999</v>
      </c>
      <c r="AH95">
        <v>68.878125000000054</v>
      </c>
      <c r="AI95">
        <v>0</v>
      </c>
      <c r="AJ95">
        <v>0</v>
      </c>
      <c r="AK95">
        <v>0</v>
      </c>
      <c r="AL95">
        <v>0</v>
      </c>
      <c r="AM95">
        <v>0</v>
      </c>
      <c r="AN95">
        <v>0</v>
      </c>
      <c r="AO95">
        <v>0</v>
      </c>
      <c r="AP95">
        <v>0</v>
      </c>
      <c r="AQ95">
        <v>0</v>
      </c>
      <c r="AR95">
        <v>0</v>
      </c>
      <c r="AS95">
        <v>0</v>
      </c>
      <c r="AT95">
        <v>0</v>
      </c>
    </row>
    <row r="96" spans="1:46" x14ac:dyDescent="0.25">
      <c r="A96">
        <v>94</v>
      </c>
      <c r="B96">
        <v>9.7524999999999977</v>
      </c>
      <c r="C96">
        <v>0.55353021978021977</v>
      </c>
      <c r="D96">
        <v>1.1998281329014669E-2</v>
      </c>
      <c r="E96">
        <v>2.516314761617781E-3</v>
      </c>
      <c r="F96">
        <v>5.7379453273525907E-2</v>
      </c>
      <c r="G96">
        <v>-1.5702700000000009</v>
      </c>
      <c r="H96">
        <v>-5.0749749999999993</v>
      </c>
      <c r="I96">
        <v>3.3863500000000029</v>
      </c>
      <c r="J96">
        <v>13.706250000000001</v>
      </c>
      <c r="K96">
        <v>-8.6166400000000003</v>
      </c>
      <c r="L96">
        <v>-11.089499999999999</v>
      </c>
      <c r="M96">
        <v>-15.6592</v>
      </c>
      <c r="N96">
        <v>-18.242699999999999</v>
      </c>
      <c r="O96">
        <v>-30.544</v>
      </c>
      <c r="P96">
        <v>17.2575</v>
      </c>
      <c r="Q96">
        <v>-3.0327249999999988</v>
      </c>
      <c r="R96">
        <v>-3.877305000000002</v>
      </c>
      <c r="S96">
        <v>-29.665700000000012</v>
      </c>
      <c r="T96">
        <v>-12.858499999999999</v>
      </c>
      <c r="U96">
        <v>-173.13912500000001</v>
      </c>
      <c r="V96">
        <v>96.38000000000001</v>
      </c>
      <c r="W96">
        <v>383.13249999999999</v>
      </c>
      <c r="X96">
        <v>316.74374999999992</v>
      </c>
      <c r="Y96">
        <v>-114.35625</v>
      </c>
      <c r="Z96">
        <v>367.48999999999978</v>
      </c>
      <c r="AA96">
        <v>-288.66249999999968</v>
      </c>
      <c r="AB96">
        <v>128.61875000000009</v>
      </c>
      <c r="AC96">
        <v>146.69375000000011</v>
      </c>
      <c r="AD96">
        <v>-391.5374999999998</v>
      </c>
      <c r="AE96">
        <v>127.11874999999981</v>
      </c>
      <c r="AF96">
        <v>-336.95874999999978</v>
      </c>
      <c r="AG96">
        <v>-1471.6062499999989</v>
      </c>
      <c r="AH96">
        <v>88.543750000000287</v>
      </c>
      <c r="AI96">
        <v>0</v>
      </c>
      <c r="AJ96">
        <v>0</v>
      </c>
      <c r="AK96">
        <v>0</v>
      </c>
      <c r="AL96">
        <v>0</v>
      </c>
      <c r="AM96">
        <v>0</v>
      </c>
      <c r="AN96">
        <v>0</v>
      </c>
      <c r="AO96">
        <v>0</v>
      </c>
      <c r="AP96">
        <v>0</v>
      </c>
      <c r="AQ96">
        <v>0</v>
      </c>
      <c r="AR96">
        <v>0</v>
      </c>
      <c r="AS96">
        <v>0</v>
      </c>
      <c r="AT96">
        <v>0</v>
      </c>
    </row>
    <row r="97" spans="1:46" x14ac:dyDescent="0.25">
      <c r="A97">
        <v>95</v>
      </c>
      <c r="B97">
        <v>9.754374999999996</v>
      </c>
      <c r="C97">
        <v>0.5538035714285714</v>
      </c>
      <c r="D97">
        <v>1.160010895948309E-3</v>
      </c>
      <c r="E97">
        <v>3.5894662414430852E-4</v>
      </c>
      <c r="F97">
        <v>1.1645103506087251E-2</v>
      </c>
      <c r="G97">
        <v>-1.744970000000001</v>
      </c>
      <c r="H97">
        <v>-4.9783674999999992</v>
      </c>
      <c r="I97">
        <v>3.7711300000000021</v>
      </c>
      <c r="J97">
        <v>14.026975</v>
      </c>
      <c r="K97">
        <v>-8.7310949999999998</v>
      </c>
      <c r="L97">
        <v>-10.720649999999999</v>
      </c>
      <c r="M97">
        <v>-15.946999999999999</v>
      </c>
      <c r="N97">
        <v>-18.108699999999999</v>
      </c>
      <c r="O97">
        <v>-30.393899999999999</v>
      </c>
      <c r="P97">
        <v>16.8536</v>
      </c>
      <c r="Q97">
        <v>-2.9097675000000001</v>
      </c>
      <c r="R97">
        <v>-4.2168175000000012</v>
      </c>
      <c r="S97">
        <v>-31.1342</v>
      </c>
      <c r="T97">
        <v>-12.77155</v>
      </c>
      <c r="U97">
        <v>-166.4476875</v>
      </c>
      <c r="V97">
        <v>96.183750000000003</v>
      </c>
      <c r="W97">
        <v>379.51125000000002</v>
      </c>
      <c r="X97">
        <v>311.95937500000002</v>
      </c>
      <c r="Y97">
        <v>-106.64687500000009</v>
      </c>
      <c r="Z97">
        <v>358.40999999999991</v>
      </c>
      <c r="AA97">
        <v>-260.78124999999977</v>
      </c>
      <c r="AB97">
        <v>137.765625</v>
      </c>
      <c r="AC97">
        <v>146.39062500000011</v>
      </c>
      <c r="AD97">
        <v>-346.86874999999992</v>
      </c>
      <c r="AE97">
        <v>92.249374999999915</v>
      </c>
      <c r="AF97">
        <v>-305.1149999999999</v>
      </c>
      <c r="AG97">
        <v>-1367.565625</v>
      </c>
      <c r="AH97">
        <v>108.20937500000019</v>
      </c>
      <c r="AI97">
        <v>0</v>
      </c>
      <c r="AJ97">
        <v>0</v>
      </c>
      <c r="AK97">
        <v>0</v>
      </c>
      <c r="AL97">
        <v>0</v>
      </c>
      <c r="AM97">
        <v>0</v>
      </c>
      <c r="AN97">
        <v>0</v>
      </c>
      <c r="AO97">
        <v>0</v>
      </c>
      <c r="AP97">
        <v>0</v>
      </c>
      <c r="AQ97">
        <v>0</v>
      </c>
      <c r="AR97">
        <v>0</v>
      </c>
      <c r="AS97">
        <v>0</v>
      </c>
      <c r="AT97">
        <v>0</v>
      </c>
    </row>
    <row r="98" spans="1:46" x14ac:dyDescent="0.25">
      <c r="A98">
        <v>96</v>
      </c>
      <c r="B98">
        <v>9.7562499999999943</v>
      </c>
      <c r="C98">
        <v>0.55407692307692302</v>
      </c>
      <c r="D98">
        <v>0</v>
      </c>
      <c r="E98">
        <v>0</v>
      </c>
      <c r="F98">
        <v>0</v>
      </c>
      <c r="G98">
        <v>-1.91967</v>
      </c>
      <c r="H98">
        <v>-4.8817599999999999</v>
      </c>
      <c r="I98">
        <v>4.1559100000000004</v>
      </c>
      <c r="J98">
        <v>14.3477</v>
      </c>
      <c r="K98">
        <v>-8.8455499999999994</v>
      </c>
      <c r="L98">
        <v>-10.351800000000001</v>
      </c>
      <c r="M98">
        <v>-16.2348</v>
      </c>
      <c r="N98">
        <v>-17.974699999999999</v>
      </c>
      <c r="O98">
        <v>-30.2438</v>
      </c>
      <c r="P98">
        <v>16.4497</v>
      </c>
      <c r="Q98">
        <v>-2.78681</v>
      </c>
      <c r="R98">
        <v>-4.55633</v>
      </c>
      <c r="S98">
        <v>-32.602699999999999</v>
      </c>
      <c r="T98">
        <v>-12.6846</v>
      </c>
      <c r="U98">
        <v>-159.75624999999999</v>
      </c>
      <c r="V98">
        <v>95.987499999999997</v>
      </c>
      <c r="W98">
        <v>375.89</v>
      </c>
      <c r="X98">
        <v>307.17500000000001</v>
      </c>
      <c r="Y98">
        <v>-98.937500000000114</v>
      </c>
      <c r="Z98">
        <v>349.32999999999993</v>
      </c>
      <c r="AA98">
        <v>-232.89999999999989</v>
      </c>
      <c r="AB98">
        <v>146.91249999999999</v>
      </c>
      <c r="AC98">
        <v>146.08750000000009</v>
      </c>
      <c r="AD98">
        <v>-302.2</v>
      </c>
      <c r="AE98">
        <v>57.380000000000038</v>
      </c>
      <c r="AF98">
        <v>-273.27125000000001</v>
      </c>
      <c r="AG98">
        <v>-1263.5250000000001</v>
      </c>
      <c r="AH98">
        <v>127.8750000000002</v>
      </c>
      <c r="AI98">
        <v>0</v>
      </c>
      <c r="AJ98">
        <v>0</v>
      </c>
      <c r="AK98">
        <v>0</v>
      </c>
      <c r="AL98">
        <v>0</v>
      </c>
      <c r="AM98">
        <v>0</v>
      </c>
      <c r="AN98">
        <v>0</v>
      </c>
      <c r="AO98">
        <v>0</v>
      </c>
      <c r="AP98">
        <v>0</v>
      </c>
      <c r="AQ98">
        <v>0</v>
      </c>
      <c r="AR98">
        <v>0</v>
      </c>
      <c r="AS98">
        <v>0</v>
      </c>
      <c r="AT98">
        <v>0</v>
      </c>
    </row>
    <row r="99" spans="1:46" x14ac:dyDescent="0.25">
      <c r="A99">
        <v>97</v>
      </c>
      <c r="B99">
        <v>9.7553124999999952</v>
      </c>
      <c r="C99">
        <v>0.55433379120879123</v>
      </c>
      <c r="D99">
        <v>0</v>
      </c>
      <c r="E99">
        <v>0</v>
      </c>
      <c r="F99">
        <v>0</v>
      </c>
      <c r="G99">
        <v>-2.0644825000000009</v>
      </c>
      <c r="H99">
        <v>-4.7863924999999989</v>
      </c>
      <c r="I99">
        <v>4.5229100000000031</v>
      </c>
      <c r="J99">
        <v>14.641325</v>
      </c>
      <c r="K99">
        <v>-8.9289699999999996</v>
      </c>
      <c r="L99">
        <v>-10.021990000000001</v>
      </c>
      <c r="M99">
        <v>-16.412800000000001</v>
      </c>
      <c r="N99">
        <v>-17.814875000000001</v>
      </c>
      <c r="O99">
        <v>-30.101724999999998</v>
      </c>
      <c r="P99">
        <v>16.249199999999998</v>
      </c>
      <c r="Q99">
        <v>-2.7950075000000001</v>
      </c>
      <c r="R99">
        <v>-4.7633600000000014</v>
      </c>
      <c r="S99">
        <v>-33.66125000000001</v>
      </c>
      <c r="T99">
        <v>-12.5158</v>
      </c>
      <c r="U99">
        <v>-151.64937499999999</v>
      </c>
      <c r="V99">
        <v>95.609687500000007</v>
      </c>
      <c r="W99">
        <v>370.76781249999999</v>
      </c>
      <c r="X99">
        <v>299.11250000000001</v>
      </c>
      <c r="Y99">
        <v>-91.31812500000008</v>
      </c>
      <c r="Z99">
        <v>339.48593749999992</v>
      </c>
      <c r="AA99">
        <v>-206.58437499999971</v>
      </c>
      <c r="AB99">
        <v>151.18437499999999</v>
      </c>
      <c r="AC99">
        <v>143.17500000000021</v>
      </c>
      <c r="AD99">
        <v>-247.66562499999961</v>
      </c>
      <c r="AE99">
        <v>28.158124999999821</v>
      </c>
      <c r="AF99">
        <v>-240.83406249999979</v>
      </c>
      <c r="AG99">
        <v>-1167.640625</v>
      </c>
      <c r="AH99">
        <v>148.8625000000003</v>
      </c>
      <c r="AI99">
        <v>0</v>
      </c>
      <c r="AJ99">
        <v>0</v>
      </c>
      <c r="AK99">
        <v>0</v>
      </c>
      <c r="AL99">
        <v>0</v>
      </c>
      <c r="AM99">
        <v>0</v>
      </c>
      <c r="AN99">
        <v>0</v>
      </c>
      <c r="AO99">
        <v>0</v>
      </c>
      <c r="AP99">
        <v>0</v>
      </c>
      <c r="AQ99">
        <v>0</v>
      </c>
      <c r="AR99">
        <v>0</v>
      </c>
      <c r="AS99">
        <v>0</v>
      </c>
      <c r="AT99">
        <v>0</v>
      </c>
    </row>
    <row r="100" spans="1:46" x14ac:dyDescent="0.25">
      <c r="A100">
        <v>98</v>
      </c>
      <c r="B100">
        <v>9.754374999999996</v>
      </c>
      <c r="C100">
        <v>0.55459065934065932</v>
      </c>
      <c r="D100">
        <v>0</v>
      </c>
      <c r="E100">
        <v>0</v>
      </c>
      <c r="F100">
        <v>0</v>
      </c>
      <c r="G100">
        <v>-2.209295</v>
      </c>
      <c r="H100">
        <v>-4.6910249999999998</v>
      </c>
      <c r="I100">
        <v>4.8899100000000004</v>
      </c>
      <c r="J100">
        <v>14.934950000000001</v>
      </c>
      <c r="K100">
        <v>-9.0123899999999999</v>
      </c>
      <c r="L100">
        <v>-9.6921800000000005</v>
      </c>
      <c r="M100">
        <v>-16.590800000000002</v>
      </c>
      <c r="N100">
        <v>-17.655049999999999</v>
      </c>
      <c r="O100">
        <v>-29.95965</v>
      </c>
      <c r="P100">
        <v>16.0487</v>
      </c>
      <c r="Q100">
        <v>-2.8032050000000002</v>
      </c>
      <c r="R100">
        <v>-4.9703900000000001</v>
      </c>
      <c r="S100">
        <v>-34.719799999999999</v>
      </c>
      <c r="T100">
        <v>-12.347</v>
      </c>
      <c r="U100">
        <v>-143.54249999999999</v>
      </c>
      <c r="V100">
        <v>95.231875000000016</v>
      </c>
      <c r="W100">
        <v>365.645625</v>
      </c>
      <c r="X100">
        <v>291.05</v>
      </c>
      <c r="Y100">
        <v>-83.69875000000016</v>
      </c>
      <c r="Z100">
        <v>329.64187500000003</v>
      </c>
      <c r="AA100">
        <v>-180.26875000000001</v>
      </c>
      <c r="AB100">
        <v>155.45624999999981</v>
      </c>
      <c r="AC100">
        <v>140.26250000000019</v>
      </c>
      <c r="AD100">
        <v>-193.13124999999999</v>
      </c>
      <c r="AE100">
        <v>-1.063749999999978</v>
      </c>
      <c r="AF100">
        <v>-208.39687499999999</v>
      </c>
      <c r="AG100">
        <v>-1071.7562499999999</v>
      </c>
      <c r="AH100">
        <v>169.85000000000011</v>
      </c>
      <c r="AI100">
        <v>0</v>
      </c>
      <c r="AJ100">
        <v>0</v>
      </c>
      <c r="AK100">
        <v>0</v>
      </c>
      <c r="AL100">
        <v>0</v>
      </c>
      <c r="AM100">
        <v>0</v>
      </c>
      <c r="AN100">
        <v>0</v>
      </c>
      <c r="AO100">
        <v>0</v>
      </c>
      <c r="AP100">
        <v>0</v>
      </c>
      <c r="AQ100">
        <v>0</v>
      </c>
      <c r="AR100">
        <v>0</v>
      </c>
      <c r="AS100">
        <v>0</v>
      </c>
      <c r="AT100">
        <v>0</v>
      </c>
    </row>
    <row r="101" spans="1:46" x14ac:dyDescent="0.25">
      <c r="A101">
        <v>99</v>
      </c>
      <c r="B101">
        <v>9.7534374999999969</v>
      </c>
      <c r="C101">
        <v>0.55484752747252752</v>
      </c>
      <c r="D101">
        <v>0</v>
      </c>
      <c r="E101">
        <v>0</v>
      </c>
      <c r="F101">
        <v>0</v>
      </c>
      <c r="G101">
        <v>-2.3541075000000009</v>
      </c>
      <c r="H101">
        <v>-4.5956574999999988</v>
      </c>
      <c r="I101">
        <v>5.2569100000000031</v>
      </c>
      <c r="J101">
        <v>15.228574999999999</v>
      </c>
      <c r="K101">
        <v>-9.0958100000000002</v>
      </c>
      <c r="L101">
        <v>-9.3623699999999985</v>
      </c>
      <c r="M101">
        <v>-16.768799999999999</v>
      </c>
      <c r="N101">
        <v>-17.495225000000001</v>
      </c>
      <c r="O101">
        <v>-29.817575000000001</v>
      </c>
      <c r="P101">
        <v>15.8482</v>
      </c>
      <c r="Q101">
        <v>-2.8114024999999998</v>
      </c>
      <c r="R101">
        <v>-5.1774200000000006</v>
      </c>
      <c r="S101">
        <v>-35.778350000000003</v>
      </c>
      <c r="T101">
        <v>-12.1782</v>
      </c>
      <c r="U101">
        <v>-135.4356249999999</v>
      </c>
      <c r="V101">
        <v>94.854062500000026</v>
      </c>
      <c r="W101">
        <v>360.52343749999989</v>
      </c>
      <c r="X101">
        <v>282.98750000000001</v>
      </c>
      <c r="Y101">
        <v>-76.079375000000113</v>
      </c>
      <c r="Z101">
        <v>319.79781250000002</v>
      </c>
      <c r="AA101">
        <v>-153.9531249999998</v>
      </c>
      <c r="AB101">
        <v>159.72812499999981</v>
      </c>
      <c r="AC101">
        <v>137.35000000000019</v>
      </c>
      <c r="AD101">
        <v>-138.59687499999961</v>
      </c>
      <c r="AE101">
        <v>-30.285625000000191</v>
      </c>
      <c r="AF101">
        <v>-175.9596874999998</v>
      </c>
      <c r="AG101">
        <v>-975.87187499999959</v>
      </c>
      <c r="AH101">
        <v>190.83750000000009</v>
      </c>
      <c r="AI101">
        <v>0</v>
      </c>
      <c r="AJ101">
        <v>0</v>
      </c>
      <c r="AK101">
        <v>0</v>
      </c>
      <c r="AL101">
        <v>0</v>
      </c>
      <c r="AM101">
        <v>0</v>
      </c>
      <c r="AN101">
        <v>0</v>
      </c>
      <c r="AO101">
        <v>0</v>
      </c>
      <c r="AP101">
        <v>0</v>
      </c>
      <c r="AQ101">
        <v>0</v>
      </c>
      <c r="AR101">
        <v>0</v>
      </c>
      <c r="AS101">
        <v>0</v>
      </c>
      <c r="AT101">
        <v>0</v>
      </c>
    </row>
    <row r="102" spans="1:46" x14ac:dyDescent="0.25">
      <c r="A102">
        <v>100</v>
      </c>
      <c r="B102">
        <v>9.7524999999999977</v>
      </c>
      <c r="C102">
        <v>0.55510439560439562</v>
      </c>
      <c r="D102">
        <v>-1.080846598738521E-2</v>
      </c>
      <c r="E102">
        <v>-1.9653298897861818E-3</v>
      </c>
      <c r="F102">
        <v>6.0740244974367308E-2</v>
      </c>
      <c r="G102">
        <v>-2.49892</v>
      </c>
      <c r="H102">
        <v>-4.5002899999999997</v>
      </c>
      <c r="I102">
        <v>5.6239100000000004</v>
      </c>
      <c r="J102">
        <v>15.5222</v>
      </c>
      <c r="K102">
        <v>-9.1792300000000004</v>
      </c>
      <c r="L102">
        <v>-9.0325600000000001</v>
      </c>
      <c r="M102">
        <v>-16.9468</v>
      </c>
      <c r="N102">
        <v>-17.3354</v>
      </c>
      <c r="O102">
        <v>-29.6755</v>
      </c>
      <c r="P102">
        <v>15.6477</v>
      </c>
      <c r="Q102">
        <v>-2.8195999999999999</v>
      </c>
      <c r="R102">
        <v>-5.3844500000000002</v>
      </c>
      <c r="S102">
        <v>-36.8369</v>
      </c>
      <c r="T102">
        <v>-12.009399999999999</v>
      </c>
      <c r="U102">
        <v>-127.32875</v>
      </c>
      <c r="V102">
        <v>94.476250000000036</v>
      </c>
      <c r="W102">
        <v>355.40124999999989</v>
      </c>
      <c r="X102">
        <v>274.92500000000013</v>
      </c>
      <c r="Y102">
        <v>-68.460000000000193</v>
      </c>
      <c r="Z102">
        <v>309.95375000000013</v>
      </c>
      <c r="AA102">
        <v>-127.6375000000001</v>
      </c>
      <c r="AB102">
        <v>163.99999999999969</v>
      </c>
      <c r="AC102">
        <v>134.4375000000002</v>
      </c>
      <c r="AD102">
        <v>-84.062499999999929</v>
      </c>
      <c r="AE102">
        <v>-59.507499999999993</v>
      </c>
      <c r="AF102">
        <v>-143.52250000000001</v>
      </c>
      <c r="AG102">
        <v>-879.9875000000003</v>
      </c>
      <c r="AH102">
        <v>211.8249999999999</v>
      </c>
      <c r="AI102">
        <v>0</v>
      </c>
      <c r="AJ102">
        <v>0</v>
      </c>
      <c r="AK102">
        <v>0</v>
      </c>
      <c r="AL102">
        <v>0</v>
      </c>
      <c r="AM102">
        <v>0</v>
      </c>
      <c r="AN102">
        <v>0</v>
      </c>
      <c r="AO102">
        <v>0</v>
      </c>
      <c r="AP102">
        <v>0</v>
      </c>
      <c r="AQ102">
        <v>0</v>
      </c>
      <c r="AR102">
        <v>0</v>
      </c>
      <c r="AS102">
        <v>0</v>
      </c>
      <c r="AT102">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91182F-BC01-427B-8C00-FB93B4C2D46E}">
  <sheetPr codeName="Sheet4">
    <tabColor rgb="FF6495EC"/>
  </sheetPr>
  <dimension ref="A1:Q17"/>
  <sheetViews>
    <sheetView workbookViewId="0">
      <selection sqref="A1:XFD1048576"/>
    </sheetView>
  </sheetViews>
  <sheetFormatPr defaultRowHeight="15" x14ac:dyDescent="0.25"/>
  <cols>
    <col min="1" max="1" width="20.7109375" customWidth="1"/>
  </cols>
  <sheetData>
    <row r="1" spans="1:17" x14ac:dyDescent="0.25">
      <c r="A1" s="1" t="s">
        <v>0</v>
      </c>
      <c r="C1" s="1" t="s">
        <v>10</v>
      </c>
    </row>
    <row r="2" spans="1:17" x14ac:dyDescent="0.25">
      <c r="A2" s="1" t="s">
        <v>1</v>
      </c>
      <c r="B2" t="s">
        <v>166</v>
      </c>
      <c r="G2" s="1" t="s">
        <v>69</v>
      </c>
      <c r="H2" s="1" t="s">
        <v>70</v>
      </c>
      <c r="I2" s="1" t="s">
        <v>71</v>
      </c>
      <c r="J2" s="1" t="s">
        <v>72</v>
      </c>
      <c r="L2" s="1" t="s">
        <v>73</v>
      </c>
      <c r="M2" s="1" t="s">
        <v>74</v>
      </c>
      <c r="N2" s="1" t="s">
        <v>75</v>
      </c>
      <c r="O2" s="1" t="s">
        <v>76</v>
      </c>
      <c r="P2" s="1" t="s">
        <v>77</v>
      </c>
      <c r="Q2" s="1" t="s">
        <v>78</v>
      </c>
    </row>
    <row r="3" spans="1:17" x14ac:dyDescent="0.25">
      <c r="D3" s="1" t="s">
        <v>122</v>
      </c>
      <c r="F3" s="1" t="s">
        <v>117</v>
      </c>
      <c r="G3">
        <v>9.3549999999999898</v>
      </c>
      <c r="H3">
        <v>0.55966483516483523</v>
      </c>
      <c r="I3">
        <v>177.18000000000009</v>
      </c>
      <c r="J3">
        <v>12.38095238095238</v>
      </c>
      <c r="K3" s="1" t="s">
        <v>79</v>
      </c>
      <c r="L3">
        <v>15.9046</v>
      </c>
      <c r="M3">
        <v>12.742699999999999</v>
      </c>
      <c r="N3">
        <v>40.481200000000001</v>
      </c>
      <c r="O3">
        <v>43.240499999999997</v>
      </c>
      <c r="P3">
        <v>26.284400000000002</v>
      </c>
      <c r="Q3">
        <v>-8.2620799999999992</v>
      </c>
    </row>
    <row r="4" spans="1:17" x14ac:dyDescent="0.25">
      <c r="A4" s="1" t="s">
        <v>3</v>
      </c>
      <c r="B4" t="s">
        <v>4</v>
      </c>
      <c r="C4" s="1" t="s">
        <v>12</v>
      </c>
      <c r="D4">
        <v>254.2373352050781</v>
      </c>
      <c r="F4" s="1" t="s">
        <v>113</v>
      </c>
      <c r="G4">
        <v>9.3512499999999932</v>
      </c>
      <c r="H4">
        <v>0.54655769230769236</v>
      </c>
      <c r="K4" s="1" t="s">
        <v>80</v>
      </c>
      <c r="L4">
        <v>-0.16703599999999999</v>
      </c>
      <c r="M4">
        <v>-1.54131</v>
      </c>
      <c r="N4">
        <v>-1.4639500000000001</v>
      </c>
      <c r="O4">
        <v>-4.0503099999999996</v>
      </c>
    </row>
    <row r="5" spans="1:17" x14ac:dyDescent="0.25">
      <c r="A5" s="1" t="s">
        <v>5</v>
      </c>
      <c r="B5">
        <v>70.360000610351563</v>
      </c>
      <c r="C5" s="1" t="s">
        <v>13</v>
      </c>
      <c r="D5">
        <v>9.4521541595458984</v>
      </c>
      <c r="F5" s="1" t="s">
        <v>114</v>
      </c>
      <c r="G5">
        <v>9.6100000000000119</v>
      </c>
      <c r="H5">
        <v>0.55599450549450546</v>
      </c>
      <c r="K5" s="1" t="s">
        <v>81</v>
      </c>
      <c r="L5">
        <v>-9.8569399999999998</v>
      </c>
      <c r="M5">
        <v>5.67774</v>
      </c>
      <c r="N5">
        <v>-22.571200000000001</v>
      </c>
      <c r="O5">
        <v>22.6036</v>
      </c>
    </row>
    <row r="6" spans="1:17" x14ac:dyDescent="0.25">
      <c r="A6" s="1" t="s">
        <v>6</v>
      </c>
      <c r="B6">
        <v>1820</v>
      </c>
      <c r="C6" s="1" t="s">
        <v>14</v>
      </c>
      <c r="D6">
        <v>0.4719998836517334</v>
      </c>
      <c r="F6" s="1" t="s">
        <v>115</v>
      </c>
      <c r="G6">
        <v>3.749999999996589E-3</v>
      </c>
      <c r="H6">
        <v>1.3107142857142869E-2</v>
      </c>
      <c r="K6" s="1" t="s">
        <v>82</v>
      </c>
      <c r="L6">
        <v>9.5951200000000014</v>
      </c>
      <c r="M6">
        <v>12.203374999999999</v>
      </c>
      <c r="N6">
        <v>54.751199999999997</v>
      </c>
      <c r="O6">
        <v>24.5929</v>
      </c>
      <c r="P6">
        <v>64.324600000000004</v>
      </c>
      <c r="Q6">
        <v>3.409520000000001</v>
      </c>
    </row>
    <row r="7" spans="1:17" x14ac:dyDescent="0.25">
      <c r="A7" s="1" t="s">
        <v>123</v>
      </c>
      <c r="B7">
        <v>970</v>
      </c>
      <c r="C7" s="1" t="s">
        <v>15</v>
      </c>
      <c r="D7">
        <v>0.23599995672702789</v>
      </c>
      <c r="F7" s="1" t="s">
        <v>116</v>
      </c>
      <c r="G7">
        <v>1.0272581507215419</v>
      </c>
      <c r="H7">
        <v>0.99344191480379729</v>
      </c>
      <c r="K7" s="1" t="s">
        <v>83</v>
      </c>
      <c r="L7">
        <v>8.2171540000000007</v>
      </c>
      <c r="M7">
        <v>7.2561600000000004</v>
      </c>
      <c r="N7">
        <v>18.080349999999999</v>
      </c>
      <c r="O7">
        <v>13.117990000000001</v>
      </c>
    </row>
    <row r="8" spans="1:17" x14ac:dyDescent="0.25">
      <c r="A8" s="1" t="s">
        <v>124</v>
      </c>
      <c r="B8">
        <v>71</v>
      </c>
      <c r="C8" s="1" t="s">
        <v>16</v>
      </c>
      <c r="D8">
        <v>49.999996185302727</v>
      </c>
      <c r="K8" s="1" t="s">
        <v>84</v>
      </c>
      <c r="L8">
        <v>11.02636</v>
      </c>
      <c r="M8">
        <v>13.9589</v>
      </c>
      <c r="N8">
        <v>7.3890999999999991</v>
      </c>
      <c r="O8">
        <v>27.797059999999998</v>
      </c>
    </row>
    <row r="9" spans="1:17" x14ac:dyDescent="0.25">
      <c r="A9" s="1" t="s">
        <v>125</v>
      </c>
      <c r="B9">
        <v>73</v>
      </c>
      <c r="C9" s="1" t="s">
        <v>17</v>
      </c>
      <c r="D9">
        <v>21.18642616271973</v>
      </c>
      <c r="K9" s="1" t="s">
        <v>85</v>
      </c>
      <c r="L9">
        <v>337.52500000000009</v>
      </c>
      <c r="M9">
        <v>-33.475000000000144</v>
      </c>
      <c r="N9">
        <v>-46.624999999999908</v>
      </c>
      <c r="O9">
        <v>209.82500000000039</v>
      </c>
      <c r="P9">
        <v>875.04624999999999</v>
      </c>
      <c r="Q9">
        <v>256.01999999999992</v>
      </c>
    </row>
    <row r="10" spans="1:17" x14ac:dyDescent="0.25">
      <c r="C10" s="1" t="s">
        <v>18</v>
      </c>
      <c r="D10">
        <v>4.4614152908325204</v>
      </c>
      <c r="K10" s="1" t="s">
        <v>86</v>
      </c>
      <c r="L10">
        <v>-37.844137500000002</v>
      </c>
      <c r="M10">
        <v>100.24</v>
      </c>
      <c r="N10">
        <v>173.5124999999997</v>
      </c>
      <c r="O10">
        <v>381.8937499999999</v>
      </c>
    </row>
    <row r="11" spans="1:17" x14ac:dyDescent="0.25">
      <c r="C11" s="1" t="s">
        <v>19</v>
      </c>
      <c r="D11">
        <v>2.2385730743408199</v>
      </c>
      <c r="K11" s="1" t="s">
        <v>87</v>
      </c>
      <c r="L11">
        <v>356.95749999999998</v>
      </c>
      <c r="M11">
        <v>284.64875000000001</v>
      </c>
      <c r="N11">
        <v>156.44999999999999</v>
      </c>
      <c r="O11">
        <v>502.47500000000002</v>
      </c>
    </row>
    <row r="12" spans="1:17" x14ac:dyDescent="0.25">
      <c r="C12" s="1" t="s">
        <v>20</v>
      </c>
      <c r="D12">
        <v>17.769518494606022</v>
      </c>
    </row>
    <row r="13" spans="1:17" x14ac:dyDescent="0.25">
      <c r="C13" s="1" t="s">
        <v>21</v>
      </c>
      <c r="D13">
        <v>0</v>
      </c>
    </row>
    <row r="14" spans="1:17" x14ac:dyDescent="0.25">
      <c r="C14" s="1" t="s">
        <v>16</v>
      </c>
      <c r="D14">
        <v>49.999996185302727</v>
      </c>
    </row>
    <row r="15" spans="1:17" x14ac:dyDescent="0.25">
      <c r="C15" s="1" t="s">
        <v>22</v>
      </c>
      <c r="D15">
        <v>0.15199990570545199</v>
      </c>
    </row>
    <row r="16" spans="1:17" x14ac:dyDescent="0.25">
      <c r="C16" s="1" t="s">
        <v>23</v>
      </c>
      <c r="D16">
        <v>78.813573837280273</v>
      </c>
    </row>
    <row r="17" spans="3:4" x14ac:dyDescent="0.25">
      <c r="C17" s="1" t="s">
        <v>118</v>
      </c>
      <c r="D17">
        <v>32.203377791000811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FFD96C-F2FB-4504-B132-E5FAB35A622D}">
  <sheetPr codeName="Sheet5">
    <tabColor rgb="FF6495EC"/>
  </sheetPr>
  <dimension ref="A1:AT102"/>
  <sheetViews>
    <sheetView workbookViewId="0">
      <pane xSplit="1" ySplit="1" topLeftCell="B2" activePane="bottomRight" state="frozen"/>
      <selection pane="topRight" activeCell="B1" sqref="B1"/>
      <selection pane="bottomLeft" activeCell="A2" sqref="A2"/>
      <selection pane="bottomRight" sqref="A1:XFD1048576"/>
    </sheetView>
  </sheetViews>
  <sheetFormatPr defaultRowHeight="15" x14ac:dyDescent="0.25"/>
  <cols>
    <col min="1" max="47" width="25.7109375" customWidth="1"/>
  </cols>
  <sheetData>
    <row r="1" spans="1:46" x14ac:dyDescent="0.25">
      <c r="A1" s="2" t="s">
        <v>250</v>
      </c>
      <c r="B1" s="2" t="s">
        <v>24</v>
      </c>
      <c r="C1" s="2" t="s">
        <v>251</v>
      </c>
      <c r="D1" s="2" t="s">
        <v>26</v>
      </c>
      <c r="E1" s="2" t="s">
        <v>27</v>
      </c>
      <c r="F1" s="2" t="s">
        <v>28</v>
      </c>
      <c r="G1" s="2" t="s">
        <v>126</v>
      </c>
      <c r="H1" s="2" t="s">
        <v>127</v>
      </c>
      <c r="I1" s="2" t="s">
        <v>128</v>
      </c>
      <c r="J1" s="2" t="s">
        <v>129</v>
      </c>
      <c r="K1" s="2" t="s">
        <v>130</v>
      </c>
      <c r="L1" s="2" t="s">
        <v>131</v>
      </c>
      <c r="M1" s="2" t="s">
        <v>132</v>
      </c>
      <c r="N1" s="2" t="s">
        <v>133</v>
      </c>
      <c r="O1" s="2" t="s">
        <v>134</v>
      </c>
      <c r="P1" s="2" t="s">
        <v>135</v>
      </c>
      <c r="Q1" s="2" t="s">
        <v>136</v>
      </c>
      <c r="R1" s="2" t="s">
        <v>137</v>
      </c>
      <c r="S1" s="2" t="s">
        <v>138</v>
      </c>
      <c r="T1" s="2" t="s">
        <v>139</v>
      </c>
      <c r="U1" s="2" t="s">
        <v>140</v>
      </c>
      <c r="V1" s="2" t="s">
        <v>141</v>
      </c>
      <c r="W1" s="2" t="s">
        <v>142</v>
      </c>
      <c r="X1" s="2" t="s">
        <v>143</v>
      </c>
      <c r="Y1" s="2" t="s">
        <v>144</v>
      </c>
      <c r="Z1" s="2" t="s">
        <v>145</v>
      </c>
      <c r="AA1" s="2" t="s">
        <v>146</v>
      </c>
      <c r="AB1" s="2" t="s">
        <v>147</v>
      </c>
      <c r="AC1" s="2" t="s">
        <v>148</v>
      </c>
      <c r="AD1" s="2" t="s">
        <v>149</v>
      </c>
      <c r="AE1" s="2" t="s">
        <v>150</v>
      </c>
      <c r="AF1" s="2" t="s">
        <v>151</v>
      </c>
      <c r="AG1" s="2" t="s">
        <v>152</v>
      </c>
      <c r="AH1" s="2" t="s">
        <v>153</v>
      </c>
      <c r="AI1" s="2" t="s">
        <v>154</v>
      </c>
      <c r="AJ1" s="2" t="s">
        <v>155</v>
      </c>
      <c r="AK1" s="2" t="s">
        <v>156</v>
      </c>
      <c r="AL1" s="2" t="s">
        <v>157</v>
      </c>
      <c r="AM1" s="2" t="s">
        <v>158</v>
      </c>
      <c r="AN1" s="2" t="s">
        <v>159</v>
      </c>
      <c r="AO1" s="2" t="s">
        <v>160</v>
      </c>
      <c r="AP1" s="2" t="s">
        <v>161</v>
      </c>
      <c r="AQ1" s="2" t="s">
        <v>162</v>
      </c>
      <c r="AR1" s="2" t="s">
        <v>163</v>
      </c>
      <c r="AS1" s="2" t="s">
        <v>164</v>
      </c>
      <c r="AT1" s="2" t="s">
        <v>165</v>
      </c>
    </row>
    <row r="2" spans="1:46" x14ac:dyDescent="0.25">
      <c r="A2">
        <v>0</v>
      </c>
      <c r="B2">
        <v>9.3549999999999898</v>
      </c>
      <c r="C2">
        <v>0.55966483516483523</v>
      </c>
      <c r="D2">
        <v>-2.3739717397991349E-2</v>
      </c>
      <c r="E2">
        <v>-3.6547899115613493E-2</v>
      </c>
      <c r="F2">
        <v>0.30894756725186939</v>
      </c>
      <c r="G2">
        <v>12.742699999999999</v>
      </c>
      <c r="H2">
        <v>-8.7974700000000006</v>
      </c>
      <c r="I2">
        <v>-8.2811599999999999</v>
      </c>
      <c r="J2">
        <v>9.2653499999999998</v>
      </c>
      <c r="K2">
        <v>-0.16703599999999999</v>
      </c>
      <c r="L2">
        <v>-12.8872</v>
      </c>
      <c r="M2">
        <v>40.481200000000001</v>
      </c>
      <c r="N2">
        <v>-1.4639500000000001</v>
      </c>
      <c r="O2">
        <v>-22.571200000000001</v>
      </c>
      <c r="P2">
        <v>40.278599999999997</v>
      </c>
      <c r="Q2">
        <v>-12.2363</v>
      </c>
      <c r="R2">
        <v>9.9857399999999998</v>
      </c>
      <c r="S2">
        <v>-0.41054299999999999</v>
      </c>
      <c r="T2">
        <v>-10.8857</v>
      </c>
      <c r="U2">
        <v>-33.475000000000144</v>
      </c>
      <c r="V2">
        <v>5.5937500000000639</v>
      </c>
      <c r="W2">
        <v>36.604999999999997</v>
      </c>
      <c r="X2">
        <v>5.0125000000000863</v>
      </c>
      <c r="Y2">
        <v>-37.844137500000002</v>
      </c>
      <c r="Z2">
        <v>-231.46250000000009</v>
      </c>
      <c r="AA2">
        <v>-453.51249999999948</v>
      </c>
      <c r="AB2">
        <v>-40.804999999999978</v>
      </c>
      <c r="AC2">
        <v>-17.662499999999689</v>
      </c>
      <c r="AD2">
        <v>209.82500000000039</v>
      </c>
      <c r="AE2">
        <v>-131.17500000000001</v>
      </c>
      <c r="AF2">
        <v>451.08249999999998</v>
      </c>
      <c r="AG2">
        <v>761.33749999999998</v>
      </c>
      <c r="AH2">
        <v>32.687500000000199</v>
      </c>
      <c r="AI2">
        <v>1.3956299999999999</v>
      </c>
      <c r="AJ2">
        <v>1.35771</v>
      </c>
      <c r="AK2">
        <v>-0.13095999999999999</v>
      </c>
      <c r="AL2">
        <v>10.1853</v>
      </c>
      <c r="AM2">
        <v>1.8220000000000001</v>
      </c>
      <c r="AN2">
        <v>6.6424800000000006E-2</v>
      </c>
      <c r="AO2">
        <v>-1.23003E-3</v>
      </c>
      <c r="AP2">
        <v>-5.0883700000000003</v>
      </c>
      <c r="AQ2">
        <v>1.2484</v>
      </c>
      <c r="AR2">
        <v>-0.16589999999999999</v>
      </c>
      <c r="AS2">
        <v>6.2520000000000006E-2</v>
      </c>
      <c r="AT2">
        <v>-13.4535</v>
      </c>
    </row>
    <row r="3" spans="1:46" x14ac:dyDescent="0.25">
      <c r="A3">
        <v>1</v>
      </c>
      <c r="B3">
        <v>9.3540999999999901</v>
      </c>
      <c r="C3">
        <v>0.55924153846153846</v>
      </c>
      <c r="D3">
        <v>-9.748887850366577E-3</v>
      </c>
      <c r="E3">
        <v>1.22811449666163E-2</v>
      </c>
      <c r="F3">
        <v>1.241156637839347</v>
      </c>
      <c r="G3">
        <v>12.704636000000001</v>
      </c>
      <c r="H3">
        <v>-8.7860460000000007</v>
      </c>
      <c r="I3">
        <v>-8.2483015999999996</v>
      </c>
      <c r="J3">
        <v>9.2602235999999998</v>
      </c>
      <c r="K3">
        <v>-0.20574439999999999</v>
      </c>
      <c r="L3">
        <v>-13.113448</v>
      </c>
      <c r="M3">
        <v>40.022680000000001</v>
      </c>
      <c r="N3">
        <v>-1.5148588000000001</v>
      </c>
      <c r="O3">
        <v>-22.595175999999999</v>
      </c>
      <c r="P3">
        <v>40.471871999999998</v>
      </c>
      <c r="Q3">
        <v>-12.366908</v>
      </c>
      <c r="R3">
        <v>10.4389944</v>
      </c>
      <c r="S3">
        <v>0.36100732000000002</v>
      </c>
      <c r="T3">
        <v>-10.870964000000001</v>
      </c>
      <c r="U3">
        <v>-36.430000000000078</v>
      </c>
      <c r="V3">
        <v>8.5277500000000472</v>
      </c>
      <c r="W3">
        <v>35.672600000000017</v>
      </c>
      <c r="X3">
        <v>-6.469999999992293E-2</v>
      </c>
      <c r="Y3">
        <v>-38.835514500000002</v>
      </c>
      <c r="Z3">
        <v>-232.95650000000009</v>
      </c>
      <c r="AA3">
        <v>-465.05649999999969</v>
      </c>
      <c r="AB3">
        <v>-47.251699999999978</v>
      </c>
      <c r="AC3">
        <v>-21.718499999999729</v>
      </c>
      <c r="AD3">
        <v>205.2050000000003</v>
      </c>
      <c r="AE3">
        <v>-133.69800000000001</v>
      </c>
      <c r="AF3">
        <v>459.40449999999998</v>
      </c>
      <c r="AG3">
        <v>778.12468999999999</v>
      </c>
      <c r="AH3">
        <v>24.93550000000015</v>
      </c>
      <c r="AI3">
        <v>2.0947787999999998</v>
      </c>
      <c r="AJ3">
        <v>1.6022004000000001</v>
      </c>
      <c r="AK3">
        <v>-0.15238552</v>
      </c>
      <c r="AL3">
        <v>15.826212</v>
      </c>
      <c r="AM3">
        <v>1.5198779200000001</v>
      </c>
      <c r="AN3">
        <v>0.120535248</v>
      </c>
      <c r="AO3">
        <v>-3.1438884000000002E-3</v>
      </c>
      <c r="AP3">
        <v>-4.1890587999999997</v>
      </c>
      <c r="AQ3">
        <v>1.4044648</v>
      </c>
      <c r="AR3">
        <v>-0.16628208</v>
      </c>
      <c r="AS3">
        <v>6.5385120000000005E-2</v>
      </c>
      <c r="AT3">
        <v>-15.559956</v>
      </c>
    </row>
    <row r="4" spans="1:46" x14ac:dyDescent="0.25">
      <c r="A4">
        <v>2</v>
      </c>
      <c r="B4">
        <v>9.3531999999999922</v>
      </c>
      <c r="C4">
        <v>0.5588182417582418</v>
      </c>
      <c r="D4">
        <v>-0.1923484221807939</v>
      </c>
      <c r="E4">
        <v>3.9153798606878468E-2</v>
      </c>
      <c r="F4">
        <v>1.4197670352875309</v>
      </c>
      <c r="G4">
        <v>12.666572</v>
      </c>
      <c r="H4">
        <v>-8.7746220000000008</v>
      </c>
      <c r="I4">
        <v>-8.2154431999999993</v>
      </c>
      <c r="J4">
        <v>9.2550971999999998</v>
      </c>
      <c r="K4">
        <v>-0.2444528</v>
      </c>
      <c r="L4">
        <v>-13.339696</v>
      </c>
      <c r="M4">
        <v>39.564160000000001</v>
      </c>
      <c r="N4">
        <v>-1.5657676</v>
      </c>
      <c r="O4">
        <v>-22.619152</v>
      </c>
      <c r="P4">
        <v>40.665143999999998</v>
      </c>
      <c r="Q4">
        <v>-12.497515999999999</v>
      </c>
      <c r="R4">
        <v>10.892248800000001</v>
      </c>
      <c r="S4">
        <v>1.1325576399999999</v>
      </c>
      <c r="T4">
        <v>-10.856228</v>
      </c>
      <c r="U4">
        <v>-39.385000000000012</v>
      </c>
      <c r="V4">
        <v>11.461750000000031</v>
      </c>
      <c r="W4">
        <v>34.740200000000037</v>
      </c>
      <c r="X4">
        <v>-5.1418999999999322</v>
      </c>
      <c r="Y4">
        <v>-39.826891500000002</v>
      </c>
      <c r="Z4">
        <v>-234.45050000000009</v>
      </c>
      <c r="AA4">
        <v>-476.6004999999999</v>
      </c>
      <c r="AB4">
        <v>-53.698399999999978</v>
      </c>
      <c r="AC4">
        <v>-25.774499999999762</v>
      </c>
      <c r="AD4">
        <v>200.58500000000021</v>
      </c>
      <c r="AE4">
        <v>-136.221</v>
      </c>
      <c r="AF4">
        <v>467.72649999999999</v>
      </c>
      <c r="AG4">
        <v>794.91187999999988</v>
      </c>
      <c r="AH4">
        <v>17.183500000000102</v>
      </c>
      <c r="AI4">
        <v>2.7939276</v>
      </c>
      <c r="AJ4">
        <v>1.8466908</v>
      </c>
      <c r="AK4">
        <v>-0.17381104</v>
      </c>
      <c r="AL4">
        <v>21.467123999999998</v>
      </c>
      <c r="AM4">
        <v>1.2177558399999999</v>
      </c>
      <c r="AN4">
        <v>0.17464569599999999</v>
      </c>
      <c r="AO4">
        <v>-5.0577468000000004E-3</v>
      </c>
      <c r="AP4">
        <v>-3.2897476000000001</v>
      </c>
      <c r="AQ4">
        <v>1.5605296</v>
      </c>
      <c r="AR4">
        <v>-0.16666416000000001</v>
      </c>
      <c r="AS4">
        <v>6.8250240000000004E-2</v>
      </c>
      <c r="AT4">
        <v>-17.666412000000001</v>
      </c>
    </row>
    <row r="5" spans="1:46" x14ac:dyDescent="0.25">
      <c r="A5">
        <v>3</v>
      </c>
      <c r="B5">
        <v>9.3522999999999925</v>
      </c>
      <c r="C5">
        <v>0.55839494505494502</v>
      </c>
      <c r="D5">
        <v>-0.54688373601774665</v>
      </c>
      <c r="E5">
        <v>6.7156696868446053E-2</v>
      </c>
      <c r="F5">
        <v>1.7384998764390389</v>
      </c>
      <c r="G5">
        <v>12.628508</v>
      </c>
      <c r="H5">
        <v>-8.7631979999999992</v>
      </c>
      <c r="I5">
        <v>-8.182584799999999</v>
      </c>
      <c r="J5">
        <v>9.2499707999999998</v>
      </c>
      <c r="K5">
        <v>-0.28316119999999989</v>
      </c>
      <c r="L5">
        <v>-13.565944</v>
      </c>
      <c r="M5">
        <v>39.105640000000001</v>
      </c>
      <c r="N5">
        <v>-1.6166764</v>
      </c>
      <c r="O5">
        <v>-22.643128000000001</v>
      </c>
      <c r="P5">
        <v>40.858415999999998</v>
      </c>
      <c r="Q5">
        <v>-12.628124</v>
      </c>
      <c r="R5">
        <v>11.3455032</v>
      </c>
      <c r="S5">
        <v>1.9041079599999999</v>
      </c>
      <c r="T5">
        <v>-10.841492000000001</v>
      </c>
      <c r="U5">
        <v>-42.339999999999947</v>
      </c>
      <c r="V5">
        <v>14.39575000000001</v>
      </c>
      <c r="W5">
        <v>33.807800000000057</v>
      </c>
      <c r="X5">
        <v>-10.219099999999941</v>
      </c>
      <c r="Y5">
        <v>-40.818268500000002</v>
      </c>
      <c r="Z5">
        <v>-235.94450000000009</v>
      </c>
      <c r="AA5">
        <v>-488.14450000000011</v>
      </c>
      <c r="AB5">
        <v>-60.145099999999978</v>
      </c>
      <c r="AC5">
        <v>-29.830499999999791</v>
      </c>
      <c r="AD5">
        <v>195.96500000000009</v>
      </c>
      <c r="AE5">
        <v>-138.744</v>
      </c>
      <c r="AF5">
        <v>476.04849999999999</v>
      </c>
      <c r="AG5">
        <v>811.69906999999989</v>
      </c>
      <c r="AH5">
        <v>9.4315000000000495</v>
      </c>
      <c r="AI5">
        <v>3.4930764000000001</v>
      </c>
      <c r="AJ5">
        <v>2.0911811999999999</v>
      </c>
      <c r="AK5">
        <v>-0.19523656</v>
      </c>
      <c r="AL5">
        <v>27.108035999999998</v>
      </c>
      <c r="AM5">
        <v>0.91563376000000007</v>
      </c>
      <c r="AN5">
        <v>0.22875614399999999</v>
      </c>
      <c r="AO5">
        <v>-6.9716051999999988E-3</v>
      </c>
      <c r="AP5">
        <v>-2.3904364</v>
      </c>
      <c r="AQ5">
        <v>1.7165944</v>
      </c>
      <c r="AR5">
        <v>-0.16704624000000001</v>
      </c>
      <c r="AS5">
        <v>7.1115360000000002E-2</v>
      </c>
      <c r="AT5">
        <v>-19.772867999999999</v>
      </c>
    </row>
    <row r="6" spans="1:46" x14ac:dyDescent="0.25">
      <c r="A6">
        <v>4</v>
      </c>
      <c r="B6">
        <v>9.3513999999999928</v>
      </c>
      <c r="C6">
        <v>0.55797164835164825</v>
      </c>
      <c r="D6">
        <v>-0.67061103825918122</v>
      </c>
      <c r="E6">
        <v>0.103360191582875</v>
      </c>
      <c r="F6">
        <v>1.5900501486367511</v>
      </c>
      <c r="G6">
        <v>12.590444</v>
      </c>
      <c r="H6">
        <v>-8.7517739999999993</v>
      </c>
      <c r="I6">
        <v>-8.1497263999999987</v>
      </c>
      <c r="J6">
        <v>9.2448443999999999</v>
      </c>
      <c r="K6">
        <v>-0.32186959999999998</v>
      </c>
      <c r="L6">
        <v>-13.792192</v>
      </c>
      <c r="M6">
        <v>38.647120000000001</v>
      </c>
      <c r="N6">
        <v>-1.6675852</v>
      </c>
      <c r="O6">
        <v>-22.667103999999998</v>
      </c>
      <c r="P6">
        <v>41.051687999999999</v>
      </c>
      <c r="Q6">
        <v>-12.758732</v>
      </c>
      <c r="R6">
        <v>11.7987576</v>
      </c>
      <c r="S6">
        <v>2.6756582799999999</v>
      </c>
      <c r="T6">
        <v>-10.826756</v>
      </c>
      <c r="U6">
        <v>-45.294999999999867</v>
      </c>
      <c r="V6">
        <v>17.329750000000001</v>
      </c>
      <c r="W6">
        <v>32.875400000000077</v>
      </c>
      <c r="X6">
        <v>-15.296299999999951</v>
      </c>
      <c r="Y6">
        <v>-41.809645500000002</v>
      </c>
      <c r="Z6">
        <v>-237.43850000000009</v>
      </c>
      <c r="AA6">
        <v>-499.6885000000002</v>
      </c>
      <c r="AB6">
        <v>-66.591799999999978</v>
      </c>
      <c r="AC6">
        <v>-33.886499999999828</v>
      </c>
      <c r="AD6">
        <v>191.34499999999991</v>
      </c>
      <c r="AE6">
        <v>-141.267</v>
      </c>
      <c r="AF6">
        <v>484.37049999999999</v>
      </c>
      <c r="AG6">
        <v>828.4862599999999</v>
      </c>
      <c r="AH6">
        <v>1.6794999999999971</v>
      </c>
      <c r="AI6">
        <v>4.1922251999999993</v>
      </c>
      <c r="AJ6">
        <v>2.3356716</v>
      </c>
      <c r="AK6">
        <v>-0.21666208000000001</v>
      </c>
      <c r="AL6">
        <v>32.748948000000013</v>
      </c>
      <c r="AM6">
        <v>0.61351168</v>
      </c>
      <c r="AN6">
        <v>0.28286659199999997</v>
      </c>
      <c r="AO6">
        <v>-8.885463599999999E-3</v>
      </c>
      <c r="AP6">
        <v>-1.4911251999999999</v>
      </c>
      <c r="AQ6">
        <v>1.8726592</v>
      </c>
      <c r="AR6">
        <v>-0.16742831999999999</v>
      </c>
      <c r="AS6">
        <v>7.3980480000000001E-2</v>
      </c>
      <c r="AT6">
        <v>-21.879324</v>
      </c>
    </row>
    <row r="7" spans="1:46" x14ac:dyDescent="0.25">
      <c r="A7">
        <v>5</v>
      </c>
      <c r="B7">
        <v>9.3512499999999932</v>
      </c>
      <c r="C7">
        <v>0.55756263736263734</v>
      </c>
      <c r="D7">
        <v>-0.71565052575004273</v>
      </c>
      <c r="E7">
        <v>0.1216281445749671</v>
      </c>
      <c r="F7">
        <v>1.4434780101256439</v>
      </c>
      <c r="G7">
        <v>12.54256</v>
      </c>
      <c r="H7">
        <v>-8.7308799999999991</v>
      </c>
      <c r="I7">
        <v>-8.1192799999999998</v>
      </c>
      <c r="J7">
        <v>9.2224339999999998</v>
      </c>
      <c r="K7">
        <v>-0.36322379999999999</v>
      </c>
      <c r="L7">
        <v>-14.021660000000001</v>
      </c>
      <c r="M7">
        <v>38.150219999999997</v>
      </c>
      <c r="N7">
        <v>-1.7419119999999999</v>
      </c>
      <c r="O7">
        <v>-22.706420000000001</v>
      </c>
      <c r="P7">
        <v>41.227760000000004</v>
      </c>
      <c r="Q7">
        <v>-12.89836</v>
      </c>
      <c r="R7">
        <v>12.2738</v>
      </c>
      <c r="S7">
        <v>3.4913460000000001</v>
      </c>
      <c r="T7">
        <v>-10.83596</v>
      </c>
      <c r="U7">
        <v>-48.24499999999987</v>
      </c>
      <c r="V7">
        <v>20.095500000000001</v>
      </c>
      <c r="W7">
        <v>32.317250000000051</v>
      </c>
      <c r="X7">
        <v>-20.38899999999995</v>
      </c>
      <c r="Y7">
        <v>-42.489350000000002</v>
      </c>
      <c r="Z7">
        <v>-238.005</v>
      </c>
      <c r="AA7">
        <v>-510.98500000000041</v>
      </c>
      <c r="AB7">
        <v>-73.93774999999998</v>
      </c>
      <c r="AC7">
        <v>-38.754999999999917</v>
      </c>
      <c r="AD7">
        <v>185.66499999999999</v>
      </c>
      <c r="AE7">
        <v>-143.90249999999989</v>
      </c>
      <c r="AF7">
        <v>489.10100000000011</v>
      </c>
      <c r="AG7">
        <v>839.02104999999995</v>
      </c>
      <c r="AH7">
        <v>-4.8200000000000482</v>
      </c>
      <c r="AI7">
        <v>4.6962060000000001</v>
      </c>
      <c r="AJ7">
        <v>2.5760339999999999</v>
      </c>
      <c r="AK7">
        <v>-0.24767819999999999</v>
      </c>
      <c r="AL7">
        <v>37.312980000000003</v>
      </c>
      <c r="AM7">
        <v>0.35176220000000002</v>
      </c>
      <c r="AN7">
        <v>0.34603400000000001</v>
      </c>
      <c r="AO7">
        <v>-1.4701199999999669E-4</v>
      </c>
      <c r="AP7">
        <v>-0.88507699999999989</v>
      </c>
      <c r="AQ7">
        <v>1.9488080000000001</v>
      </c>
      <c r="AR7">
        <v>-0.1625576</v>
      </c>
      <c r="AS7">
        <v>8.2107399999999997E-2</v>
      </c>
      <c r="AT7">
        <v>-23.048159999999999</v>
      </c>
    </row>
    <row r="8" spans="1:46" x14ac:dyDescent="0.25">
      <c r="A8">
        <v>6</v>
      </c>
      <c r="B8">
        <v>9.3512499999999932</v>
      </c>
      <c r="C8">
        <v>0.5571564835164835</v>
      </c>
      <c r="D8">
        <v>-0.7405753668745706</v>
      </c>
      <c r="E8">
        <v>0.17484426992693339</v>
      </c>
      <c r="F8">
        <v>1.5941711632080959</v>
      </c>
      <c r="G8">
        <v>12.492711999999999</v>
      </c>
      <c r="H8">
        <v>-8.7080920000000006</v>
      </c>
      <c r="I8">
        <v>-8.0893160000000002</v>
      </c>
      <c r="J8">
        <v>9.1965667999999994</v>
      </c>
      <c r="K8">
        <v>-0.40510716000000002</v>
      </c>
      <c r="L8">
        <v>-14.251772000000001</v>
      </c>
      <c r="M8">
        <v>37.645643999999997</v>
      </c>
      <c r="N8">
        <v>-1.8209223999999999</v>
      </c>
      <c r="O8">
        <v>-22.748804</v>
      </c>
      <c r="P8">
        <v>41.400391999999997</v>
      </c>
      <c r="Q8">
        <v>-13.039792</v>
      </c>
      <c r="R8">
        <v>12.7532</v>
      </c>
      <c r="S8">
        <v>4.3158611999999996</v>
      </c>
      <c r="T8">
        <v>-10.849952</v>
      </c>
      <c r="U8">
        <v>-51.193999999999868</v>
      </c>
      <c r="V8">
        <v>22.8276</v>
      </c>
      <c r="W8">
        <v>31.833950000000019</v>
      </c>
      <c r="X8">
        <v>-25.48479999999994</v>
      </c>
      <c r="Y8">
        <v>-43.106720000000003</v>
      </c>
      <c r="Z8">
        <v>-238.386</v>
      </c>
      <c r="AA8">
        <v>-522.23200000000043</v>
      </c>
      <c r="AB8">
        <v>-81.463549999999984</v>
      </c>
      <c r="AC8">
        <v>-43.786000000000023</v>
      </c>
      <c r="AD8">
        <v>179.77300000000011</v>
      </c>
      <c r="AE8">
        <v>-146.56049999999991</v>
      </c>
      <c r="AF8">
        <v>493.11320000000012</v>
      </c>
      <c r="AG8">
        <v>848.30535999999984</v>
      </c>
      <c r="AH8">
        <v>-11.069000000000081</v>
      </c>
      <c r="AI8">
        <v>5.1611531999999993</v>
      </c>
      <c r="AJ8">
        <v>2.8155708000000002</v>
      </c>
      <c r="AK8">
        <v>-0.28061244000000002</v>
      </c>
      <c r="AL8">
        <v>41.661636000000001</v>
      </c>
      <c r="AM8">
        <v>9.8087240000000131E-2</v>
      </c>
      <c r="AN8">
        <v>0.41101280000000001</v>
      </c>
      <c r="AO8">
        <v>1.07219016E-2</v>
      </c>
      <c r="AP8">
        <v>-0.33768140000000041</v>
      </c>
      <c r="AQ8">
        <v>2.0089736</v>
      </c>
      <c r="AR8">
        <v>-0.15663632</v>
      </c>
      <c r="AS8">
        <v>9.1286679999999995E-2</v>
      </c>
      <c r="AT8">
        <v>-24.029471999999998</v>
      </c>
    </row>
    <row r="9" spans="1:46" x14ac:dyDescent="0.25">
      <c r="A9">
        <v>7</v>
      </c>
      <c r="B9">
        <v>9.3512499999999932</v>
      </c>
      <c r="C9">
        <v>0.55675032967032967</v>
      </c>
      <c r="D9">
        <v>-0.71795926446143721</v>
      </c>
      <c r="E9">
        <v>0.25445224512711268</v>
      </c>
      <c r="F9">
        <v>1.9460019262685431</v>
      </c>
      <c r="G9">
        <v>12.442864</v>
      </c>
      <c r="H9">
        <v>-8.6853040000000004</v>
      </c>
      <c r="I9">
        <v>-8.0593519999999987</v>
      </c>
      <c r="J9">
        <v>9.1706996000000007</v>
      </c>
      <c r="K9">
        <v>-0.44699052</v>
      </c>
      <c r="L9">
        <v>-14.481884000000001</v>
      </c>
      <c r="M9">
        <v>37.141067999999997</v>
      </c>
      <c r="N9">
        <v>-1.8999328</v>
      </c>
      <c r="O9">
        <v>-22.791187999999998</v>
      </c>
      <c r="P9">
        <v>41.573023999999997</v>
      </c>
      <c r="Q9">
        <v>-13.181224</v>
      </c>
      <c r="R9">
        <v>13.2326</v>
      </c>
      <c r="S9">
        <v>5.1403763999999992</v>
      </c>
      <c r="T9">
        <v>-10.863944</v>
      </c>
      <c r="U9">
        <v>-54.142999999999873</v>
      </c>
      <c r="V9">
        <v>25.55970000000001</v>
      </c>
      <c r="W9">
        <v>31.35064999999998</v>
      </c>
      <c r="X9">
        <v>-30.58059999999994</v>
      </c>
      <c r="Y9">
        <v>-43.724089999999997</v>
      </c>
      <c r="Z9">
        <v>-238.76699999999991</v>
      </c>
      <c r="AA9">
        <v>-533.4790000000005</v>
      </c>
      <c r="AB9">
        <v>-88.989349999999988</v>
      </c>
      <c r="AC9">
        <v>-48.817000000000128</v>
      </c>
      <c r="AD9">
        <v>173.8810000000002</v>
      </c>
      <c r="AE9">
        <v>-149.21849999999989</v>
      </c>
      <c r="AF9">
        <v>497.12540000000001</v>
      </c>
      <c r="AG9">
        <v>857.58966999999984</v>
      </c>
      <c r="AH9">
        <v>-17.318000000000119</v>
      </c>
      <c r="AI9">
        <v>5.6261003999999986</v>
      </c>
      <c r="AJ9">
        <v>3.055107599999999</v>
      </c>
      <c r="AK9">
        <v>-0.31354668000000002</v>
      </c>
      <c r="AL9">
        <v>46.010292</v>
      </c>
      <c r="AM9">
        <v>-0.15558772000000001</v>
      </c>
      <c r="AN9">
        <v>0.47599160000000001</v>
      </c>
      <c r="AO9">
        <v>2.1590815199999999E-2</v>
      </c>
      <c r="AP9">
        <v>0.20971419999999991</v>
      </c>
      <c r="AQ9">
        <v>2.0691392</v>
      </c>
      <c r="AR9">
        <v>-0.15071503999999999</v>
      </c>
      <c r="AS9">
        <v>0.10046596000000001</v>
      </c>
      <c r="AT9">
        <v>-25.010784000000001</v>
      </c>
    </row>
    <row r="10" spans="1:46" x14ac:dyDescent="0.25">
      <c r="A10">
        <v>8</v>
      </c>
      <c r="B10">
        <v>9.3512499999999932</v>
      </c>
      <c r="C10">
        <v>0.55634417582417584</v>
      </c>
      <c r="D10">
        <v>-0.72114059427106192</v>
      </c>
      <c r="E10">
        <v>0.27210224787453913</v>
      </c>
      <c r="F10">
        <v>2.224869455842351</v>
      </c>
      <c r="G10">
        <v>12.393015999999999</v>
      </c>
      <c r="H10">
        <v>-8.6625160000000001</v>
      </c>
      <c r="I10">
        <v>-8.0293879999999991</v>
      </c>
      <c r="J10">
        <v>9.1448324000000003</v>
      </c>
      <c r="K10">
        <v>-0.48887387999999998</v>
      </c>
      <c r="L10">
        <v>-14.711995999999999</v>
      </c>
      <c r="M10">
        <v>36.636491999999997</v>
      </c>
      <c r="N10">
        <v>-1.9789432</v>
      </c>
      <c r="O10">
        <v>-22.833572</v>
      </c>
      <c r="P10">
        <v>41.745655999999997</v>
      </c>
      <c r="Q10">
        <v>-13.322656</v>
      </c>
      <c r="R10">
        <v>13.712</v>
      </c>
      <c r="S10">
        <v>5.9648915999999996</v>
      </c>
      <c r="T10">
        <v>-10.877936</v>
      </c>
      <c r="U10">
        <v>-57.091999999999871</v>
      </c>
      <c r="V10">
        <v>28.29180000000002</v>
      </c>
      <c r="W10">
        <v>30.867349999999941</v>
      </c>
      <c r="X10">
        <v>-35.676399999999937</v>
      </c>
      <c r="Y10">
        <v>-44.341459999999998</v>
      </c>
      <c r="Z10">
        <v>-239.14799999999991</v>
      </c>
      <c r="AA10">
        <v>-544.72600000000068</v>
      </c>
      <c r="AB10">
        <v>-96.515149999999991</v>
      </c>
      <c r="AC10">
        <v>-53.848000000000233</v>
      </c>
      <c r="AD10">
        <v>167.98900000000029</v>
      </c>
      <c r="AE10">
        <v>-151.87649999999991</v>
      </c>
      <c r="AF10">
        <v>501.13760000000002</v>
      </c>
      <c r="AG10">
        <v>866.87397999999985</v>
      </c>
      <c r="AH10">
        <v>-23.56700000000016</v>
      </c>
      <c r="AI10">
        <v>6.0910475999999996</v>
      </c>
      <c r="AJ10">
        <v>3.2946444000000001</v>
      </c>
      <c r="AK10">
        <v>-0.34648092000000003</v>
      </c>
      <c r="AL10">
        <v>50.358947999999998</v>
      </c>
      <c r="AM10">
        <v>-0.4092626800000001</v>
      </c>
      <c r="AN10">
        <v>0.54097039999999996</v>
      </c>
      <c r="AO10">
        <v>3.2459728799999997E-2</v>
      </c>
      <c r="AP10">
        <v>0.75710979999999983</v>
      </c>
      <c r="AQ10">
        <v>2.1293047999999999</v>
      </c>
      <c r="AR10">
        <v>-0.14479375999999999</v>
      </c>
      <c r="AS10">
        <v>0.10964524</v>
      </c>
      <c r="AT10">
        <v>-25.992096</v>
      </c>
    </row>
    <row r="11" spans="1:46" x14ac:dyDescent="0.25">
      <c r="A11">
        <v>9</v>
      </c>
      <c r="B11">
        <v>9.3518499999999971</v>
      </c>
      <c r="C11">
        <v>0.55595120879120874</v>
      </c>
      <c r="D11">
        <v>-0.61409105986536838</v>
      </c>
      <c r="E11">
        <v>0.20715338370729439</v>
      </c>
      <c r="F11">
        <v>2.3701119325441531</v>
      </c>
      <c r="G11">
        <v>12.335296</v>
      </c>
      <c r="H11">
        <v>-8.6327328000000012</v>
      </c>
      <c r="I11">
        <v>-8.0000719999999994</v>
      </c>
      <c r="J11">
        <v>9.1056147999999997</v>
      </c>
      <c r="K11">
        <v>-0.53193323999999997</v>
      </c>
      <c r="L11">
        <v>-14.941564</v>
      </c>
      <c r="M11">
        <v>36.102635999999997</v>
      </c>
      <c r="N11">
        <v>-2.0793567999999998</v>
      </c>
      <c r="O11">
        <v>-22.890516000000002</v>
      </c>
      <c r="P11">
        <v>41.900624000000001</v>
      </c>
      <c r="Q11">
        <v>-13.471048</v>
      </c>
      <c r="R11">
        <v>14.195368</v>
      </c>
      <c r="S11">
        <v>6.8036132</v>
      </c>
      <c r="T11">
        <v>-10.906103999999999</v>
      </c>
      <c r="U11">
        <v>-60.038999999999923</v>
      </c>
      <c r="V11">
        <v>30.870300000000011</v>
      </c>
      <c r="W11">
        <v>30.72124999999993</v>
      </c>
      <c r="X11">
        <v>-40.525999999999947</v>
      </c>
      <c r="Y11">
        <v>-44.754849999999998</v>
      </c>
      <c r="Z11">
        <v>-238.72499999999991</v>
      </c>
      <c r="AA11">
        <v>-555.47900000000061</v>
      </c>
      <c r="AB11">
        <v>-104.62654999999999</v>
      </c>
      <c r="AC11">
        <v>-59.337000000000273</v>
      </c>
      <c r="AD11">
        <v>160.9850000000003</v>
      </c>
      <c r="AE11">
        <v>-154.2564999999999</v>
      </c>
      <c r="AF11">
        <v>501.41699999999997</v>
      </c>
      <c r="AG11">
        <v>870.78114999999991</v>
      </c>
      <c r="AH11">
        <v>-28.392000000000142</v>
      </c>
      <c r="AI11">
        <v>6.0906283999999991</v>
      </c>
      <c r="AJ11">
        <v>3.2784532</v>
      </c>
      <c r="AK11">
        <v>-0.3489582</v>
      </c>
      <c r="AL11">
        <v>50.860388</v>
      </c>
      <c r="AM11">
        <v>-0.30226115999999992</v>
      </c>
      <c r="AN11">
        <v>0.55107815999999998</v>
      </c>
      <c r="AO11">
        <v>3.6725756000000012E-2</v>
      </c>
      <c r="AP11">
        <v>0.63746427999999988</v>
      </c>
      <c r="AQ11">
        <v>2.2180624</v>
      </c>
      <c r="AR11">
        <v>-0.1469384</v>
      </c>
      <c r="AS11">
        <v>0.11343156</v>
      </c>
      <c r="AT11">
        <v>-27.197887999999999</v>
      </c>
    </row>
    <row r="12" spans="1:46" x14ac:dyDescent="0.25">
      <c r="A12">
        <v>10</v>
      </c>
      <c r="B12">
        <v>9.3527500000000039</v>
      </c>
      <c r="C12">
        <v>0.55556483516483512</v>
      </c>
      <c r="D12">
        <v>-0.38584057165498048</v>
      </c>
      <c r="E12">
        <v>0.118523032119161</v>
      </c>
      <c r="F12">
        <v>2.364677686556325</v>
      </c>
      <c r="G12">
        <v>12.27364</v>
      </c>
      <c r="H12">
        <v>-8.5994519999999994</v>
      </c>
      <c r="I12">
        <v>-7.9710799999999997</v>
      </c>
      <c r="J12">
        <v>9.0597220000000007</v>
      </c>
      <c r="K12">
        <v>-0.5755806</v>
      </c>
      <c r="L12">
        <v>-15.170859999999999</v>
      </c>
      <c r="M12">
        <v>35.554139999999997</v>
      </c>
      <c r="N12">
        <v>-2.1904720000000002</v>
      </c>
      <c r="O12">
        <v>-22.954740000000001</v>
      </c>
      <c r="P12">
        <v>42.046759999999999</v>
      </c>
      <c r="Q12">
        <v>-13.622920000000001</v>
      </c>
      <c r="R12">
        <v>14.680720000000001</v>
      </c>
      <c r="S12">
        <v>7.649438</v>
      </c>
      <c r="T12">
        <v>-10.94136</v>
      </c>
      <c r="U12">
        <v>-62.984999999999978</v>
      </c>
      <c r="V12">
        <v>33.372</v>
      </c>
      <c r="W12">
        <v>30.743749999999931</v>
      </c>
      <c r="X12">
        <v>-45.252499999999962</v>
      </c>
      <c r="Y12">
        <v>-45.066249999999997</v>
      </c>
      <c r="Z12">
        <v>-237.89999999999989</v>
      </c>
      <c r="AA12">
        <v>-565.98500000000035</v>
      </c>
      <c r="AB12">
        <v>-113.03075</v>
      </c>
      <c r="AC12">
        <v>-65.055000000000263</v>
      </c>
      <c r="AD12">
        <v>153.42500000000021</v>
      </c>
      <c r="AE12">
        <v>-156.4975</v>
      </c>
      <c r="AF12">
        <v>499.82999999999993</v>
      </c>
      <c r="AG12">
        <v>871.99974999999995</v>
      </c>
      <c r="AH12">
        <v>-32.505000000000088</v>
      </c>
      <c r="AI12">
        <v>5.857526</v>
      </c>
      <c r="AJ12">
        <v>3.134398</v>
      </c>
      <c r="AK12">
        <v>-0.33620699999999998</v>
      </c>
      <c r="AL12">
        <v>49.438220000000001</v>
      </c>
      <c r="AM12">
        <v>-1.4921399999999861E-2</v>
      </c>
      <c r="AN12">
        <v>0.53375039999999996</v>
      </c>
      <c r="AO12">
        <v>3.7690340000000003E-2</v>
      </c>
      <c r="AP12">
        <v>0.18429819999999991</v>
      </c>
      <c r="AQ12">
        <v>2.321116</v>
      </c>
      <c r="AR12">
        <v>-0.153116</v>
      </c>
      <c r="AS12">
        <v>0.1145214</v>
      </c>
      <c r="AT12">
        <v>-28.515920000000001</v>
      </c>
    </row>
    <row r="13" spans="1:46" x14ac:dyDescent="0.25">
      <c r="A13">
        <v>11</v>
      </c>
      <c r="B13">
        <v>9.3536500000000089</v>
      </c>
      <c r="C13">
        <v>0.55517846153846151</v>
      </c>
      <c r="D13">
        <v>-0.14185370159226271</v>
      </c>
      <c r="E13">
        <v>4.8011079626678423E-2</v>
      </c>
      <c r="F13">
        <v>2.2727645380689152</v>
      </c>
      <c r="G13">
        <v>12.211983999999999</v>
      </c>
      <c r="H13">
        <v>-8.5661711999999994</v>
      </c>
      <c r="I13">
        <v>-7.942088</v>
      </c>
      <c r="J13">
        <v>9.0138292</v>
      </c>
      <c r="K13">
        <v>-0.61922796000000002</v>
      </c>
      <c r="L13">
        <v>-15.400156000000001</v>
      </c>
      <c r="M13">
        <v>35.005643999999997</v>
      </c>
      <c r="N13">
        <v>-2.3015872000000002</v>
      </c>
      <c r="O13">
        <v>-23.018964</v>
      </c>
      <c r="P13">
        <v>42.192895999999998</v>
      </c>
      <c r="Q13">
        <v>-13.774792</v>
      </c>
      <c r="R13">
        <v>15.166072</v>
      </c>
      <c r="S13">
        <v>8.495262799999999</v>
      </c>
      <c r="T13">
        <v>-10.976616</v>
      </c>
      <c r="U13">
        <v>-65.93100000000004</v>
      </c>
      <c r="V13">
        <v>35.873699999999992</v>
      </c>
      <c r="W13">
        <v>30.766249999999939</v>
      </c>
      <c r="X13">
        <v>-49.978999999999978</v>
      </c>
      <c r="Y13">
        <v>-45.377650000000003</v>
      </c>
      <c r="Z13">
        <v>-237.0749999999999</v>
      </c>
      <c r="AA13">
        <v>-576.49100000000021</v>
      </c>
      <c r="AB13">
        <v>-121.43495</v>
      </c>
      <c r="AC13">
        <v>-70.773000000000252</v>
      </c>
      <c r="AD13">
        <v>145.86500000000009</v>
      </c>
      <c r="AE13">
        <v>-158.73849999999999</v>
      </c>
      <c r="AF13">
        <v>498.24299999999988</v>
      </c>
      <c r="AG13">
        <v>873.21834999999999</v>
      </c>
      <c r="AH13">
        <v>-36.618000000000052</v>
      </c>
      <c r="AI13">
        <v>5.6244236000000001</v>
      </c>
      <c r="AJ13">
        <v>2.9903428000000001</v>
      </c>
      <c r="AK13">
        <v>-0.32345580000000002</v>
      </c>
      <c r="AL13">
        <v>48.016052000000002</v>
      </c>
      <c r="AM13">
        <v>0.27241836000000019</v>
      </c>
      <c r="AN13">
        <v>0.51642263999999993</v>
      </c>
      <c r="AO13">
        <v>3.8654924E-2</v>
      </c>
      <c r="AP13">
        <v>-0.26886788000000039</v>
      </c>
      <c r="AQ13">
        <v>2.4241695999999999</v>
      </c>
      <c r="AR13">
        <v>-0.15929360000000001</v>
      </c>
      <c r="AS13">
        <v>0.11561124</v>
      </c>
      <c r="AT13">
        <v>-29.833952</v>
      </c>
    </row>
    <row r="14" spans="1:46" x14ac:dyDescent="0.25">
      <c r="A14">
        <v>12</v>
      </c>
      <c r="B14">
        <v>9.3545500000000157</v>
      </c>
      <c r="C14">
        <v>0.55479208791208789</v>
      </c>
      <c r="D14">
        <v>-8.3581521707693663E-3</v>
      </c>
      <c r="E14">
        <v>2.114688522222603E-2</v>
      </c>
      <c r="F14">
        <v>2.2164489139562602</v>
      </c>
      <c r="G14">
        <v>12.150328</v>
      </c>
      <c r="H14">
        <v>-8.5328903999999994</v>
      </c>
      <c r="I14">
        <v>-7.9130960000000004</v>
      </c>
      <c r="J14">
        <v>8.967936400000001</v>
      </c>
      <c r="K14">
        <v>-0.66287531999999993</v>
      </c>
      <c r="L14">
        <v>-15.629452000000001</v>
      </c>
      <c r="M14">
        <v>34.457147999999997</v>
      </c>
      <c r="N14">
        <v>-2.4127024000000001</v>
      </c>
      <c r="O14">
        <v>-23.083188</v>
      </c>
      <c r="P14">
        <v>42.339032000000003</v>
      </c>
      <c r="Q14">
        <v>-13.926664000000001</v>
      </c>
      <c r="R14">
        <v>15.651424</v>
      </c>
      <c r="S14">
        <v>9.341087599999998</v>
      </c>
      <c r="T14">
        <v>-11.011872</v>
      </c>
      <c r="U14">
        <v>-68.877000000000095</v>
      </c>
      <c r="V14">
        <v>38.375399999999971</v>
      </c>
      <c r="W14">
        <v>30.78874999999994</v>
      </c>
      <c r="X14">
        <v>-54.705499999999986</v>
      </c>
      <c r="Y14">
        <v>-45.689049999999988</v>
      </c>
      <c r="Z14">
        <v>-236.24999999999989</v>
      </c>
      <c r="AA14">
        <v>-586.99699999999996</v>
      </c>
      <c r="AB14">
        <v>-129.83914999999999</v>
      </c>
      <c r="AC14">
        <v>-76.491000000000241</v>
      </c>
      <c r="AD14">
        <v>138.30500000000009</v>
      </c>
      <c r="AE14">
        <v>-160.97950000000009</v>
      </c>
      <c r="AF14">
        <v>496.65599999999978</v>
      </c>
      <c r="AG14">
        <v>874.43695000000002</v>
      </c>
      <c r="AH14">
        <v>-40.731000000000002</v>
      </c>
      <c r="AI14">
        <v>5.3913212000000001</v>
      </c>
      <c r="AJ14">
        <v>2.846287600000001</v>
      </c>
      <c r="AK14">
        <v>-0.31070460000000011</v>
      </c>
      <c r="AL14">
        <v>46.593884000000003</v>
      </c>
      <c r="AM14">
        <v>0.55975811999999969</v>
      </c>
      <c r="AN14">
        <v>0.49909488000000002</v>
      </c>
      <c r="AO14">
        <v>3.9619507999999998E-2</v>
      </c>
      <c r="AP14">
        <v>-0.72203395999999964</v>
      </c>
      <c r="AQ14">
        <v>2.5272231999999999</v>
      </c>
      <c r="AR14">
        <v>-0.16547120000000001</v>
      </c>
      <c r="AS14">
        <v>0.11670108</v>
      </c>
      <c r="AT14">
        <v>-31.151983999999999</v>
      </c>
    </row>
    <row r="15" spans="1:46" x14ac:dyDescent="0.25">
      <c r="A15">
        <v>13</v>
      </c>
      <c r="B15">
        <v>9.3557500000000182</v>
      </c>
      <c r="C15">
        <v>0.55441890109890113</v>
      </c>
      <c r="D15">
        <v>8.2610625682886005E-2</v>
      </c>
      <c r="E15">
        <v>1.338480340165958E-2</v>
      </c>
      <c r="F15">
        <v>2.262594682835815</v>
      </c>
      <c r="G15">
        <v>12.082792</v>
      </c>
      <c r="H15">
        <v>-8.4948491999999991</v>
      </c>
      <c r="I15">
        <v>-7.8835280000000001</v>
      </c>
      <c r="J15">
        <v>8.913150400000001</v>
      </c>
      <c r="K15">
        <v>-0.70688627999999987</v>
      </c>
      <c r="L15">
        <v>-15.855855999999999</v>
      </c>
      <c r="M15">
        <v>33.888587999999999</v>
      </c>
      <c r="N15">
        <v>-2.541382</v>
      </c>
      <c r="O15">
        <v>-23.159364</v>
      </c>
      <c r="P15">
        <v>42.468176</v>
      </c>
      <c r="Q15">
        <v>-14.082280000000001</v>
      </c>
      <c r="R15">
        <v>16.127452000000002</v>
      </c>
      <c r="S15">
        <v>10.181132</v>
      </c>
      <c r="T15">
        <v>-11.052948000000001</v>
      </c>
      <c r="U15">
        <v>-71.817000000000121</v>
      </c>
      <c r="V15">
        <v>40.751249999999963</v>
      </c>
      <c r="W15">
        <v>31.086499999999951</v>
      </c>
      <c r="X15">
        <v>-59.066600000000008</v>
      </c>
      <c r="Y15">
        <v>-45.907794999999993</v>
      </c>
      <c r="Z15">
        <v>-234.7964999999999</v>
      </c>
      <c r="AA15">
        <v>-596.95099999999979</v>
      </c>
      <c r="AB15">
        <v>-138.54365000000001</v>
      </c>
      <c r="AC15">
        <v>-82.356000000000222</v>
      </c>
      <c r="AD15">
        <v>129.72499999999999</v>
      </c>
      <c r="AE15">
        <v>-162.65500000000009</v>
      </c>
      <c r="AF15">
        <v>491.8094999999999</v>
      </c>
      <c r="AG15">
        <v>871.57569999999998</v>
      </c>
      <c r="AH15">
        <v>-43.582499999999968</v>
      </c>
      <c r="AI15">
        <v>5.1569744000000002</v>
      </c>
      <c r="AJ15">
        <v>2.67178</v>
      </c>
      <c r="AK15">
        <v>-0.28728155999999999</v>
      </c>
      <c r="AL15">
        <v>45.017623999999998</v>
      </c>
      <c r="AM15">
        <v>0.84426383999999977</v>
      </c>
      <c r="AN15">
        <v>0.47433552000000001</v>
      </c>
      <c r="AO15">
        <v>4.0202743999999999E-2</v>
      </c>
      <c r="AP15">
        <v>-0.99468895999999996</v>
      </c>
      <c r="AQ15">
        <v>2.6297188</v>
      </c>
      <c r="AR15">
        <v>-0.17196355999999999</v>
      </c>
      <c r="AS15">
        <v>0.11757107999999999</v>
      </c>
      <c r="AT15">
        <v>-32.298727999999997</v>
      </c>
    </row>
    <row r="16" spans="1:46" x14ac:dyDescent="0.25">
      <c r="A16">
        <v>14</v>
      </c>
      <c r="B16">
        <v>9.3572500000000165</v>
      </c>
      <c r="C16">
        <v>0.5540589010989011</v>
      </c>
      <c r="D16">
        <v>0.1412889674601869</v>
      </c>
      <c r="E16">
        <v>1.9522105386916261E-2</v>
      </c>
      <c r="F16">
        <v>2.3710166749107988</v>
      </c>
      <c r="G16">
        <v>12.009376</v>
      </c>
      <c r="H16">
        <v>-8.4520476000000002</v>
      </c>
      <c r="I16">
        <v>-7.8533840000000001</v>
      </c>
      <c r="J16">
        <v>8.8494712</v>
      </c>
      <c r="K16">
        <v>-0.75126083999999993</v>
      </c>
      <c r="L16">
        <v>-16.079367999999999</v>
      </c>
      <c r="M16">
        <v>33.299964000000003</v>
      </c>
      <c r="N16">
        <v>-2.6876259999999998</v>
      </c>
      <c r="O16">
        <v>-23.247492000000001</v>
      </c>
      <c r="P16">
        <v>42.580328000000002</v>
      </c>
      <c r="Q16">
        <v>-14.24164</v>
      </c>
      <c r="R16">
        <v>16.594156000000002</v>
      </c>
      <c r="S16">
        <v>11.015396000000001</v>
      </c>
      <c r="T16">
        <v>-11.099843999999999</v>
      </c>
      <c r="U16">
        <v>-74.751000000000104</v>
      </c>
      <c r="V16">
        <v>43.001249999999942</v>
      </c>
      <c r="W16">
        <v>31.659499999999969</v>
      </c>
      <c r="X16">
        <v>-63.062300000000043</v>
      </c>
      <c r="Y16">
        <v>-46.033884999999998</v>
      </c>
      <c r="Z16">
        <v>-232.7144999999999</v>
      </c>
      <c r="AA16">
        <v>-606.35299999999984</v>
      </c>
      <c r="AB16">
        <v>-147.54845</v>
      </c>
      <c r="AC16">
        <v>-88.368000000000166</v>
      </c>
      <c r="AD16">
        <v>120.125</v>
      </c>
      <c r="AE16">
        <v>-163.7650000000001</v>
      </c>
      <c r="AF16">
        <v>483.70350000000002</v>
      </c>
      <c r="AG16">
        <v>864.63460000000009</v>
      </c>
      <c r="AH16">
        <v>-45.172499999999943</v>
      </c>
      <c r="AI16">
        <v>4.9213832000000002</v>
      </c>
      <c r="AJ16">
        <v>2.4668199999999998</v>
      </c>
      <c r="AK16">
        <v>-0.25318668</v>
      </c>
      <c r="AL16">
        <v>43.287272000000002</v>
      </c>
      <c r="AM16">
        <v>1.1259355200000001</v>
      </c>
      <c r="AN16">
        <v>0.44214456000000002</v>
      </c>
      <c r="AO16">
        <v>4.0404632000000003E-2</v>
      </c>
      <c r="AP16">
        <v>-1.08683288</v>
      </c>
      <c r="AQ16">
        <v>2.7316563999999999</v>
      </c>
      <c r="AR16">
        <v>-0.17877067999999999</v>
      </c>
      <c r="AS16">
        <v>0.11822124000000001</v>
      </c>
      <c r="AT16">
        <v>-33.274183999999998</v>
      </c>
    </row>
    <row r="17" spans="1:46" x14ac:dyDescent="0.25">
      <c r="A17">
        <v>15</v>
      </c>
      <c r="B17">
        <v>9.3587500000000148</v>
      </c>
      <c r="C17">
        <v>0.55369890109890108</v>
      </c>
      <c r="D17">
        <v>0.17154169079998599</v>
      </c>
      <c r="E17">
        <v>2.7043658616096571E-2</v>
      </c>
      <c r="F17">
        <v>2.4877452186418649</v>
      </c>
      <c r="G17">
        <v>11.93596</v>
      </c>
      <c r="H17">
        <v>-8.4092459999999996</v>
      </c>
      <c r="I17">
        <v>-7.8232400000000002</v>
      </c>
      <c r="J17">
        <v>8.7857920000000007</v>
      </c>
      <c r="K17">
        <v>-0.79563539999999988</v>
      </c>
      <c r="L17">
        <v>-16.302879999999998</v>
      </c>
      <c r="M17">
        <v>32.71134</v>
      </c>
      <c r="N17">
        <v>-2.8338700000000001</v>
      </c>
      <c r="O17">
        <v>-23.335619999999999</v>
      </c>
      <c r="P17">
        <v>42.692480000000003</v>
      </c>
      <c r="Q17">
        <v>-14.401</v>
      </c>
      <c r="R17">
        <v>17.060860000000002</v>
      </c>
      <c r="S17">
        <v>11.84966</v>
      </c>
      <c r="T17">
        <v>-11.146739999999999</v>
      </c>
      <c r="U17">
        <v>-77.685000000000088</v>
      </c>
      <c r="V17">
        <v>45.251249999999921</v>
      </c>
      <c r="W17">
        <v>32.232499999999987</v>
      </c>
      <c r="X17">
        <v>-67.058000000000064</v>
      </c>
      <c r="Y17">
        <v>-46.159975000000003</v>
      </c>
      <c r="Z17">
        <v>-230.63249999999991</v>
      </c>
      <c r="AA17">
        <v>-615.75499999999977</v>
      </c>
      <c r="AB17">
        <v>-156.55324999999999</v>
      </c>
      <c r="AC17">
        <v>-94.380000000000123</v>
      </c>
      <c r="AD17">
        <v>110.52500000000001</v>
      </c>
      <c r="AE17">
        <v>-164.87500000000011</v>
      </c>
      <c r="AF17">
        <v>475.59750000000008</v>
      </c>
      <c r="AG17">
        <v>857.69350000000009</v>
      </c>
      <c r="AH17">
        <v>-46.76249999999991</v>
      </c>
      <c r="AI17">
        <v>4.6857920000000002</v>
      </c>
      <c r="AJ17">
        <v>2.26186</v>
      </c>
      <c r="AK17">
        <v>-0.2190918</v>
      </c>
      <c r="AL17">
        <v>41.556920000000012</v>
      </c>
      <c r="AM17">
        <v>1.4076071999999999</v>
      </c>
      <c r="AN17">
        <v>0.40995359999999997</v>
      </c>
      <c r="AO17">
        <v>4.060652E-2</v>
      </c>
      <c r="AP17">
        <v>-1.1789768</v>
      </c>
      <c r="AQ17">
        <v>2.8335940000000002</v>
      </c>
      <c r="AR17">
        <v>-0.18557779999999999</v>
      </c>
      <c r="AS17">
        <v>0.1188714</v>
      </c>
      <c r="AT17">
        <v>-34.249639999999999</v>
      </c>
    </row>
    <row r="18" spans="1:46" x14ac:dyDescent="0.25">
      <c r="A18">
        <v>16</v>
      </c>
      <c r="B18">
        <v>9.3602500000000131</v>
      </c>
      <c r="C18">
        <v>0.55333890109890116</v>
      </c>
      <c r="D18">
        <v>0.17020094757856441</v>
      </c>
      <c r="E18">
        <v>3.426827597287737E-2</v>
      </c>
      <c r="F18">
        <v>2.593089163151574</v>
      </c>
      <c r="G18">
        <v>11.862544</v>
      </c>
      <c r="H18">
        <v>-8.3664444000000007</v>
      </c>
      <c r="I18">
        <v>-7.7930959999999994</v>
      </c>
      <c r="J18">
        <v>8.7221127999999997</v>
      </c>
      <c r="K18">
        <v>-0.84000995999999994</v>
      </c>
      <c r="L18">
        <v>-16.526392000000001</v>
      </c>
      <c r="M18">
        <v>32.122715999999997</v>
      </c>
      <c r="N18">
        <v>-2.9801139999999999</v>
      </c>
      <c r="O18">
        <v>-23.423748</v>
      </c>
      <c r="P18">
        <v>42.804631999999998</v>
      </c>
      <c r="Q18">
        <v>-14.560359999999999</v>
      </c>
      <c r="R18">
        <v>17.527564000000002</v>
      </c>
      <c r="S18">
        <v>12.683923999999999</v>
      </c>
      <c r="T18">
        <v>-11.193636</v>
      </c>
      <c r="U18">
        <v>-80.619000000000071</v>
      </c>
      <c r="V18">
        <v>47.501249999999899</v>
      </c>
      <c r="W18">
        <v>32.805500000000023</v>
      </c>
      <c r="X18">
        <v>-71.053700000000077</v>
      </c>
      <c r="Y18">
        <v>-46.286065000000008</v>
      </c>
      <c r="Z18">
        <v>-228.55049999999989</v>
      </c>
      <c r="AA18">
        <v>-625.1569999999997</v>
      </c>
      <c r="AB18">
        <v>-165.55805000000001</v>
      </c>
      <c r="AC18">
        <v>-100.3920000000001</v>
      </c>
      <c r="AD18">
        <v>100.925</v>
      </c>
      <c r="AE18">
        <v>-165.98500000000001</v>
      </c>
      <c r="AF18">
        <v>467.49150000000009</v>
      </c>
      <c r="AG18">
        <v>850.75240000000019</v>
      </c>
      <c r="AH18">
        <v>-48.352499999999878</v>
      </c>
      <c r="AI18">
        <v>4.4502008000000002</v>
      </c>
      <c r="AJ18">
        <v>2.0569000000000002</v>
      </c>
      <c r="AK18">
        <v>-0.18499692000000001</v>
      </c>
      <c r="AL18">
        <v>39.826568000000002</v>
      </c>
      <c r="AM18">
        <v>1.68927888</v>
      </c>
      <c r="AN18">
        <v>0.37776263999999998</v>
      </c>
      <c r="AO18">
        <v>4.0808407999999997E-2</v>
      </c>
      <c r="AP18">
        <v>-1.2711207200000001</v>
      </c>
      <c r="AQ18">
        <v>2.9355316</v>
      </c>
      <c r="AR18">
        <v>-0.19238491999999999</v>
      </c>
      <c r="AS18">
        <v>0.11952156</v>
      </c>
      <c r="AT18">
        <v>-35.225096000000001</v>
      </c>
    </row>
    <row r="19" spans="1:46" x14ac:dyDescent="0.25">
      <c r="A19">
        <v>17</v>
      </c>
      <c r="B19">
        <v>9.3620500000000124</v>
      </c>
      <c r="C19">
        <v>0.5529876923076924</v>
      </c>
      <c r="D19">
        <v>0.13825103429165889</v>
      </c>
      <c r="E19">
        <v>4.1037892231401897E-2</v>
      </c>
      <c r="F19">
        <v>2.7178875748963121</v>
      </c>
      <c r="G19">
        <v>11.785223999999999</v>
      </c>
      <c r="H19">
        <v>-8.3208164</v>
      </c>
      <c r="I19">
        <v>-7.7618079999999994</v>
      </c>
      <c r="J19">
        <v>8.6537071999999995</v>
      </c>
      <c r="K19">
        <v>-0.88447835999999991</v>
      </c>
      <c r="L19">
        <v>-16.746279999999999</v>
      </c>
      <c r="M19">
        <v>31.522396000000001</v>
      </c>
      <c r="N19">
        <v>-3.1386612</v>
      </c>
      <c r="O19">
        <v>-23.519939999999998</v>
      </c>
      <c r="P19">
        <v>42.902511999999987</v>
      </c>
      <c r="Q19">
        <v>-14.720184</v>
      </c>
      <c r="R19">
        <v>17.978867999999999</v>
      </c>
      <c r="S19">
        <v>13.503532</v>
      </c>
      <c r="T19">
        <v>-11.240892000000001</v>
      </c>
      <c r="U19">
        <v>-83.545000000000044</v>
      </c>
      <c r="V19">
        <v>49.663349999999888</v>
      </c>
      <c r="W19">
        <v>33.571400000000033</v>
      </c>
      <c r="X19">
        <v>-74.702800000000082</v>
      </c>
      <c r="Y19">
        <v>-46.403985000000013</v>
      </c>
      <c r="Z19">
        <v>-226.04449999999991</v>
      </c>
      <c r="AA19">
        <v>-634.10699999999963</v>
      </c>
      <c r="AB19">
        <v>-174.64875000000001</v>
      </c>
      <c r="AC19">
        <v>-106.34399999999999</v>
      </c>
      <c r="AD19">
        <v>90.573999999999984</v>
      </c>
      <c r="AE19">
        <v>-166.458</v>
      </c>
      <c r="AF19">
        <v>457.0875000000002</v>
      </c>
      <c r="AG19">
        <v>841.19100000000026</v>
      </c>
      <c r="AH19">
        <v>-49.071499999999872</v>
      </c>
      <c r="AI19">
        <v>4.2517360000000002</v>
      </c>
      <c r="AJ19">
        <v>1.838507920000001</v>
      </c>
      <c r="AK19">
        <v>-0.14325256800000011</v>
      </c>
      <c r="AL19">
        <v>38.360135999999997</v>
      </c>
      <c r="AM19">
        <v>1.9388744</v>
      </c>
      <c r="AN19">
        <v>0.3349231680000001</v>
      </c>
      <c r="AO19">
        <v>3.9066512000000012E-2</v>
      </c>
      <c r="AP19">
        <v>-1.221297488</v>
      </c>
      <c r="AQ19">
        <v>3.0302604</v>
      </c>
      <c r="AR19">
        <v>-0.19650956</v>
      </c>
      <c r="AS19">
        <v>0.11745681600000001</v>
      </c>
      <c r="AT19">
        <v>-35.9572</v>
      </c>
    </row>
    <row r="20" spans="1:46" x14ac:dyDescent="0.25">
      <c r="A20">
        <v>18</v>
      </c>
      <c r="B20">
        <v>9.3644500000000104</v>
      </c>
      <c r="C20">
        <v>0.55265406593406596</v>
      </c>
      <c r="D20">
        <v>9.2940155358569157E-2</v>
      </c>
      <c r="E20">
        <v>5.1329987604524403E-2</v>
      </c>
      <c r="F20">
        <v>2.8628493445893759</v>
      </c>
      <c r="G20">
        <v>11.700096</v>
      </c>
      <c r="H20">
        <v>-8.2695356000000011</v>
      </c>
      <c r="I20">
        <v>-7.7282319999999993</v>
      </c>
      <c r="J20">
        <v>8.5758487999999993</v>
      </c>
      <c r="K20">
        <v>-0.92913444000000001</v>
      </c>
      <c r="L20">
        <v>-16.958919999999999</v>
      </c>
      <c r="M20">
        <v>30.898683999999999</v>
      </c>
      <c r="N20">
        <v>-3.3218147999999998</v>
      </c>
      <c r="O20">
        <v>-23.632259999999999</v>
      </c>
      <c r="P20">
        <v>42.971848000000001</v>
      </c>
      <c r="Q20">
        <v>-14.880936</v>
      </c>
      <c r="R20">
        <v>18.399372</v>
      </c>
      <c r="S20">
        <v>14.293828</v>
      </c>
      <c r="T20">
        <v>-11.288868000000001</v>
      </c>
      <c r="U20">
        <v>-86.455000000000041</v>
      </c>
      <c r="V20">
        <v>51.649649999999951</v>
      </c>
      <c r="W20">
        <v>34.723100000000017</v>
      </c>
      <c r="X20">
        <v>-77.658700000000067</v>
      </c>
      <c r="Y20">
        <v>-46.505565000000011</v>
      </c>
      <c r="Z20">
        <v>-222.69049999999999</v>
      </c>
      <c r="AA20">
        <v>-642.15299999999979</v>
      </c>
      <c r="AB20">
        <v>-183.91125</v>
      </c>
      <c r="AC20">
        <v>-112.176</v>
      </c>
      <c r="AD20">
        <v>78.720999999999989</v>
      </c>
      <c r="AE20">
        <v>-165.65700000000001</v>
      </c>
      <c r="AF20">
        <v>442.08750000000009</v>
      </c>
      <c r="AG20">
        <v>826.38900000000012</v>
      </c>
      <c r="AH20">
        <v>-48.048499999999912</v>
      </c>
      <c r="AI20">
        <v>4.1275240000000002</v>
      </c>
      <c r="AJ20">
        <v>1.5932516800000001</v>
      </c>
      <c r="AK20">
        <v>-8.6209271999999976E-2</v>
      </c>
      <c r="AL20">
        <v>37.421543999999997</v>
      </c>
      <c r="AM20">
        <v>2.1243175999999999</v>
      </c>
      <c r="AN20">
        <v>0.27078667200000001</v>
      </c>
      <c r="AO20">
        <v>3.3437047999999997E-2</v>
      </c>
      <c r="AP20">
        <v>-0.8875399519999998</v>
      </c>
      <c r="AQ20">
        <v>3.1105716000000001</v>
      </c>
      <c r="AR20">
        <v>-0.19526924000000001</v>
      </c>
      <c r="AS20">
        <v>0.109962264</v>
      </c>
      <c r="AT20">
        <v>-36.202599999999997</v>
      </c>
    </row>
    <row r="21" spans="1:46" x14ac:dyDescent="0.25">
      <c r="A21">
        <v>19</v>
      </c>
      <c r="B21">
        <v>9.3668500000000066</v>
      </c>
      <c r="C21">
        <v>0.55232043956043964</v>
      </c>
      <c r="D21">
        <v>5.9074850690105402E-2</v>
      </c>
      <c r="E21">
        <v>6.5608183580026111E-2</v>
      </c>
      <c r="F21">
        <v>3.005512730480401</v>
      </c>
      <c r="G21">
        <v>11.614967999999999</v>
      </c>
      <c r="H21">
        <v>-8.2182548000000004</v>
      </c>
      <c r="I21">
        <v>-7.6946560000000002</v>
      </c>
      <c r="J21">
        <v>8.4979904000000008</v>
      </c>
      <c r="K21">
        <v>-0.97379051999999988</v>
      </c>
      <c r="L21">
        <v>-17.171559999999999</v>
      </c>
      <c r="M21">
        <v>30.274972000000002</v>
      </c>
      <c r="N21">
        <v>-3.5049684000000001</v>
      </c>
      <c r="O21">
        <v>-23.744579999999999</v>
      </c>
      <c r="P21">
        <v>43.041184000000001</v>
      </c>
      <c r="Q21">
        <v>-15.041688000000001</v>
      </c>
      <c r="R21">
        <v>18.819876000000001</v>
      </c>
      <c r="S21">
        <v>15.084123999999999</v>
      </c>
      <c r="T21">
        <v>-11.336843999999999</v>
      </c>
      <c r="U21">
        <v>-89.365000000000023</v>
      </c>
      <c r="V21">
        <v>53.635949999999987</v>
      </c>
      <c r="W21">
        <v>35.874800000000008</v>
      </c>
      <c r="X21">
        <v>-80.614600000000053</v>
      </c>
      <c r="Y21">
        <v>-46.60714500000001</v>
      </c>
      <c r="Z21">
        <v>-219.3365</v>
      </c>
      <c r="AA21">
        <v>-650.19899999999996</v>
      </c>
      <c r="AB21">
        <v>-193.17375000000001</v>
      </c>
      <c r="AC21">
        <v>-118.0079999999999</v>
      </c>
      <c r="AD21">
        <v>66.868000000000023</v>
      </c>
      <c r="AE21">
        <v>-164.85599999999991</v>
      </c>
      <c r="AF21">
        <v>427.08750000000009</v>
      </c>
      <c r="AG21">
        <v>811.58699999999999</v>
      </c>
      <c r="AH21">
        <v>-47.025499999999951</v>
      </c>
      <c r="AI21">
        <v>4.0033120000000002</v>
      </c>
      <c r="AJ21">
        <v>1.34799544</v>
      </c>
      <c r="AK21">
        <v>-2.9165976000000069E-2</v>
      </c>
      <c r="AL21">
        <v>36.482951999999997</v>
      </c>
      <c r="AM21">
        <v>2.3097607999999998</v>
      </c>
      <c r="AN21">
        <v>0.2066501760000001</v>
      </c>
      <c r="AO21">
        <v>2.780758400000001E-2</v>
      </c>
      <c r="AP21">
        <v>-0.55378241600000033</v>
      </c>
      <c r="AQ21">
        <v>3.1908827999999998</v>
      </c>
      <c r="AR21">
        <v>-0.19402891999999999</v>
      </c>
      <c r="AS21">
        <v>0.102467712</v>
      </c>
      <c r="AT21">
        <v>-36.448</v>
      </c>
    </row>
    <row r="22" spans="1:46" x14ac:dyDescent="0.25">
      <c r="A22">
        <v>20</v>
      </c>
      <c r="B22">
        <v>9.3692500000000045</v>
      </c>
      <c r="C22">
        <v>0.5519868131868132</v>
      </c>
      <c r="D22">
        <v>4.4417369177640227E-2</v>
      </c>
      <c r="E22">
        <v>8.038803285604558E-2</v>
      </c>
      <c r="F22">
        <v>3.1421348824202822</v>
      </c>
      <c r="G22">
        <v>11.52984</v>
      </c>
      <c r="H22">
        <v>-8.1669739999999997</v>
      </c>
      <c r="I22">
        <v>-7.6610800000000001</v>
      </c>
      <c r="J22">
        <v>8.4201320000000006</v>
      </c>
      <c r="K22">
        <v>-1.0184466000000001</v>
      </c>
      <c r="L22">
        <v>-17.3842</v>
      </c>
      <c r="M22">
        <v>29.651260000000001</v>
      </c>
      <c r="N22">
        <v>-3.6881219999999999</v>
      </c>
      <c r="O22">
        <v>-23.8569</v>
      </c>
      <c r="P22">
        <v>43.110520000000001</v>
      </c>
      <c r="Q22">
        <v>-15.202439999999999</v>
      </c>
      <c r="R22">
        <v>19.240379999999998</v>
      </c>
      <c r="S22">
        <v>15.874420000000001</v>
      </c>
      <c r="T22">
        <v>-11.384819999999999</v>
      </c>
      <c r="U22">
        <v>-92.27500000000002</v>
      </c>
      <c r="V22">
        <v>55.622250000000051</v>
      </c>
      <c r="W22">
        <v>37.026500000000013</v>
      </c>
      <c r="X22">
        <v>-83.570500000000038</v>
      </c>
      <c r="Y22">
        <v>-46.708725000000008</v>
      </c>
      <c r="Z22">
        <v>-215.98249999999999</v>
      </c>
      <c r="AA22">
        <v>-658.245</v>
      </c>
      <c r="AB22">
        <v>-202.43625</v>
      </c>
      <c r="AC22">
        <v>-123.8399999999999</v>
      </c>
      <c r="AD22">
        <v>55.015000000000022</v>
      </c>
      <c r="AE22">
        <v>-164.05499999999981</v>
      </c>
      <c r="AF22">
        <v>412.08749999999998</v>
      </c>
      <c r="AG22">
        <v>796.78499999999985</v>
      </c>
      <c r="AH22">
        <v>-46.002499999999984</v>
      </c>
      <c r="AI22">
        <v>3.8791000000000002</v>
      </c>
      <c r="AJ22">
        <v>1.1027392</v>
      </c>
      <c r="AK22">
        <v>2.7877320000000039E-2</v>
      </c>
      <c r="AL22">
        <v>35.544359999999998</v>
      </c>
      <c r="AM22">
        <v>2.4952040000000002</v>
      </c>
      <c r="AN22">
        <v>0.14251368</v>
      </c>
      <c r="AO22">
        <v>2.2178119999999999E-2</v>
      </c>
      <c r="AP22">
        <v>-0.22002487999999981</v>
      </c>
      <c r="AQ22">
        <v>3.2711939999999999</v>
      </c>
      <c r="AR22">
        <v>-0.1927886</v>
      </c>
      <c r="AS22">
        <v>9.4973159999999987E-2</v>
      </c>
      <c r="AT22">
        <v>-36.693399999999997</v>
      </c>
    </row>
    <row r="23" spans="1:46" x14ac:dyDescent="0.25">
      <c r="A23">
        <v>21</v>
      </c>
      <c r="B23">
        <v>9.3718000000000021</v>
      </c>
      <c r="C23">
        <v>0.55165868131868134</v>
      </c>
      <c r="D23">
        <v>5.5039667237274263E-2</v>
      </c>
      <c r="E23">
        <v>8.5556403058685143E-2</v>
      </c>
      <c r="F23">
        <v>3.246625489581985</v>
      </c>
      <c r="G23">
        <v>11.442784</v>
      </c>
      <c r="H23">
        <v>-8.1144580000000008</v>
      </c>
      <c r="I23">
        <v>-7.6265403999999997</v>
      </c>
      <c r="J23">
        <v>8.3406956000000001</v>
      </c>
      <c r="K23">
        <v>-1.0631911999999999</v>
      </c>
      <c r="L23">
        <v>-17.594180000000001</v>
      </c>
      <c r="M23">
        <v>29.022667999999999</v>
      </c>
      <c r="N23">
        <v>-3.8774739999999999</v>
      </c>
      <c r="O23">
        <v>-23.972964000000001</v>
      </c>
      <c r="P23">
        <v>43.171188000000001</v>
      </c>
      <c r="Q23">
        <v>-15.361891999999999</v>
      </c>
      <c r="R23">
        <v>19.648584</v>
      </c>
      <c r="S23">
        <v>16.652308000000001</v>
      </c>
      <c r="T23">
        <v>-11.431252000000001</v>
      </c>
      <c r="U23">
        <v>-95.177499999999995</v>
      </c>
      <c r="V23">
        <v>57.564050000000087</v>
      </c>
      <c r="W23">
        <v>38.276349999999987</v>
      </c>
      <c r="X23">
        <v>-86.314150000000012</v>
      </c>
      <c r="Y23">
        <v>-46.835940000000008</v>
      </c>
      <c r="Z23">
        <v>-212.4200000000001</v>
      </c>
      <c r="AA23">
        <v>-666.04200000000014</v>
      </c>
      <c r="AB23">
        <v>-211.67615000000001</v>
      </c>
      <c r="AC23">
        <v>-129.55799999999979</v>
      </c>
      <c r="AD23">
        <v>42.791000000000047</v>
      </c>
      <c r="AE23">
        <v>-162.8149999999998</v>
      </c>
      <c r="AF23">
        <v>395.98899999999998</v>
      </c>
      <c r="AG23">
        <v>780.77899999999988</v>
      </c>
      <c r="AH23">
        <v>-44.578000000000017</v>
      </c>
      <c r="AI23">
        <v>3.7228188000000011</v>
      </c>
      <c r="AJ23">
        <v>0.83983056000000034</v>
      </c>
      <c r="AK23">
        <v>8.7650303999999929E-2</v>
      </c>
      <c r="AL23">
        <v>34.284128000000003</v>
      </c>
      <c r="AM23">
        <v>2.6956524000000002</v>
      </c>
      <c r="AN23">
        <v>7.7421296000000056E-2</v>
      </c>
      <c r="AO23">
        <v>1.7607536E-2</v>
      </c>
      <c r="AP23">
        <v>0.18486014399999931</v>
      </c>
      <c r="AQ23">
        <v>3.350492</v>
      </c>
      <c r="AR23">
        <v>-0.19194628</v>
      </c>
      <c r="AS23">
        <v>8.8549511999999997E-2</v>
      </c>
      <c r="AT23">
        <v>-36.832416000000002</v>
      </c>
    </row>
    <row r="24" spans="1:46" x14ac:dyDescent="0.25">
      <c r="A24">
        <v>22</v>
      </c>
      <c r="B24">
        <v>9.3750999999999998</v>
      </c>
      <c r="C24">
        <v>0.55135802197802197</v>
      </c>
      <c r="D24">
        <v>7.9766030564217716E-2</v>
      </c>
      <c r="E24">
        <v>8.1591731607655524E-2</v>
      </c>
      <c r="F24">
        <v>3.3368367637585332</v>
      </c>
      <c r="G24">
        <v>11.346088</v>
      </c>
      <c r="H24">
        <v>-8.0557660000000002</v>
      </c>
      <c r="I24">
        <v>-7.5871827999999999</v>
      </c>
      <c r="J24">
        <v>8.2533691999999999</v>
      </c>
      <c r="K24">
        <v>-1.1083784000000001</v>
      </c>
      <c r="L24">
        <v>-17.790859999999999</v>
      </c>
      <c r="M24">
        <v>28.369675999999998</v>
      </c>
      <c r="N24">
        <v>-4.0978180000000002</v>
      </c>
      <c r="O24">
        <v>-24.107748000000001</v>
      </c>
      <c r="P24">
        <v>43.188516</v>
      </c>
      <c r="Q24">
        <v>-15.514844</v>
      </c>
      <c r="R24">
        <v>19.995287999999999</v>
      </c>
      <c r="S24">
        <v>17.368155999999999</v>
      </c>
      <c r="T24">
        <v>-11.469963999999999</v>
      </c>
      <c r="U24">
        <v>-98.04249999999999</v>
      </c>
      <c r="V24">
        <v>59.28335000000007</v>
      </c>
      <c r="W24">
        <v>40.016950000000001</v>
      </c>
      <c r="X24">
        <v>-87.996549999999999</v>
      </c>
      <c r="Y24">
        <v>-47.091330000000013</v>
      </c>
      <c r="Z24">
        <v>-207.81500000000011</v>
      </c>
      <c r="AA24">
        <v>-672.59400000000016</v>
      </c>
      <c r="AB24">
        <v>-220.80305000000001</v>
      </c>
      <c r="AC24">
        <v>-134.7059999999999</v>
      </c>
      <c r="AD24">
        <v>28.7119999999999</v>
      </c>
      <c r="AE24">
        <v>-159.37999999999991</v>
      </c>
      <c r="AF24">
        <v>374.39799999999991</v>
      </c>
      <c r="AG24">
        <v>758.75299999999982</v>
      </c>
      <c r="AH24">
        <v>-41.146000000000022</v>
      </c>
      <c r="AI24">
        <v>3.4061916000000001</v>
      </c>
      <c r="AJ24">
        <v>0.48865991999999958</v>
      </c>
      <c r="AK24">
        <v>0.16107172800000011</v>
      </c>
      <c r="AL24">
        <v>31.415696000000001</v>
      </c>
      <c r="AM24">
        <v>2.9711268</v>
      </c>
      <c r="AN24">
        <v>7.5494719999999321E-3</v>
      </c>
      <c r="AO24">
        <v>1.8331351999999999E-2</v>
      </c>
      <c r="AP24">
        <v>0.94538260800000073</v>
      </c>
      <c r="AQ24">
        <v>3.4247239999999999</v>
      </c>
      <c r="AR24">
        <v>-0.19309396000000001</v>
      </c>
      <c r="AS24">
        <v>8.7480383999999994E-2</v>
      </c>
      <c r="AT24">
        <v>-36.439512000000001</v>
      </c>
    </row>
    <row r="25" spans="1:46" x14ac:dyDescent="0.25">
      <c r="A25">
        <v>23</v>
      </c>
      <c r="B25">
        <v>9.3783999999999974</v>
      </c>
      <c r="C25">
        <v>0.55105736263736271</v>
      </c>
      <c r="D25">
        <v>0.10992201526625089</v>
      </c>
      <c r="E25">
        <v>6.7818919020467397E-2</v>
      </c>
      <c r="F25">
        <v>3.4028860026653351</v>
      </c>
      <c r="G25">
        <v>11.249392</v>
      </c>
      <c r="H25">
        <v>-7.9970739999999996</v>
      </c>
      <c r="I25">
        <v>-7.5478252000000001</v>
      </c>
      <c r="J25">
        <v>8.1660427999999996</v>
      </c>
      <c r="K25">
        <v>-1.1535656000000001</v>
      </c>
      <c r="L25">
        <v>-17.987539999999999</v>
      </c>
      <c r="M25">
        <v>27.716684000000001</v>
      </c>
      <c r="N25">
        <v>-4.3181620000000001</v>
      </c>
      <c r="O25">
        <v>-24.242532000000001</v>
      </c>
      <c r="P25">
        <v>43.205843999999999</v>
      </c>
      <c r="Q25">
        <v>-15.667795999999999</v>
      </c>
      <c r="R25">
        <v>20.341992000000001</v>
      </c>
      <c r="S25">
        <v>18.084004</v>
      </c>
      <c r="T25">
        <v>-11.508675999999999</v>
      </c>
      <c r="U25">
        <v>-100.9075</v>
      </c>
      <c r="V25">
        <v>61.002650000000052</v>
      </c>
      <c r="W25">
        <v>41.757549999999988</v>
      </c>
      <c r="X25">
        <v>-89.678949999999986</v>
      </c>
      <c r="Y25">
        <v>-47.346719999999998</v>
      </c>
      <c r="Z25">
        <v>-203.21</v>
      </c>
      <c r="AA25">
        <v>-679.14600000000007</v>
      </c>
      <c r="AB25">
        <v>-229.92994999999999</v>
      </c>
      <c r="AC25">
        <v>-139.8539999999999</v>
      </c>
      <c r="AD25">
        <v>14.6329999999998</v>
      </c>
      <c r="AE25">
        <v>-155.94499999999991</v>
      </c>
      <c r="AF25">
        <v>352.80699999999979</v>
      </c>
      <c r="AG25">
        <v>736.72699999999986</v>
      </c>
      <c r="AH25">
        <v>-37.714000000000027</v>
      </c>
      <c r="AI25">
        <v>3.0895644</v>
      </c>
      <c r="AJ25">
        <v>0.13748928000000021</v>
      </c>
      <c r="AK25">
        <v>0.23449315200000001</v>
      </c>
      <c r="AL25">
        <v>28.547263999999998</v>
      </c>
      <c r="AM25">
        <v>3.2466012000000002</v>
      </c>
      <c r="AN25">
        <v>-6.2322351999999942E-2</v>
      </c>
      <c r="AO25">
        <v>1.9055168000000001E-2</v>
      </c>
      <c r="AP25">
        <v>1.705905072</v>
      </c>
      <c r="AQ25">
        <v>3.4989560000000002</v>
      </c>
      <c r="AR25">
        <v>-0.19424163999999999</v>
      </c>
      <c r="AS25">
        <v>8.6411255999999992E-2</v>
      </c>
      <c r="AT25">
        <v>-36.046607999999999</v>
      </c>
    </row>
    <row r="26" spans="1:46" x14ac:dyDescent="0.25">
      <c r="A26">
        <v>24</v>
      </c>
      <c r="B26">
        <v>9.3816999999999933</v>
      </c>
      <c r="C26">
        <v>0.55075670329670334</v>
      </c>
      <c r="D26">
        <v>0.1383020895057975</v>
      </c>
      <c r="E26">
        <v>5.3145159706516863E-2</v>
      </c>
      <c r="F26">
        <v>3.4745791022510968</v>
      </c>
      <c r="G26">
        <v>11.152696000000001</v>
      </c>
      <c r="H26">
        <v>-7.9383820000000007</v>
      </c>
      <c r="I26">
        <v>-7.5084675999999986</v>
      </c>
      <c r="J26">
        <v>8.0787163999999994</v>
      </c>
      <c r="K26">
        <v>-1.1987528000000001</v>
      </c>
      <c r="L26">
        <v>-18.18422</v>
      </c>
      <c r="M26">
        <v>27.063692</v>
      </c>
      <c r="N26">
        <v>-4.538505999999999</v>
      </c>
      <c r="O26">
        <v>-24.377316</v>
      </c>
      <c r="P26">
        <v>43.223171999999998</v>
      </c>
      <c r="Q26">
        <v>-15.820748</v>
      </c>
      <c r="R26">
        <v>20.688696</v>
      </c>
      <c r="S26">
        <v>18.799852000000001</v>
      </c>
      <c r="T26">
        <v>-11.547388</v>
      </c>
      <c r="U26">
        <v>-103.77249999999989</v>
      </c>
      <c r="V26">
        <v>62.721950000000028</v>
      </c>
      <c r="W26">
        <v>43.498150000000003</v>
      </c>
      <c r="X26">
        <v>-91.361349999999987</v>
      </c>
      <c r="Y26">
        <v>-47.602110000000003</v>
      </c>
      <c r="Z26">
        <v>-198.60499999999999</v>
      </c>
      <c r="AA26">
        <v>-685.69799999999998</v>
      </c>
      <c r="AB26">
        <v>-239.05685</v>
      </c>
      <c r="AC26">
        <v>-145.00200000000001</v>
      </c>
      <c r="AD26">
        <v>0.55399999999969651</v>
      </c>
      <c r="AE26">
        <v>-152.51</v>
      </c>
      <c r="AF26">
        <v>331.21599999999972</v>
      </c>
      <c r="AG26">
        <v>714.70100000000002</v>
      </c>
      <c r="AH26">
        <v>-34.282000000000053</v>
      </c>
      <c r="AI26">
        <v>2.7729371999999999</v>
      </c>
      <c r="AJ26">
        <v>-0.21368135999999929</v>
      </c>
      <c r="AK26">
        <v>0.30791457599999988</v>
      </c>
      <c r="AL26">
        <v>25.678832000000011</v>
      </c>
      <c r="AM26">
        <v>3.5220756</v>
      </c>
      <c r="AN26">
        <v>-0.1321941759999998</v>
      </c>
      <c r="AO26">
        <v>1.9778983999999999E-2</v>
      </c>
      <c r="AP26">
        <v>2.466427535999999</v>
      </c>
      <c r="AQ26">
        <v>3.573188</v>
      </c>
      <c r="AR26">
        <v>-0.19538932000000001</v>
      </c>
      <c r="AS26">
        <v>8.5342128000000003E-2</v>
      </c>
      <c r="AT26">
        <v>-35.653703999999998</v>
      </c>
    </row>
    <row r="27" spans="1:46" x14ac:dyDescent="0.25">
      <c r="A27">
        <v>25</v>
      </c>
      <c r="B27">
        <v>9.3849999999999909</v>
      </c>
      <c r="C27">
        <v>0.55045604395604397</v>
      </c>
      <c r="D27">
        <v>0.15578917617291191</v>
      </c>
      <c r="E27">
        <v>3.8663549223144078E-2</v>
      </c>
      <c r="F27">
        <v>3.5520239624116239</v>
      </c>
      <c r="G27">
        <v>11.055999999999999</v>
      </c>
      <c r="H27">
        <v>-7.8796900000000001</v>
      </c>
      <c r="I27">
        <v>-7.4691099999999997</v>
      </c>
      <c r="J27">
        <v>7.99139</v>
      </c>
      <c r="K27">
        <v>-1.24394</v>
      </c>
      <c r="L27">
        <v>-18.3809</v>
      </c>
      <c r="M27">
        <v>26.410699999999999</v>
      </c>
      <c r="N27">
        <v>-4.7588499999999998</v>
      </c>
      <c r="O27">
        <v>-24.5121</v>
      </c>
      <c r="P27">
        <v>43.240499999999997</v>
      </c>
      <c r="Q27">
        <v>-15.973699999999999</v>
      </c>
      <c r="R27">
        <v>21.035399999999999</v>
      </c>
      <c r="S27">
        <v>19.515699999999999</v>
      </c>
      <c r="T27">
        <v>-11.5861</v>
      </c>
      <c r="U27">
        <v>-106.6374999999999</v>
      </c>
      <c r="V27">
        <v>64.441250000000011</v>
      </c>
      <c r="W27">
        <v>45.238750000000003</v>
      </c>
      <c r="X27">
        <v>-93.043749999999974</v>
      </c>
      <c r="Y27">
        <v>-47.857499999999987</v>
      </c>
      <c r="Z27">
        <v>-193.99999999999989</v>
      </c>
      <c r="AA27">
        <v>-692.25</v>
      </c>
      <c r="AB27">
        <v>-248.18375</v>
      </c>
      <c r="AC27">
        <v>-150.15</v>
      </c>
      <c r="AD27">
        <v>-13.52500000000045</v>
      </c>
      <c r="AE27">
        <v>-149.0750000000001</v>
      </c>
      <c r="AF27">
        <v>309.6249999999996</v>
      </c>
      <c r="AG27">
        <v>692.67499999999995</v>
      </c>
      <c r="AH27">
        <v>-30.850000000000041</v>
      </c>
      <c r="AI27">
        <v>2.4563100000000002</v>
      </c>
      <c r="AJ27">
        <v>-0.56485200000000002</v>
      </c>
      <c r="AK27">
        <v>0.38133600000000001</v>
      </c>
      <c r="AL27">
        <v>22.810400000000001</v>
      </c>
      <c r="AM27">
        <v>3.7975500000000002</v>
      </c>
      <c r="AN27">
        <v>-0.202066</v>
      </c>
      <c r="AO27">
        <v>2.0502800000000002E-2</v>
      </c>
      <c r="AP27">
        <v>3.22695</v>
      </c>
      <c r="AQ27">
        <v>3.6474199999999999</v>
      </c>
      <c r="AR27">
        <v>-0.19653699999999999</v>
      </c>
      <c r="AS27">
        <v>8.4273000000000001E-2</v>
      </c>
      <c r="AT27">
        <v>-35.260800000000003</v>
      </c>
    </row>
    <row r="28" spans="1:46" x14ac:dyDescent="0.25">
      <c r="A28">
        <v>26</v>
      </c>
      <c r="B28">
        <v>9.3891999999999936</v>
      </c>
      <c r="C28">
        <v>0.55019098901098906</v>
      </c>
      <c r="D28">
        <v>0.1634056325814153</v>
      </c>
      <c r="E28">
        <v>2.7675731564866291E-2</v>
      </c>
      <c r="F28">
        <v>3.619909819974978</v>
      </c>
      <c r="G28">
        <v>10.947952000000001</v>
      </c>
      <c r="H28">
        <v>-7.8146547999999996</v>
      </c>
      <c r="I28">
        <v>-7.4216091999999998</v>
      </c>
      <c r="J28">
        <v>7.9000724</v>
      </c>
      <c r="K28">
        <v>-1.2906392</v>
      </c>
      <c r="L28">
        <v>-18.556699999999999</v>
      </c>
      <c r="M28">
        <v>25.734572</v>
      </c>
      <c r="N28">
        <v>-5.0150187999999991</v>
      </c>
      <c r="O28">
        <v>-24.665603999999998</v>
      </c>
      <c r="P28">
        <v>43.197203999999999</v>
      </c>
      <c r="Q28">
        <v>-16.106971999999999</v>
      </c>
      <c r="R28">
        <v>21.283176000000001</v>
      </c>
      <c r="S28">
        <v>20.129788000000001</v>
      </c>
      <c r="T28">
        <v>-11.606619999999999</v>
      </c>
      <c r="U28">
        <v>-109.4304999999999</v>
      </c>
      <c r="V28">
        <v>65.898050000000012</v>
      </c>
      <c r="W28">
        <v>47.562549999999973</v>
      </c>
      <c r="X28">
        <v>-93.305649999999972</v>
      </c>
      <c r="Y28">
        <v>-48.432299999999998</v>
      </c>
      <c r="Z28">
        <v>-188.21600000000001</v>
      </c>
      <c r="AA28">
        <v>-697.28700000000003</v>
      </c>
      <c r="AB28">
        <v>-256.74425000000002</v>
      </c>
      <c r="AC28">
        <v>-154.14599999999999</v>
      </c>
      <c r="AD28">
        <v>-29.545000000000179</v>
      </c>
      <c r="AE28">
        <v>-142.47200000000009</v>
      </c>
      <c r="AF28">
        <v>282.36099999999982</v>
      </c>
      <c r="AG28">
        <v>664.27700000000004</v>
      </c>
      <c r="AH28">
        <v>-25.48300000000004</v>
      </c>
      <c r="AI28">
        <v>2.2716251999999999</v>
      </c>
      <c r="AJ28">
        <v>-0.8253379199999995</v>
      </c>
      <c r="AK28">
        <v>0.43973951999999988</v>
      </c>
      <c r="AL28">
        <v>21.078607999999999</v>
      </c>
      <c r="AM28">
        <v>3.9222443999999999</v>
      </c>
      <c r="AN28">
        <v>-0.26081175999999989</v>
      </c>
      <c r="AO28">
        <v>2.6299879999999991E-2</v>
      </c>
      <c r="AP28">
        <v>4.2805259999999983</v>
      </c>
      <c r="AQ28">
        <v>3.7040479999999998</v>
      </c>
      <c r="AR28">
        <v>-0.19168588</v>
      </c>
      <c r="AS28">
        <v>8.4556536000000002E-2</v>
      </c>
      <c r="AT28">
        <v>-34.081823999999997</v>
      </c>
    </row>
    <row r="29" spans="1:46" x14ac:dyDescent="0.25">
      <c r="A29">
        <v>27</v>
      </c>
      <c r="B29">
        <v>9.3933999999999962</v>
      </c>
      <c r="C29">
        <v>0.54992593406593415</v>
      </c>
      <c r="D29">
        <v>0.1636837358612481</v>
      </c>
      <c r="E29">
        <v>2.2362914727520049E-2</v>
      </c>
      <c r="F29">
        <v>3.682449991840254</v>
      </c>
      <c r="G29">
        <v>10.839904000000001</v>
      </c>
      <c r="H29">
        <v>-7.7496195999999999</v>
      </c>
      <c r="I29">
        <v>-7.3741083999999999</v>
      </c>
      <c r="J29">
        <v>7.8087548</v>
      </c>
      <c r="K29">
        <v>-1.3373383999999999</v>
      </c>
      <c r="L29">
        <v>-18.732500000000002</v>
      </c>
      <c r="M29">
        <v>25.058444000000001</v>
      </c>
      <c r="N29">
        <v>-5.2711876000000002</v>
      </c>
      <c r="O29">
        <v>-24.819108</v>
      </c>
      <c r="P29">
        <v>43.153908000000001</v>
      </c>
      <c r="Q29">
        <v>-16.240244000000001</v>
      </c>
      <c r="R29">
        <v>21.530951999999999</v>
      </c>
      <c r="S29">
        <v>20.743876</v>
      </c>
      <c r="T29">
        <v>-11.627140000000001</v>
      </c>
      <c r="U29">
        <v>-112.2234999999999</v>
      </c>
      <c r="V29">
        <v>67.354850000000013</v>
      </c>
      <c r="W29">
        <v>49.886349999999958</v>
      </c>
      <c r="X29">
        <v>-93.567549999999969</v>
      </c>
      <c r="Y29">
        <v>-49.007100000000001</v>
      </c>
      <c r="Z29">
        <v>-182.43199999999999</v>
      </c>
      <c r="AA29">
        <v>-702.32399999999996</v>
      </c>
      <c r="AB29">
        <v>-265.30475000000013</v>
      </c>
      <c r="AC29">
        <v>-158.14199999999991</v>
      </c>
      <c r="AD29">
        <v>-45.564999999999969</v>
      </c>
      <c r="AE29">
        <v>-135.86900000000011</v>
      </c>
      <c r="AF29">
        <v>255.09699999999981</v>
      </c>
      <c r="AG29">
        <v>635.87899999999991</v>
      </c>
      <c r="AH29">
        <v>-20.11600000000001</v>
      </c>
      <c r="AI29">
        <v>2.0869404</v>
      </c>
      <c r="AJ29">
        <v>-1.08582384</v>
      </c>
      <c r="AK29">
        <v>0.49814303999999998</v>
      </c>
      <c r="AL29">
        <v>19.346816</v>
      </c>
      <c r="AM29">
        <v>4.0469388000000004</v>
      </c>
      <c r="AN29">
        <v>-0.31955751999999998</v>
      </c>
      <c r="AO29">
        <v>3.2096960000000001E-2</v>
      </c>
      <c r="AP29">
        <v>5.3341020000000006</v>
      </c>
      <c r="AQ29">
        <v>3.7606760000000001</v>
      </c>
      <c r="AR29">
        <v>-0.18683475999999999</v>
      </c>
      <c r="AS29">
        <v>8.4840072000000002E-2</v>
      </c>
      <c r="AT29">
        <v>-32.902847999999999</v>
      </c>
    </row>
    <row r="30" spans="1:46" x14ac:dyDescent="0.25">
      <c r="A30">
        <v>28</v>
      </c>
      <c r="B30">
        <v>9.3976000000000006</v>
      </c>
      <c r="C30">
        <v>0.54966087912087913</v>
      </c>
      <c r="D30">
        <v>0.15363507077455921</v>
      </c>
      <c r="E30">
        <v>2.1668752930105142E-2</v>
      </c>
      <c r="F30">
        <v>3.7495324012547382</v>
      </c>
      <c r="G30">
        <v>10.731856000000001</v>
      </c>
      <c r="H30">
        <v>-7.6845844000000003</v>
      </c>
      <c r="I30">
        <v>-7.3266076</v>
      </c>
      <c r="J30">
        <v>7.7174372</v>
      </c>
      <c r="K30">
        <v>-1.3840376000000001</v>
      </c>
      <c r="L30">
        <v>-18.908300000000001</v>
      </c>
      <c r="M30">
        <v>24.382315999999999</v>
      </c>
      <c r="N30">
        <v>-5.5273564000000004</v>
      </c>
      <c r="O30">
        <v>-24.972612000000002</v>
      </c>
      <c r="P30">
        <v>43.110612000000003</v>
      </c>
      <c r="Q30">
        <v>-16.373515999999999</v>
      </c>
      <c r="R30">
        <v>21.778728000000001</v>
      </c>
      <c r="S30">
        <v>21.357963999999999</v>
      </c>
      <c r="T30">
        <v>-11.64766</v>
      </c>
      <c r="U30">
        <v>-115.01649999999989</v>
      </c>
      <c r="V30">
        <v>68.811650000000014</v>
      </c>
      <c r="W30">
        <v>52.210149999999942</v>
      </c>
      <c r="X30">
        <v>-93.829449999999966</v>
      </c>
      <c r="Y30">
        <v>-49.581899999999997</v>
      </c>
      <c r="Z30">
        <v>-176.64800000000011</v>
      </c>
      <c r="AA30">
        <v>-707.36099999999999</v>
      </c>
      <c r="AB30">
        <v>-273.86525000000012</v>
      </c>
      <c r="AC30">
        <v>-162.13799999999989</v>
      </c>
      <c r="AD30">
        <v>-61.584999999999702</v>
      </c>
      <c r="AE30">
        <v>-129.26600000000019</v>
      </c>
      <c r="AF30">
        <v>227.833</v>
      </c>
      <c r="AG30">
        <v>607.48099999999999</v>
      </c>
      <c r="AH30">
        <v>-14.749000000000009</v>
      </c>
      <c r="AI30">
        <v>1.9022555999999999</v>
      </c>
      <c r="AJ30">
        <v>-1.34630976</v>
      </c>
      <c r="AK30">
        <v>0.55654655999999991</v>
      </c>
      <c r="AL30">
        <v>17.615023999999998</v>
      </c>
      <c r="AM30">
        <v>4.1716331999999996</v>
      </c>
      <c r="AN30">
        <v>-0.37830327999999991</v>
      </c>
      <c r="AO30">
        <v>3.789403999999999E-2</v>
      </c>
      <c r="AP30">
        <v>6.3876779999999993</v>
      </c>
      <c r="AQ30">
        <v>3.817304</v>
      </c>
      <c r="AR30">
        <v>-0.18198364</v>
      </c>
      <c r="AS30">
        <v>8.5123608000000003E-2</v>
      </c>
      <c r="AT30">
        <v>-31.723872</v>
      </c>
    </row>
    <row r="31" spans="1:46" x14ac:dyDescent="0.25">
      <c r="A31">
        <v>29</v>
      </c>
      <c r="B31">
        <v>9.4018000000000033</v>
      </c>
      <c r="C31">
        <v>0.54939582417582422</v>
      </c>
      <c r="D31">
        <v>0.13921037458568869</v>
      </c>
      <c r="E31">
        <v>2.5547510539367459E-2</v>
      </c>
      <c r="F31">
        <v>3.8172749723973181</v>
      </c>
      <c r="G31">
        <v>10.623808</v>
      </c>
      <c r="H31">
        <v>-7.6195491999999998</v>
      </c>
      <c r="I31">
        <v>-7.2791068000000001</v>
      </c>
      <c r="J31">
        <v>7.6261196</v>
      </c>
      <c r="K31">
        <v>-1.4307368</v>
      </c>
      <c r="L31">
        <v>-19.084099999999999</v>
      </c>
      <c r="M31">
        <v>23.706188000000001</v>
      </c>
      <c r="N31">
        <v>-5.7835252000000006</v>
      </c>
      <c r="O31">
        <v>-25.126116</v>
      </c>
      <c r="P31">
        <v>43.067315999999998</v>
      </c>
      <c r="Q31">
        <v>-16.506788</v>
      </c>
      <c r="R31">
        <v>22.026503999999999</v>
      </c>
      <c r="S31">
        <v>21.972052000000001</v>
      </c>
      <c r="T31">
        <v>-11.66818</v>
      </c>
      <c r="U31">
        <v>-117.8094999999999</v>
      </c>
      <c r="V31">
        <v>70.268450000000016</v>
      </c>
      <c r="W31">
        <v>54.533949999999933</v>
      </c>
      <c r="X31">
        <v>-94.091349999999963</v>
      </c>
      <c r="Y31">
        <v>-50.156700000000008</v>
      </c>
      <c r="Z31">
        <v>-170.86400000000009</v>
      </c>
      <c r="AA31">
        <v>-712.39799999999991</v>
      </c>
      <c r="AB31">
        <v>-282.42575000000011</v>
      </c>
      <c r="AC31">
        <v>-166.13399999999979</v>
      </c>
      <c r="AD31">
        <v>-77.604999999999478</v>
      </c>
      <c r="AE31">
        <v>-122.6630000000002</v>
      </c>
      <c r="AF31">
        <v>200.5690000000001</v>
      </c>
      <c r="AG31">
        <v>579.08299999999986</v>
      </c>
      <c r="AH31">
        <v>-9.3819999999999801</v>
      </c>
      <c r="AI31">
        <v>1.7175708000000001</v>
      </c>
      <c r="AJ31">
        <v>-1.6067956800000001</v>
      </c>
      <c r="AK31">
        <v>0.61495008000000007</v>
      </c>
      <c r="AL31">
        <v>15.883232</v>
      </c>
      <c r="AM31">
        <v>4.2963275999999997</v>
      </c>
      <c r="AN31">
        <v>-0.43704904</v>
      </c>
      <c r="AO31">
        <v>4.369112E-2</v>
      </c>
      <c r="AP31">
        <v>7.4412540000000007</v>
      </c>
      <c r="AQ31">
        <v>3.8739319999999999</v>
      </c>
      <c r="AR31">
        <v>-0.17713251999999999</v>
      </c>
      <c r="AS31">
        <v>8.5407144000000018E-2</v>
      </c>
      <c r="AT31">
        <v>-30.544896000000001</v>
      </c>
    </row>
    <row r="32" spans="1:46" x14ac:dyDescent="0.25">
      <c r="A32">
        <v>30</v>
      </c>
      <c r="B32">
        <v>9.40625</v>
      </c>
      <c r="C32">
        <v>0.54916395604395607</v>
      </c>
      <c r="D32">
        <v>0.12973503501525241</v>
      </c>
      <c r="E32">
        <v>2.9218421623533209E-2</v>
      </c>
      <c r="F32">
        <v>3.8706245095892711</v>
      </c>
      <c r="G32">
        <v>10.506600000000001</v>
      </c>
      <c r="H32">
        <v>-7.5500880000000006</v>
      </c>
      <c r="I32">
        <v>-7.2229000000000001</v>
      </c>
      <c r="J32">
        <v>7.5363819999999997</v>
      </c>
      <c r="K32">
        <v>-1.480008</v>
      </c>
      <c r="L32">
        <v>-19.23874</v>
      </c>
      <c r="M32">
        <v>23.01576</v>
      </c>
      <c r="N32">
        <v>-6.06691</v>
      </c>
      <c r="O32">
        <v>-25.290659999999999</v>
      </c>
      <c r="P32">
        <v>42.967739999999999</v>
      </c>
      <c r="Q32">
        <v>-16.612439999999999</v>
      </c>
      <c r="R32">
        <v>22.174959999999999</v>
      </c>
      <c r="S32">
        <v>22.481619999999999</v>
      </c>
      <c r="T32">
        <v>-11.66808</v>
      </c>
      <c r="U32">
        <v>-120.5079999999999</v>
      </c>
      <c r="V32">
        <v>71.516750000000016</v>
      </c>
      <c r="W32">
        <v>57.321999999999939</v>
      </c>
      <c r="X32">
        <v>-93.117749999999972</v>
      </c>
      <c r="Y32">
        <v>-51.107500000000002</v>
      </c>
      <c r="Z32">
        <v>-164.18000000000021</v>
      </c>
      <c r="AA32">
        <v>-716.21749999999997</v>
      </c>
      <c r="AB32">
        <v>-290.14050000000009</v>
      </c>
      <c r="AC32">
        <v>-168.86749999999981</v>
      </c>
      <c r="AD32">
        <v>-94.762499999999491</v>
      </c>
      <c r="AE32">
        <v>-113.2325000000002</v>
      </c>
      <c r="AF32">
        <v>169.89750000000021</v>
      </c>
      <c r="AG32">
        <v>546.11249999999995</v>
      </c>
      <c r="AH32">
        <v>-2.987500000000014</v>
      </c>
      <c r="AI32">
        <v>1.64114</v>
      </c>
      <c r="AJ32">
        <v>-1.7853319999999999</v>
      </c>
      <c r="AK32">
        <v>0.65880280000000002</v>
      </c>
      <c r="AL32">
        <v>15.12726</v>
      </c>
      <c r="AM32">
        <v>4.3165819999999986</v>
      </c>
      <c r="AN32">
        <v>-0.49135219999999991</v>
      </c>
      <c r="AO32">
        <v>5.1055599999999993E-2</v>
      </c>
      <c r="AP32">
        <v>8.4571799999999993</v>
      </c>
      <c r="AQ32">
        <v>3.90577</v>
      </c>
      <c r="AR32">
        <v>-0.17009959999999999</v>
      </c>
      <c r="AS32">
        <v>8.4110960000000012E-2</v>
      </c>
      <c r="AT32">
        <v>-28.711400000000001</v>
      </c>
    </row>
    <row r="33" spans="1:46" x14ac:dyDescent="0.25">
      <c r="A33">
        <v>31</v>
      </c>
      <c r="B33">
        <v>9.4107499999999948</v>
      </c>
      <c r="C33">
        <v>0.54893872527472531</v>
      </c>
      <c r="D33">
        <v>0.1303679317159149</v>
      </c>
      <c r="E33">
        <v>2.976136693794016E-2</v>
      </c>
      <c r="F33">
        <v>3.8989499725589738</v>
      </c>
      <c r="G33">
        <v>10.387560000000001</v>
      </c>
      <c r="H33">
        <v>-7.4797415999999997</v>
      </c>
      <c r="I33">
        <v>-7.1649520000000004</v>
      </c>
      <c r="J33">
        <v>7.4469604</v>
      </c>
      <c r="K33">
        <v>-1.5297936000000001</v>
      </c>
      <c r="L33">
        <v>-19.389147999999999</v>
      </c>
      <c r="M33">
        <v>22.322472000000001</v>
      </c>
      <c r="N33">
        <v>-6.3557380000000014</v>
      </c>
      <c r="O33">
        <v>-25.457412000000001</v>
      </c>
      <c r="P33">
        <v>42.856907999999997</v>
      </c>
      <c r="Q33">
        <v>-16.712568000000001</v>
      </c>
      <c r="R33">
        <v>22.303552</v>
      </c>
      <c r="S33">
        <v>22.970283999999999</v>
      </c>
      <c r="T33">
        <v>-11.663855999999999</v>
      </c>
      <c r="U33">
        <v>-123.1875999999999</v>
      </c>
      <c r="V33">
        <v>72.723350000000011</v>
      </c>
      <c r="W33">
        <v>60.202899999999957</v>
      </c>
      <c r="X33">
        <v>-91.897049999999979</v>
      </c>
      <c r="Y33">
        <v>-52.133500000000012</v>
      </c>
      <c r="Z33">
        <v>-157.3160000000002</v>
      </c>
      <c r="AA33">
        <v>-719.79349999999988</v>
      </c>
      <c r="AB33">
        <v>-297.68610000000012</v>
      </c>
      <c r="AC33">
        <v>-171.3484999999998</v>
      </c>
      <c r="AD33">
        <v>-112.1474999999996</v>
      </c>
      <c r="AE33">
        <v>-103.23650000000001</v>
      </c>
      <c r="AF33">
        <v>138.5445000000002</v>
      </c>
      <c r="AG33">
        <v>512.22749999999985</v>
      </c>
      <c r="AH33">
        <v>3.6124999999999652</v>
      </c>
      <c r="AI33">
        <v>1.58636</v>
      </c>
      <c r="AJ33">
        <v>-1.9474784000000001</v>
      </c>
      <c r="AK33">
        <v>0.69974536000000009</v>
      </c>
      <c r="AL33">
        <v>14.566452</v>
      </c>
      <c r="AM33">
        <v>4.3159483999999999</v>
      </c>
      <c r="AN33">
        <v>-0.54476683999999997</v>
      </c>
      <c r="AO33">
        <v>5.8733559999999997E-2</v>
      </c>
      <c r="AP33">
        <v>9.4655760000000022</v>
      </c>
      <c r="AQ33">
        <v>3.9326500000000002</v>
      </c>
      <c r="AR33">
        <v>-0.16263031999999999</v>
      </c>
      <c r="AS33">
        <v>8.2498832000000008E-2</v>
      </c>
      <c r="AT33">
        <v>-26.747</v>
      </c>
    </row>
    <row r="34" spans="1:46" x14ac:dyDescent="0.25">
      <c r="A34">
        <v>32</v>
      </c>
      <c r="B34">
        <v>9.4152499999999915</v>
      </c>
      <c r="C34">
        <v>0.54871349450549456</v>
      </c>
      <c r="D34">
        <v>0.14603333167980079</v>
      </c>
      <c r="E34">
        <v>2.6593547819569512E-2</v>
      </c>
      <c r="F34">
        <v>3.9160903931038611</v>
      </c>
      <c r="G34">
        <v>10.268520000000001</v>
      </c>
      <c r="H34">
        <v>-7.4093951999999996</v>
      </c>
      <c r="I34">
        <v>-7.1070039999999999</v>
      </c>
      <c r="J34">
        <v>7.3575388000000004</v>
      </c>
      <c r="K34">
        <v>-1.5795792</v>
      </c>
      <c r="L34">
        <v>-19.539556000000001</v>
      </c>
      <c r="M34">
        <v>21.629183999999999</v>
      </c>
      <c r="N34">
        <v>-6.6445660000000002</v>
      </c>
      <c r="O34">
        <v>-25.624164</v>
      </c>
      <c r="P34">
        <v>42.746076000000002</v>
      </c>
      <c r="Q34">
        <v>-16.812695999999999</v>
      </c>
      <c r="R34">
        <v>22.432144000000001</v>
      </c>
      <c r="S34">
        <v>23.458947999999999</v>
      </c>
      <c r="T34">
        <v>-11.659632</v>
      </c>
      <c r="U34">
        <v>-125.8672</v>
      </c>
      <c r="V34">
        <v>73.929950000000005</v>
      </c>
      <c r="W34">
        <v>63.083799999999982</v>
      </c>
      <c r="X34">
        <v>-90.676349999999999</v>
      </c>
      <c r="Y34">
        <v>-53.159500000000001</v>
      </c>
      <c r="Z34">
        <v>-150.4520000000002</v>
      </c>
      <c r="AA34">
        <v>-723.3694999999999</v>
      </c>
      <c r="AB34">
        <v>-305.23169999999999</v>
      </c>
      <c r="AC34">
        <v>-173.8294999999998</v>
      </c>
      <c r="AD34">
        <v>-129.53249999999969</v>
      </c>
      <c r="AE34">
        <v>-93.240499999999955</v>
      </c>
      <c r="AF34">
        <v>107.1915000000003</v>
      </c>
      <c r="AG34">
        <v>478.34249999999992</v>
      </c>
      <c r="AH34">
        <v>10.21249999999992</v>
      </c>
      <c r="AI34">
        <v>1.5315799999999999</v>
      </c>
      <c r="AJ34">
        <v>-2.1096248000000002</v>
      </c>
      <c r="AK34">
        <v>0.74068792000000006</v>
      </c>
      <c r="AL34">
        <v>14.005644</v>
      </c>
      <c r="AM34">
        <v>4.3153147999999986</v>
      </c>
      <c r="AN34">
        <v>-0.59818147999999993</v>
      </c>
      <c r="AO34">
        <v>6.6411519999999988E-2</v>
      </c>
      <c r="AP34">
        <v>10.473972</v>
      </c>
      <c r="AQ34">
        <v>3.95953</v>
      </c>
      <c r="AR34">
        <v>-0.15516104</v>
      </c>
      <c r="AS34">
        <v>8.0886704000000004E-2</v>
      </c>
      <c r="AT34">
        <v>-24.782599999999999</v>
      </c>
    </row>
    <row r="35" spans="1:46" x14ac:dyDescent="0.25">
      <c r="A35">
        <v>33</v>
      </c>
      <c r="B35">
        <v>9.4197499999999863</v>
      </c>
      <c r="C35">
        <v>0.5484882637362638</v>
      </c>
      <c r="D35">
        <v>0.17479551077616901</v>
      </c>
      <c r="E35">
        <v>1.7048495634731771E-2</v>
      </c>
      <c r="F35">
        <v>3.9146737718911959</v>
      </c>
      <c r="G35">
        <v>10.149480000000001</v>
      </c>
      <c r="H35">
        <v>-7.3390487999999996</v>
      </c>
      <c r="I35">
        <v>-7.0490560000000002</v>
      </c>
      <c r="J35">
        <v>7.2681171999999998</v>
      </c>
      <c r="K35">
        <v>-1.6293648000000001</v>
      </c>
      <c r="L35">
        <v>-19.689964</v>
      </c>
      <c r="M35">
        <v>20.935896</v>
      </c>
      <c r="N35">
        <v>-6.9333940000000007</v>
      </c>
      <c r="O35">
        <v>-25.790915999999999</v>
      </c>
      <c r="P35">
        <v>42.635244</v>
      </c>
      <c r="Q35">
        <v>-16.912824000000001</v>
      </c>
      <c r="R35">
        <v>22.560735999999999</v>
      </c>
      <c r="S35">
        <v>23.947611999999999</v>
      </c>
      <c r="T35">
        <v>-11.655408</v>
      </c>
      <c r="U35">
        <v>-128.54679999999999</v>
      </c>
      <c r="V35">
        <v>75.13655</v>
      </c>
      <c r="W35">
        <v>65.964700000000008</v>
      </c>
      <c r="X35">
        <v>-89.455650000000006</v>
      </c>
      <c r="Y35">
        <v>-54.185499999999998</v>
      </c>
      <c r="Z35">
        <v>-143.58800000000019</v>
      </c>
      <c r="AA35">
        <v>-726.94549999999981</v>
      </c>
      <c r="AB35">
        <v>-312.77730000000008</v>
      </c>
      <c r="AC35">
        <v>-176.31049999999971</v>
      </c>
      <c r="AD35">
        <v>-146.91749999999979</v>
      </c>
      <c r="AE35">
        <v>-83.244499999999846</v>
      </c>
      <c r="AF35">
        <v>75.83850000000028</v>
      </c>
      <c r="AG35">
        <v>444.45749999999992</v>
      </c>
      <c r="AH35">
        <v>16.812499999999901</v>
      </c>
      <c r="AI35">
        <v>1.4767999999999999</v>
      </c>
      <c r="AJ35">
        <v>-2.2717712000000012</v>
      </c>
      <c r="AK35">
        <v>0.78163048000000013</v>
      </c>
      <c r="AL35">
        <v>13.444836</v>
      </c>
      <c r="AM35">
        <v>4.3146811999999999</v>
      </c>
      <c r="AN35">
        <v>-0.65159612</v>
      </c>
      <c r="AO35">
        <v>7.4089479999999999E-2</v>
      </c>
      <c r="AP35">
        <v>11.482367999999999</v>
      </c>
      <c r="AQ35">
        <v>3.9864099999999998</v>
      </c>
      <c r="AR35">
        <v>-0.14769176000000001</v>
      </c>
      <c r="AS35">
        <v>7.9274575999999999E-2</v>
      </c>
      <c r="AT35">
        <v>-22.818200000000001</v>
      </c>
    </row>
    <row r="36" spans="1:46" x14ac:dyDescent="0.25">
      <c r="A36">
        <v>34</v>
      </c>
      <c r="B36">
        <v>9.4240499999999869</v>
      </c>
      <c r="C36">
        <v>0.54829239560439558</v>
      </c>
      <c r="D36">
        <v>0.2119651105279875</v>
      </c>
      <c r="E36">
        <v>4.3844351118080332E-3</v>
      </c>
      <c r="F36">
        <v>3.902736910837548</v>
      </c>
      <c r="G36">
        <v>10.023476799999999</v>
      </c>
      <c r="H36">
        <v>-7.2658079999999998</v>
      </c>
      <c r="I36">
        <v>-6.9827080000000006</v>
      </c>
      <c r="J36">
        <v>7.183942</v>
      </c>
      <c r="K36">
        <v>-1.6825648</v>
      </c>
      <c r="L36">
        <v>-19.820692000000001</v>
      </c>
      <c r="M36">
        <v>20.234976</v>
      </c>
      <c r="N36">
        <v>-7.2406923999999986</v>
      </c>
      <c r="O36">
        <v>-25.962067999999999</v>
      </c>
      <c r="P36">
        <v>42.476716000000003</v>
      </c>
      <c r="Q36">
        <v>-16.981736000000001</v>
      </c>
      <c r="R36">
        <v>22.601568</v>
      </c>
      <c r="S36">
        <v>24.339172000000001</v>
      </c>
      <c r="T36">
        <v>-11.632479999999999</v>
      </c>
      <c r="U36">
        <v>-131.1208</v>
      </c>
      <c r="V36">
        <v>76.18934999999999</v>
      </c>
      <c r="W36">
        <v>69.18719999999999</v>
      </c>
      <c r="X36">
        <v>-87.254150000000038</v>
      </c>
      <c r="Y36">
        <v>-55.562499999999993</v>
      </c>
      <c r="Z36">
        <v>-136.09000000000009</v>
      </c>
      <c r="AA36">
        <v>-729.62349999999981</v>
      </c>
      <c r="AB36">
        <v>-319.34570000000008</v>
      </c>
      <c r="AC36">
        <v>-177.6274999999998</v>
      </c>
      <c r="AD36">
        <v>-164.67049999999981</v>
      </c>
      <c r="AE36">
        <v>-71.096499999999878</v>
      </c>
      <c r="AF36">
        <v>43.17750000000045</v>
      </c>
      <c r="AG36">
        <v>407.33450000000011</v>
      </c>
      <c r="AH36">
        <v>23.63649999999987</v>
      </c>
      <c r="AI36">
        <v>1.3391699200000009</v>
      </c>
      <c r="AJ36">
        <v>-2.4559463999999989</v>
      </c>
      <c r="AK36">
        <v>0.81732583999999997</v>
      </c>
      <c r="AL36">
        <v>12.143698400000011</v>
      </c>
      <c r="AM36">
        <v>4.3517787999999999</v>
      </c>
      <c r="AN36">
        <v>-0.70060579999999972</v>
      </c>
      <c r="AO36">
        <v>8.366291199999995E-2</v>
      </c>
      <c r="AP36">
        <v>12.640644</v>
      </c>
      <c r="AQ36">
        <v>4.0053700000000001</v>
      </c>
      <c r="AR36">
        <v>-0.14200679999999999</v>
      </c>
      <c r="AS36">
        <v>7.8528224000000008E-2</v>
      </c>
      <c r="AT36">
        <v>-20.52119200000001</v>
      </c>
    </row>
    <row r="37" spans="1:46" x14ac:dyDescent="0.25">
      <c r="A37">
        <v>35</v>
      </c>
      <c r="B37">
        <v>9.4282499999999896</v>
      </c>
      <c r="C37">
        <v>0.54811120879120878</v>
      </c>
      <c r="D37">
        <v>0.25020854628585237</v>
      </c>
      <c r="E37">
        <v>-9.1033662817879921E-3</v>
      </c>
      <c r="F37">
        <v>3.882864766586501</v>
      </c>
      <c r="G37">
        <v>9.8939920000000008</v>
      </c>
      <c r="H37">
        <v>-7.1911200000000006</v>
      </c>
      <c r="I37">
        <v>-6.9121600000000001</v>
      </c>
      <c r="J37">
        <v>7.1023900000000006</v>
      </c>
      <c r="K37">
        <v>-1.7374719999999999</v>
      </c>
      <c r="L37">
        <v>-19.941579999999998</v>
      </c>
      <c r="M37">
        <v>19.530239999999999</v>
      </c>
      <c r="N37">
        <v>-7.557226</v>
      </c>
      <c r="O37">
        <v>-26.13542</v>
      </c>
      <c r="P37">
        <v>42.294339999999998</v>
      </c>
      <c r="Q37">
        <v>-17.035039999999999</v>
      </c>
      <c r="R37">
        <v>22.598520000000001</v>
      </c>
      <c r="S37">
        <v>24.682179999999999</v>
      </c>
      <c r="T37">
        <v>-11.600199999999999</v>
      </c>
      <c r="U37">
        <v>-133.642</v>
      </c>
      <c r="V37">
        <v>77.165250000000015</v>
      </c>
      <c r="W37">
        <v>72.580500000000001</v>
      </c>
      <c r="X37">
        <v>-84.562250000000049</v>
      </c>
      <c r="Y37">
        <v>-57.114999999999988</v>
      </c>
      <c r="Z37">
        <v>-128.27500000000001</v>
      </c>
      <c r="AA37">
        <v>-731.85249999999974</v>
      </c>
      <c r="AB37">
        <v>-325.42550000000011</v>
      </c>
      <c r="AC37">
        <v>-178.3624999999999</v>
      </c>
      <c r="AD37">
        <v>-182.6074999999999</v>
      </c>
      <c r="AE37">
        <v>-57.872499999999867</v>
      </c>
      <c r="AF37">
        <v>9.8625000000003311</v>
      </c>
      <c r="AG37">
        <v>368.5925000000002</v>
      </c>
      <c r="AH37">
        <v>30.572499999999931</v>
      </c>
      <c r="AI37">
        <v>1.1601147999999999</v>
      </c>
      <c r="AJ37">
        <v>-2.6511360000000002</v>
      </c>
      <c r="AK37">
        <v>0.85039759999999998</v>
      </c>
      <c r="AL37">
        <v>10.472396</v>
      </c>
      <c r="AM37">
        <v>4.4077419999999998</v>
      </c>
      <c r="AN37">
        <v>-0.74741299999999988</v>
      </c>
      <c r="AO37">
        <v>9.4184079999999976E-2</v>
      </c>
      <c r="AP37">
        <v>13.873860000000001</v>
      </c>
      <c r="AQ37">
        <v>4.0203699999999998</v>
      </c>
      <c r="AR37">
        <v>-0.137214</v>
      </c>
      <c r="AS37">
        <v>7.8214760000000008E-2</v>
      </c>
      <c r="AT37">
        <v>-18.057880000000001</v>
      </c>
    </row>
    <row r="38" spans="1:46" x14ac:dyDescent="0.25">
      <c r="A38">
        <v>36</v>
      </c>
      <c r="B38">
        <v>9.432449999999994</v>
      </c>
      <c r="C38">
        <v>0.54793002197802199</v>
      </c>
      <c r="D38">
        <v>0.28807392633352319</v>
      </c>
      <c r="E38">
        <v>-2.1116827559853779E-2</v>
      </c>
      <c r="F38">
        <v>3.8583790316293411</v>
      </c>
      <c r="G38">
        <v>9.7645072000000006</v>
      </c>
      <c r="H38">
        <v>-7.1164320000000014</v>
      </c>
      <c r="I38">
        <v>-6.8416119999999996</v>
      </c>
      <c r="J38">
        <v>7.0208380000000004</v>
      </c>
      <c r="K38">
        <v>-1.7923792000000001</v>
      </c>
      <c r="L38">
        <v>-20.062467999999999</v>
      </c>
      <c r="M38">
        <v>18.825503999999999</v>
      </c>
      <c r="N38">
        <v>-7.8737596000000014</v>
      </c>
      <c r="O38">
        <v>-26.308772000000001</v>
      </c>
      <c r="P38">
        <v>42.111964</v>
      </c>
      <c r="Q38">
        <v>-17.088343999999999</v>
      </c>
      <c r="R38">
        <v>22.595472000000001</v>
      </c>
      <c r="S38">
        <v>25.025188</v>
      </c>
      <c r="T38">
        <v>-11.567920000000001</v>
      </c>
      <c r="U38">
        <v>-136.16319999999999</v>
      </c>
      <c r="V38">
        <v>78.141150000000025</v>
      </c>
      <c r="W38">
        <v>75.973799999999997</v>
      </c>
      <c r="X38">
        <v>-81.870350000000059</v>
      </c>
      <c r="Y38">
        <v>-58.66749999999999</v>
      </c>
      <c r="Z38">
        <v>-120.45999999999989</v>
      </c>
      <c r="AA38">
        <v>-734.08149999999978</v>
      </c>
      <c r="AB38">
        <v>-331.50530000000009</v>
      </c>
      <c r="AC38">
        <v>-179.0975</v>
      </c>
      <c r="AD38">
        <v>-200.5445</v>
      </c>
      <c r="AE38">
        <v>-44.648499999999864</v>
      </c>
      <c r="AF38">
        <v>-23.452499999999791</v>
      </c>
      <c r="AG38">
        <v>329.85050000000018</v>
      </c>
      <c r="AH38">
        <v>37.50849999999997</v>
      </c>
      <c r="AI38">
        <v>0.98105967999999988</v>
      </c>
      <c r="AJ38">
        <v>-2.8463256000000001</v>
      </c>
      <c r="AK38">
        <v>0.88346936000000009</v>
      </c>
      <c r="AL38">
        <v>8.801093599999998</v>
      </c>
      <c r="AM38">
        <v>4.4637051999999997</v>
      </c>
      <c r="AN38">
        <v>-0.79422020000000004</v>
      </c>
      <c r="AO38">
        <v>0.104705248</v>
      </c>
      <c r="AP38">
        <v>15.107075999999999</v>
      </c>
      <c r="AQ38">
        <v>4.0353700000000003</v>
      </c>
      <c r="AR38">
        <v>-0.13242119999999999</v>
      </c>
      <c r="AS38">
        <v>7.7901296000000009E-2</v>
      </c>
      <c r="AT38">
        <v>-15.594568000000001</v>
      </c>
    </row>
    <row r="39" spans="1:46" x14ac:dyDescent="0.25">
      <c r="A39">
        <v>37</v>
      </c>
      <c r="B39">
        <v>9.4366499999999967</v>
      </c>
      <c r="C39">
        <v>0.54774883516483519</v>
      </c>
      <c r="D39">
        <v>0.32313617150743518</v>
      </c>
      <c r="E39">
        <v>-2.8184688412094702E-2</v>
      </c>
      <c r="F39">
        <v>3.8379395427648682</v>
      </c>
      <c r="G39">
        <v>9.6350224000000004</v>
      </c>
      <c r="H39">
        <v>-7.0417439999999996</v>
      </c>
      <c r="I39">
        <v>-6.771064</v>
      </c>
      <c r="J39">
        <v>6.9392860000000001</v>
      </c>
      <c r="K39">
        <v>-1.8472864</v>
      </c>
      <c r="L39">
        <v>-20.183356</v>
      </c>
      <c r="M39">
        <v>18.120768000000002</v>
      </c>
      <c r="N39">
        <v>-8.1902932000000011</v>
      </c>
      <c r="O39">
        <v>-26.482123999999999</v>
      </c>
      <c r="P39">
        <v>41.929588000000003</v>
      </c>
      <c r="Q39">
        <v>-17.141648</v>
      </c>
      <c r="R39">
        <v>22.592424000000001</v>
      </c>
      <c r="S39">
        <v>25.368196000000001</v>
      </c>
      <c r="T39">
        <v>-11.535640000000001</v>
      </c>
      <c r="U39">
        <v>-138.68440000000001</v>
      </c>
      <c r="V39">
        <v>79.117050000000035</v>
      </c>
      <c r="W39">
        <v>79.367099999999994</v>
      </c>
      <c r="X39">
        <v>-79.178450000000069</v>
      </c>
      <c r="Y39">
        <v>-60.219999999999978</v>
      </c>
      <c r="Z39">
        <v>-112.6449999999998</v>
      </c>
      <c r="AA39">
        <v>-736.31049999999971</v>
      </c>
      <c r="AB39">
        <v>-337.58510000000012</v>
      </c>
      <c r="AC39">
        <v>-179.8325000000001</v>
      </c>
      <c r="AD39">
        <v>-218.48150000000021</v>
      </c>
      <c r="AE39">
        <v>-31.424499999999849</v>
      </c>
      <c r="AF39">
        <v>-56.767499999999913</v>
      </c>
      <c r="AG39">
        <v>291.10850000000028</v>
      </c>
      <c r="AH39">
        <v>44.444500000000019</v>
      </c>
      <c r="AI39">
        <v>0.80200455999999953</v>
      </c>
      <c r="AJ39">
        <v>-3.041515200000001</v>
      </c>
      <c r="AK39">
        <v>0.9165411200000001</v>
      </c>
      <c r="AL39">
        <v>7.1297911999999952</v>
      </c>
      <c r="AM39">
        <v>4.5196683999999996</v>
      </c>
      <c r="AN39">
        <v>-0.8410274000000002</v>
      </c>
      <c r="AO39">
        <v>0.115226416</v>
      </c>
      <c r="AP39">
        <v>16.340292000000009</v>
      </c>
      <c r="AQ39">
        <v>4.05037</v>
      </c>
      <c r="AR39">
        <v>-0.1276284</v>
      </c>
      <c r="AS39">
        <v>7.7587831999999995E-2</v>
      </c>
      <c r="AT39">
        <v>-13.13125599999999</v>
      </c>
    </row>
    <row r="40" spans="1:46" x14ac:dyDescent="0.25">
      <c r="A40">
        <v>38</v>
      </c>
      <c r="B40">
        <v>9.4410000000000007</v>
      </c>
      <c r="C40">
        <v>0.54759079120879117</v>
      </c>
      <c r="D40">
        <v>0.3536750326085556</v>
      </c>
      <c r="E40">
        <v>-3.0508944984848199E-2</v>
      </c>
      <c r="F40">
        <v>3.8188522832397571</v>
      </c>
      <c r="G40">
        <v>9.5006751999999999</v>
      </c>
      <c r="H40">
        <v>-6.9653232000000003</v>
      </c>
      <c r="I40">
        <v>-6.6932428000000002</v>
      </c>
      <c r="J40">
        <v>6.8645668000000004</v>
      </c>
      <c r="K40">
        <v>-1.9058428000000001</v>
      </c>
      <c r="L40">
        <v>-20.287744</v>
      </c>
      <c r="M40">
        <v>17.412839999999999</v>
      </c>
      <c r="N40">
        <v>-8.5172931999999992</v>
      </c>
      <c r="O40">
        <v>-26.655116</v>
      </c>
      <c r="P40">
        <v>41.711236</v>
      </c>
      <c r="Q40">
        <v>-17.165468000000001</v>
      </c>
      <c r="R40">
        <v>22.521936</v>
      </c>
      <c r="S40">
        <v>25.629064</v>
      </c>
      <c r="T40">
        <v>-11.489644</v>
      </c>
      <c r="U40">
        <v>-141.1</v>
      </c>
      <c r="V40">
        <v>79.989300000000028</v>
      </c>
      <c r="W40">
        <v>82.985849999999971</v>
      </c>
      <c r="X40">
        <v>-75.78410000000008</v>
      </c>
      <c r="Y40">
        <v>-62.039949999999969</v>
      </c>
      <c r="Z40">
        <v>-104.42649999999981</v>
      </c>
      <c r="AA40">
        <v>-737.93049999999971</v>
      </c>
      <c r="AB40">
        <v>-342.71510000000001</v>
      </c>
      <c r="AC40">
        <v>-179.6510000000001</v>
      </c>
      <c r="AD40">
        <v>-236.2145000000001</v>
      </c>
      <c r="AE40">
        <v>-16.89099999999997</v>
      </c>
      <c r="AF40">
        <v>-89.807999999999794</v>
      </c>
      <c r="AG40">
        <v>249.94850000000051</v>
      </c>
      <c r="AH40">
        <v>51.002500000000033</v>
      </c>
      <c r="AI40">
        <v>0.60829756000000057</v>
      </c>
      <c r="AJ40">
        <v>-3.2438088</v>
      </c>
      <c r="AK40">
        <v>0.94792376</v>
      </c>
      <c r="AL40">
        <v>5.3800952000000049</v>
      </c>
      <c r="AM40">
        <v>4.5760204</v>
      </c>
      <c r="AN40">
        <v>-0.89288527999999989</v>
      </c>
      <c r="AO40">
        <v>0.12532096000000001</v>
      </c>
      <c r="AP40">
        <v>17.603652</v>
      </c>
      <c r="AQ40">
        <v>4.0539592000000004</v>
      </c>
      <c r="AR40">
        <v>-0.122853</v>
      </c>
      <c r="AS40">
        <v>7.6120664000000005E-2</v>
      </c>
      <c r="AT40">
        <v>-10.49792896000001</v>
      </c>
    </row>
    <row r="41" spans="1:46" x14ac:dyDescent="0.25">
      <c r="A41">
        <v>39</v>
      </c>
      <c r="B41">
        <v>9.4455000000000027</v>
      </c>
      <c r="C41">
        <v>0.54745589010989004</v>
      </c>
      <c r="D41">
        <v>0.37758947822491501</v>
      </c>
      <c r="E41">
        <v>-2.8739641940712189E-2</v>
      </c>
      <c r="F41">
        <v>3.7983884298826842</v>
      </c>
      <c r="G41">
        <v>9.3614656000000007</v>
      </c>
      <c r="H41">
        <v>-6.8871696</v>
      </c>
      <c r="I41">
        <v>-6.6081484000000001</v>
      </c>
      <c r="J41">
        <v>6.7966803999999996</v>
      </c>
      <c r="K41">
        <v>-1.9680484</v>
      </c>
      <c r="L41">
        <v>-20.375632</v>
      </c>
      <c r="M41">
        <v>16.701720000000002</v>
      </c>
      <c r="N41">
        <v>-8.8547596000000013</v>
      </c>
      <c r="O41">
        <v>-26.827748</v>
      </c>
      <c r="P41">
        <v>41.456907999999999</v>
      </c>
      <c r="Q41">
        <v>-17.159804000000001</v>
      </c>
      <c r="R41">
        <v>22.384008000000001</v>
      </c>
      <c r="S41">
        <v>25.807791999999999</v>
      </c>
      <c r="T41">
        <v>-11.429932000000001</v>
      </c>
      <c r="U41">
        <v>-143.41</v>
      </c>
      <c r="V41">
        <v>80.757900000000035</v>
      </c>
      <c r="W41">
        <v>86.830049999999986</v>
      </c>
      <c r="X41">
        <v>-71.687300000000036</v>
      </c>
      <c r="Y41">
        <v>-64.127349999999979</v>
      </c>
      <c r="Z41">
        <v>-95.804499999999805</v>
      </c>
      <c r="AA41">
        <v>-738.94149999999979</v>
      </c>
      <c r="AB41">
        <v>-346.89530000000002</v>
      </c>
      <c r="AC41">
        <v>-178.55300000000011</v>
      </c>
      <c r="AD41">
        <v>-253.7435000000001</v>
      </c>
      <c r="AE41">
        <v>-1.0479999999999881</v>
      </c>
      <c r="AF41">
        <v>-122.5739999999999</v>
      </c>
      <c r="AG41">
        <v>206.37050000000031</v>
      </c>
      <c r="AH41">
        <v>57.182500000000083</v>
      </c>
      <c r="AI41">
        <v>0.39993868000000021</v>
      </c>
      <c r="AJ41">
        <v>-3.4532064</v>
      </c>
      <c r="AK41">
        <v>0.97761728000000003</v>
      </c>
      <c r="AL41">
        <v>3.5520056000000011</v>
      </c>
      <c r="AM41">
        <v>4.6327612</v>
      </c>
      <c r="AN41">
        <v>-0.94979384</v>
      </c>
      <c r="AO41">
        <v>0.13498888000000001</v>
      </c>
      <c r="AP41">
        <v>18.897155999999999</v>
      </c>
      <c r="AQ41">
        <v>4.0461376000000007</v>
      </c>
      <c r="AR41">
        <v>-0.11809500000000001</v>
      </c>
      <c r="AS41">
        <v>7.3499792000000008E-2</v>
      </c>
      <c r="AT41">
        <v>-7.6945868800000019</v>
      </c>
    </row>
    <row r="42" spans="1:46" x14ac:dyDescent="0.25">
      <c r="A42">
        <v>40</v>
      </c>
      <c r="B42">
        <v>9.4500000000000064</v>
      </c>
      <c r="C42">
        <v>0.54732098901098902</v>
      </c>
      <c r="D42">
        <v>0.39356370973465937</v>
      </c>
      <c r="E42">
        <v>-2.4540468049466468E-2</v>
      </c>
      <c r="F42">
        <v>3.7808761607721451</v>
      </c>
      <c r="G42">
        <v>9.2222559999999998</v>
      </c>
      <c r="H42">
        <v>-6.8090159999999997</v>
      </c>
      <c r="I42">
        <v>-6.5230540000000001</v>
      </c>
      <c r="J42">
        <v>6.7287939999999997</v>
      </c>
      <c r="K42">
        <v>-2.0302539999999998</v>
      </c>
      <c r="L42">
        <v>-20.463519999999999</v>
      </c>
      <c r="M42">
        <v>15.990600000000001</v>
      </c>
      <c r="N42">
        <v>-9.1922260000000016</v>
      </c>
      <c r="O42">
        <v>-27.00038</v>
      </c>
      <c r="P42">
        <v>41.202579999999998</v>
      </c>
      <c r="Q42">
        <v>-17.154140000000002</v>
      </c>
      <c r="R42">
        <v>22.246079999999999</v>
      </c>
      <c r="S42">
        <v>25.986519999999999</v>
      </c>
      <c r="T42">
        <v>-11.37022</v>
      </c>
      <c r="U42">
        <v>-145.72</v>
      </c>
      <c r="V42">
        <v>81.526500000000027</v>
      </c>
      <c r="W42">
        <v>90.674250000000001</v>
      </c>
      <c r="X42">
        <v>-67.590499999999992</v>
      </c>
      <c r="Y42">
        <v>-66.214749999999995</v>
      </c>
      <c r="Z42">
        <v>-87.182499999999834</v>
      </c>
      <c r="AA42">
        <v>-739.95249999999987</v>
      </c>
      <c r="AB42">
        <v>-351.07549999999992</v>
      </c>
      <c r="AC42">
        <v>-177.4550000000001</v>
      </c>
      <c r="AD42">
        <v>-271.27250000000009</v>
      </c>
      <c r="AE42">
        <v>14.795</v>
      </c>
      <c r="AF42">
        <v>-155.34</v>
      </c>
      <c r="AG42">
        <v>162.79249999999999</v>
      </c>
      <c r="AH42">
        <v>63.362500000000132</v>
      </c>
      <c r="AI42">
        <v>0.19157979999999969</v>
      </c>
      <c r="AJ42">
        <v>-3.662604</v>
      </c>
      <c r="AK42">
        <v>1.0073108</v>
      </c>
      <c r="AL42">
        <v>1.7239159999999969</v>
      </c>
      <c r="AM42">
        <v>4.6895020000000001</v>
      </c>
      <c r="AN42">
        <v>-1.0067024</v>
      </c>
      <c r="AO42">
        <v>0.1446568</v>
      </c>
      <c r="AP42">
        <v>20.190660000000001</v>
      </c>
      <c r="AQ42">
        <v>4.038316</v>
      </c>
      <c r="AR42">
        <v>-0.11333699999999999</v>
      </c>
      <c r="AS42">
        <v>7.0878919999999998E-2</v>
      </c>
      <c r="AT42">
        <v>-4.8912447999999964</v>
      </c>
    </row>
    <row r="43" spans="1:46" x14ac:dyDescent="0.25">
      <c r="A43">
        <v>41</v>
      </c>
      <c r="B43">
        <v>9.4545000000000083</v>
      </c>
      <c r="C43">
        <v>0.54718608791208789</v>
      </c>
      <c r="D43">
        <v>0.40293197316118329</v>
      </c>
      <c r="E43">
        <v>-1.9629491307948731E-2</v>
      </c>
      <c r="F43">
        <v>3.772248809963481</v>
      </c>
      <c r="G43">
        <v>9.0830464000000006</v>
      </c>
      <c r="H43">
        <v>-6.7308624000000004</v>
      </c>
      <c r="I43">
        <v>-6.437959600000001</v>
      </c>
      <c r="J43">
        <v>6.6609075999999998</v>
      </c>
      <c r="K43">
        <v>-2.0924596000000002</v>
      </c>
      <c r="L43">
        <v>-20.551407999999999</v>
      </c>
      <c r="M43">
        <v>15.27948</v>
      </c>
      <c r="N43">
        <v>-9.5296924000000001</v>
      </c>
      <c r="O43">
        <v>-27.173012</v>
      </c>
      <c r="P43">
        <v>40.948251999999997</v>
      </c>
      <c r="Q43">
        <v>-17.148475999999999</v>
      </c>
      <c r="R43">
        <v>22.108152</v>
      </c>
      <c r="S43">
        <v>26.165247999999998</v>
      </c>
      <c r="T43">
        <v>-11.310508</v>
      </c>
      <c r="U43">
        <v>-148.03</v>
      </c>
      <c r="V43">
        <v>82.295100000000033</v>
      </c>
      <c r="W43">
        <v>94.518449999999987</v>
      </c>
      <c r="X43">
        <v>-63.493699999999983</v>
      </c>
      <c r="Y43">
        <v>-68.302149999999983</v>
      </c>
      <c r="Z43">
        <v>-78.560499999999934</v>
      </c>
      <c r="AA43">
        <v>-740.96349999999984</v>
      </c>
      <c r="AB43">
        <v>-355.25569999999982</v>
      </c>
      <c r="AC43">
        <v>-176.35700000000011</v>
      </c>
      <c r="AD43">
        <v>-288.80149999999998</v>
      </c>
      <c r="AE43">
        <v>30.63799999999987</v>
      </c>
      <c r="AF43">
        <v>-188.10599999999991</v>
      </c>
      <c r="AG43">
        <v>119.2145000000002</v>
      </c>
      <c r="AH43">
        <v>69.542500000000132</v>
      </c>
      <c r="AI43">
        <v>-1.6779079999999169E-2</v>
      </c>
      <c r="AJ43">
        <v>-3.872001599999999</v>
      </c>
      <c r="AK43">
        <v>1.0370043200000001</v>
      </c>
      <c r="AL43">
        <v>-0.10417359999999309</v>
      </c>
      <c r="AM43">
        <v>4.7462427999999992</v>
      </c>
      <c r="AN43">
        <v>-1.0636109600000001</v>
      </c>
      <c r="AO43">
        <v>0.15432472</v>
      </c>
      <c r="AP43">
        <v>21.484163999999989</v>
      </c>
      <c r="AQ43">
        <v>4.0304944000000003</v>
      </c>
      <c r="AR43">
        <v>-0.10857899999999999</v>
      </c>
      <c r="AS43">
        <v>6.8258048000000016E-2</v>
      </c>
      <c r="AT43">
        <v>-2.0879027200000109</v>
      </c>
    </row>
    <row r="44" spans="1:46" x14ac:dyDescent="0.25">
      <c r="A44">
        <v>42</v>
      </c>
      <c r="B44">
        <v>9.4590000000000085</v>
      </c>
      <c r="C44">
        <v>0.54706692307692306</v>
      </c>
      <c r="D44">
        <v>0.40694666143488117</v>
      </c>
      <c r="E44">
        <v>-1.445941559082704E-2</v>
      </c>
      <c r="F44">
        <v>3.7570436262594828</v>
      </c>
      <c r="G44">
        <v>8.940918400000001</v>
      </c>
      <c r="H44">
        <v>-6.6518144000000001</v>
      </c>
      <c r="I44">
        <v>-6.3474628000000006</v>
      </c>
      <c r="J44">
        <v>6.5993908000000001</v>
      </c>
      <c r="K44">
        <v>-2.1577988000000001</v>
      </c>
      <c r="L44">
        <v>-20.627303999999999</v>
      </c>
      <c r="M44">
        <v>14.567792000000001</v>
      </c>
      <c r="N44">
        <v>-9.8713283999999994</v>
      </c>
      <c r="O44">
        <v>-27.342956000000001</v>
      </c>
      <c r="P44">
        <v>40.671163999999997</v>
      </c>
      <c r="Q44">
        <v>-17.12022</v>
      </c>
      <c r="R44">
        <v>21.927807999999999</v>
      </c>
      <c r="S44">
        <v>26.282527999999999</v>
      </c>
      <c r="T44">
        <v>-11.243460000000001</v>
      </c>
      <c r="U44">
        <v>-150.24969999999999</v>
      </c>
      <c r="V44">
        <v>83.003900000000016</v>
      </c>
      <c r="W44">
        <v>98.486950000000007</v>
      </c>
      <c r="X44">
        <v>-58.963199999999951</v>
      </c>
      <c r="Y44">
        <v>-70.548849999999987</v>
      </c>
      <c r="Z44">
        <v>-69.720499999999959</v>
      </c>
      <c r="AA44">
        <v>-741.58879999999999</v>
      </c>
      <c r="AB44">
        <v>-358.67139999999978</v>
      </c>
      <c r="AC44">
        <v>-174.6580000000001</v>
      </c>
      <c r="AD44">
        <v>-305.86649999999997</v>
      </c>
      <c r="AE44">
        <v>47.022999999999882</v>
      </c>
      <c r="AF44">
        <v>-219.816</v>
      </c>
      <c r="AG44">
        <v>73.755499999999984</v>
      </c>
      <c r="AH44">
        <v>75.056500000000156</v>
      </c>
      <c r="AI44">
        <v>-0.19500315999999979</v>
      </c>
      <c r="AJ44">
        <v>-4.0496535999999992</v>
      </c>
      <c r="AK44">
        <v>1.0595896</v>
      </c>
      <c r="AL44">
        <v>-1.636543999999998</v>
      </c>
      <c r="AM44">
        <v>4.7746332000000002</v>
      </c>
      <c r="AN44">
        <v>-1.115742</v>
      </c>
      <c r="AO44">
        <v>0.16392319999999999</v>
      </c>
      <c r="AP44">
        <v>22.611436000000001</v>
      </c>
      <c r="AQ44">
        <v>4.0148776000000002</v>
      </c>
      <c r="AR44">
        <v>-0.102970352</v>
      </c>
      <c r="AS44">
        <v>6.5671208000000009E-2</v>
      </c>
      <c r="AT44">
        <v>0.72895263999999516</v>
      </c>
    </row>
    <row r="45" spans="1:46" x14ac:dyDescent="0.25">
      <c r="A45">
        <v>43</v>
      </c>
      <c r="B45">
        <v>9.4635000000000051</v>
      </c>
      <c r="C45">
        <v>0.54697923076923072</v>
      </c>
      <c r="D45">
        <v>0.41116079048372828</v>
      </c>
      <c r="E45">
        <v>-1.0545117148143299E-2</v>
      </c>
      <c r="F45">
        <v>3.7373014259689752</v>
      </c>
      <c r="G45">
        <v>8.7929536000000006</v>
      </c>
      <c r="H45">
        <v>-6.5709776</v>
      </c>
      <c r="I45">
        <v>-6.2461612000000004</v>
      </c>
      <c r="J45">
        <v>6.5506131999999999</v>
      </c>
      <c r="K45">
        <v>-2.2294052</v>
      </c>
      <c r="L45">
        <v>-20.679216</v>
      </c>
      <c r="M45">
        <v>13.854968</v>
      </c>
      <c r="N45">
        <v>-10.221303600000001</v>
      </c>
      <c r="O45">
        <v>-27.507524</v>
      </c>
      <c r="P45">
        <v>40.348556000000002</v>
      </c>
      <c r="Q45">
        <v>-17.046779999999998</v>
      </c>
      <c r="R45">
        <v>21.662631999999999</v>
      </c>
      <c r="S45">
        <v>26.276911999999999</v>
      </c>
      <c r="T45">
        <v>-11.16174</v>
      </c>
      <c r="U45">
        <v>-152.28880000000001</v>
      </c>
      <c r="V45">
        <v>83.593099999999993</v>
      </c>
      <c r="W45">
        <v>102.70405</v>
      </c>
      <c r="X45">
        <v>-53.565299999999951</v>
      </c>
      <c r="Y45">
        <v>-73.114150000000009</v>
      </c>
      <c r="Z45">
        <v>-60.44449999999992</v>
      </c>
      <c r="AA45">
        <v>-741.44269999999995</v>
      </c>
      <c r="AB45">
        <v>-360.55809999999991</v>
      </c>
      <c r="AC45">
        <v>-171.75700000000009</v>
      </c>
      <c r="AD45">
        <v>-322.00349999999997</v>
      </c>
      <c r="AE45">
        <v>64.491999999999905</v>
      </c>
      <c r="AF45">
        <v>-249.41399999999999</v>
      </c>
      <c r="AG45">
        <v>24.534499999999809</v>
      </c>
      <c r="AH45">
        <v>79.238500000000116</v>
      </c>
      <c r="AI45">
        <v>-0.31295763999999998</v>
      </c>
      <c r="AJ45">
        <v>-4.1638143999999997</v>
      </c>
      <c r="AK45">
        <v>1.0679584</v>
      </c>
      <c r="AL45">
        <v>-2.5774759999999999</v>
      </c>
      <c r="AM45">
        <v>4.7463227999999997</v>
      </c>
      <c r="AN45">
        <v>-1.158318</v>
      </c>
      <c r="AO45">
        <v>0.1733828</v>
      </c>
      <c r="AP45">
        <v>23.406244000000001</v>
      </c>
      <c r="AQ45">
        <v>3.9836703999999998</v>
      </c>
      <c r="AR45">
        <v>-9.5660408000000002E-2</v>
      </c>
      <c r="AS45">
        <v>6.3152432000000008E-2</v>
      </c>
      <c r="AT45">
        <v>3.5728345600000009</v>
      </c>
    </row>
    <row r="46" spans="1:46" x14ac:dyDescent="0.25">
      <c r="A46">
        <v>44</v>
      </c>
      <c r="B46">
        <v>9.468</v>
      </c>
      <c r="C46">
        <v>0.54689153846153848</v>
      </c>
      <c r="D46">
        <v>0.41954710684773061</v>
      </c>
      <c r="E46">
        <v>-5.3479196900077762E-3</v>
      </c>
      <c r="F46">
        <v>3.7131127057787632</v>
      </c>
      <c r="G46">
        <v>8.6449888000000001</v>
      </c>
      <c r="H46">
        <v>-6.4901407999999998</v>
      </c>
      <c r="I46">
        <v>-6.1448595999999993</v>
      </c>
      <c r="J46">
        <v>6.5018355999999997</v>
      </c>
      <c r="K46">
        <v>-2.3010115999999998</v>
      </c>
      <c r="L46">
        <v>-20.731127999999998</v>
      </c>
      <c r="M46">
        <v>13.142144</v>
      </c>
      <c r="N46">
        <v>-10.5712788</v>
      </c>
      <c r="O46">
        <v>-27.672091999999999</v>
      </c>
      <c r="P46">
        <v>40.025948</v>
      </c>
      <c r="Q46">
        <v>-16.97334</v>
      </c>
      <c r="R46">
        <v>21.397455999999998</v>
      </c>
      <c r="S46">
        <v>26.271296</v>
      </c>
      <c r="T46">
        <v>-11.080019999999999</v>
      </c>
      <c r="U46">
        <v>-154.3279</v>
      </c>
      <c r="V46">
        <v>84.182299999999955</v>
      </c>
      <c r="W46">
        <v>106.92115</v>
      </c>
      <c r="X46">
        <v>-48.167399999999951</v>
      </c>
      <c r="Y46">
        <v>-75.679450000000017</v>
      </c>
      <c r="Z46">
        <v>-51.168499999999881</v>
      </c>
      <c r="AA46">
        <v>-741.29660000000001</v>
      </c>
      <c r="AB46">
        <v>-362.44479999999987</v>
      </c>
      <c r="AC46">
        <v>-168.85599999999999</v>
      </c>
      <c r="AD46">
        <v>-338.14050000000009</v>
      </c>
      <c r="AE46">
        <v>81.960999999999956</v>
      </c>
      <c r="AF46">
        <v>-279.01200000000011</v>
      </c>
      <c r="AG46">
        <v>-24.686500000000361</v>
      </c>
      <c r="AH46">
        <v>83.420500000000089</v>
      </c>
      <c r="AI46">
        <v>-0.43091212000000018</v>
      </c>
      <c r="AJ46">
        <v>-4.2779752000000002</v>
      </c>
      <c r="AK46">
        <v>1.0763271999999999</v>
      </c>
      <c r="AL46">
        <v>-3.5184080000000031</v>
      </c>
      <c r="AM46">
        <v>4.7180124000000001</v>
      </c>
      <c r="AN46">
        <v>-1.2008939999999999</v>
      </c>
      <c r="AO46">
        <v>0.18284239999999999</v>
      </c>
      <c r="AP46">
        <v>24.201052000000001</v>
      </c>
      <c r="AQ46">
        <v>3.9524632</v>
      </c>
      <c r="AR46">
        <v>-8.835046399999999E-2</v>
      </c>
      <c r="AS46">
        <v>6.0633656000000001E-2</v>
      </c>
      <c r="AT46">
        <v>6.4167164800000069</v>
      </c>
    </row>
    <row r="47" spans="1:46" x14ac:dyDescent="0.25">
      <c r="A47">
        <v>45</v>
      </c>
      <c r="B47">
        <v>9.4724999999999966</v>
      </c>
      <c r="C47">
        <v>0.54680384615384614</v>
      </c>
      <c r="D47">
        <v>0.4317187952014967</v>
      </c>
      <c r="E47">
        <v>-2.6394228866883382E-4</v>
      </c>
      <c r="F47">
        <v>3.683075927257315</v>
      </c>
      <c r="G47">
        <v>8.4970240000000015</v>
      </c>
      <c r="H47">
        <v>-6.4093040000000006</v>
      </c>
      <c r="I47">
        <v>-6.043558</v>
      </c>
      <c r="J47">
        <v>6.4530580000000004</v>
      </c>
      <c r="K47">
        <v>-2.3726180000000001</v>
      </c>
      <c r="L47">
        <v>-20.78304</v>
      </c>
      <c r="M47">
        <v>12.429320000000001</v>
      </c>
      <c r="N47">
        <v>-10.921253999999999</v>
      </c>
      <c r="O47">
        <v>-27.836659999999998</v>
      </c>
      <c r="P47">
        <v>39.703339999999997</v>
      </c>
      <c r="Q47">
        <v>-16.899899999999999</v>
      </c>
      <c r="R47">
        <v>21.132280000000002</v>
      </c>
      <c r="S47">
        <v>26.26568</v>
      </c>
      <c r="T47">
        <v>-10.9983</v>
      </c>
      <c r="U47">
        <v>-156.36699999999999</v>
      </c>
      <c r="V47">
        <v>84.771499999999932</v>
      </c>
      <c r="W47">
        <v>111.13825</v>
      </c>
      <c r="X47">
        <v>-42.769499999999987</v>
      </c>
      <c r="Y47">
        <v>-78.24475000000001</v>
      </c>
      <c r="Z47">
        <v>-41.892499999999913</v>
      </c>
      <c r="AA47">
        <v>-741.15050000000008</v>
      </c>
      <c r="AB47">
        <v>-364.33149999999989</v>
      </c>
      <c r="AC47">
        <v>-165.9549999999999</v>
      </c>
      <c r="AD47">
        <v>-354.27749999999997</v>
      </c>
      <c r="AE47">
        <v>99.429999999999865</v>
      </c>
      <c r="AF47">
        <v>-308.6099999999999</v>
      </c>
      <c r="AG47">
        <v>-73.907500000000184</v>
      </c>
      <c r="AH47">
        <v>87.60250000000002</v>
      </c>
      <c r="AI47">
        <v>-0.54886659999999965</v>
      </c>
      <c r="AJ47">
        <v>-4.3921359999999998</v>
      </c>
      <c r="AK47">
        <v>1.0846960000000001</v>
      </c>
      <c r="AL47">
        <v>-4.4593399999999974</v>
      </c>
      <c r="AM47">
        <v>4.6897019999999996</v>
      </c>
      <c r="AN47">
        <v>-1.2434700000000001</v>
      </c>
      <c r="AO47">
        <v>0.192302</v>
      </c>
      <c r="AP47">
        <v>24.99586</v>
      </c>
      <c r="AQ47">
        <v>3.9212560000000001</v>
      </c>
      <c r="AR47">
        <v>-8.1040520000000019E-2</v>
      </c>
      <c r="AS47">
        <v>5.8114880000000008E-2</v>
      </c>
      <c r="AT47">
        <v>9.2605983999999921</v>
      </c>
    </row>
    <row r="48" spans="1:46" x14ac:dyDescent="0.25">
      <c r="A48">
        <v>46</v>
      </c>
      <c r="B48">
        <v>9.4769999999999932</v>
      </c>
      <c r="C48">
        <v>0.54672384615384617</v>
      </c>
      <c r="D48">
        <v>0.44798528460106118</v>
      </c>
      <c r="E48">
        <v>2.5914191512158538E-3</v>
      </c>
      <c r="F48">
        <v>3.6497290583839161</v>
      </c>
      <c r="G48">
        <v>8.3477996000000001</v>
      </c>
      <c r="H48">
        <v>-6.3281288</v>
      </c>
      <c r="I48">
        <v>-5.9393348000000001</v>
      </c>
      <c r="J48">
        <v>6.4082928000000008</v>
      </c>
      <c r="K48">
        <v>-2.446078</v>
      </c>
      <c r="L48">
        <v>-20.828579999999999</v>
      </c>
      <c r="M48">
        <v>11.716974799999999</v>
      </c>
      <c r="N48">
        <v>-11.271660000000001</v>
      </c>
      <c r="O48">
        <v>-27.998704</v>
      </c>
      <c r="P48">
        <v>39.370595999999999</v>
      </c>
      <c r="Q48">
        <v>-16.814464000000001</v>
      </c>
      <c r="R48">
        <v>20.848848</v>
      </c>
      <c r="S48">
        <v>26.225159999999999</v>
      </c>
      <c r="T48">
        <v>-10.914671999999999</v>
      </c>
      <c r="U48">
        <v>-158.35050000000001</v>
      </c>
      <c r="V48">
        <v>85.335999999999913</v>
      </c>
      <c r="W48">
        <v>115.4021</v>
      </c>
      <c r="X48">
        <v>-37.175449999999991</v>
      </c>
      <c r="Y48">
        <v>-80.868950000000012</v>
      </c>
      <c r="Z48">
        <v>-32.535499999999892</v>
      </c>
      <c r="AA48">
        <v>-740.80855000000008</v>
      </c>
      <c r="AB48">
        <v>-365.78259999999989</v>
      </c>
      <c r="AC48">
        <v>-162.7699999999999</v>
      </c>
      <c r="AD48">
        <v>-370.04399999999998</v>
      </c>
      <c r="AE48">
        <v>116.9574999999999</v>
      </c>
      <c r="AF48">
        <v>-337.31999999999988</v>
      </c>
      <c r="AG48">
        <v>-124.3165000000003</v>
      </c>
      <c r="AH48">
        <v>91.245499999999993</v>
      </c>
      <c r="AI48">
        <v>-0.66088895999999997</v>
      </c>
      <c r="AJ48">
        <v>-4.5012728000000006</v>
      </c>
      <c r="AK48">
        <v>1.0919052</v>
      </c>
      <c r="AL48">
        <v>-5.3376568000000004</v>
      </c>
      <c r="AM48">
        <v>4.6559119999999998</v>
      </c>
      <c r="AN48">
        <v>-1.2857731999999999</v>
      </c>
      <c r="AO48">
        <v>0.20140195999999999</v>
      </c>
      <c r="AP48">
        <v>25.717656000000002</v>
      </c>
      <c r="AQ48">
        <v>3.8861135999999998</v>
      </c>
      <c r="AR48">
        <v>-7.2947280000000003E-2</v>
      </c>
      <c r="AS48">
        <v>5.5775112000000002E-2</v>
      </c>
      <c r="AT48">
        <v>12.05538</v>
      </c>
    </row>
    <row r="49" spans="1:46" x14ac:dyDescent="0.25">
      <c r="A49">
        <v>47</v>
      </c>
      <c r="B49">
        <v>9.4814999999999952</v>
      </c>
      <c r="C49">
        <v>0.54668230769230775</v>
      </c>
      <c r="D49">
        <v>0.46804051061079649</v>
      </c>
      <c r="E49">
        <v>5.2678336028279451E-3</v>
      </c>
      <c r="F49">
        <v>3.608978864401577</v>
      </c>
      <c r="G49">
        <v>8.1922771999999995</v>
      </c>
      <c r="H49">
        <v>-6.2452616000000001</v>
      </c>
      <c r="I49">
        <v>-5.8205035999999986</v>
      </c>
      <c r="J49">
        <v>6.3835896000000014</v>
      </c>
      <c r="K49">
        <v>-2.5288059999999999</v>
      </c>
      <c r="L49">
        <v>-20.84226</v>
      </c>
      <c r="M49">
        <v>11.0070236</v>
      </c>
      <c r="N49">
        <v>-11.624219999999999</v>
      </c>
      <c r="O49">
        <v>-28.148128</v>
      </c>
      <c r="P49">
        <v>38.987172000000001</v>
      </c>
      <c r="Q49">
        <v>-16.669048</v>
      </c>
      <c r="R49">
        <v>20.474136000000001</v>
      </c>
      <c r="S49">
        <v>26.010120000000001</v>
      </c>
      <c r="T49">
        <v>-10.821503999999999</v>
      </c>
      <c r="U49">
        <v>-160.05600000000001</v>
      </c>
      <c r="V49">
        <v>85.776999999999944</v>
      </c>
      <c r="W49">
        <v>119.8997</v>
      </c>
      <c r="X49">
        <v>-30.600649999999991</v>
      </c>
      <c r="Y49">
        <v>-83.787650000000014</v>
      </c>
      <c r="Z49">
        <v>-22.77349999999992</v>
      </c>
      <c r="AA49">
        <v>-739.48735000000011</v>
      </c>
      <c r="AB49">
        <v>-365.0557</v>
      </c>
      <c r="AC49">
        <v>-158.16499999999979</v>
      </c>
      <c r="AD49">
        <v>-383.95800000000008</v>
      </c>
      <c r="AE49">
        <v>134.77749999999989</v>
      </c>
      <c r="AF49">
        <v>-361.59</v>
      </c>
      <c r="AG49">
        <v>-180.66550000000029</v>
      </c>
      <c r="AH49">
        <v>92.193499999999958</v>
      </c>
      <c r="AI49">
        <v>-0.74325072000000014</v>
      </c>
      <c r="AJ49">
        <v>-4.5852896000000003</v>
      </c>
      <c r="AK49">
        <v>1.0933164</v>
      </c>
      <c r="AL49">
        <v>-5.9028976000000011</v>
      </c>
      <c r="AM49">
        <v>4.5947239999999994</v>
      </c>
      <c r="AN49">
        <v>-1.3267123999999999</v>
      </c>
      <c r="AO49">
        <v>0.20870372000000001</v>
      </c>
      <c r="AP49">
        <v>26.074392</v>
      </c>
      <c r="AQ49">
        <v>3.8312952</v>
      </c>
      <c r="AR49">
        <v>-6.0937559999999988E-2</v>
      </c>
      <c r="AS49">
        <v>5.4330384000000002E-2</v>
      </c>
      <c r="AT49">
        <v>14.604660000000001</v>
      </c>
    </row>
    <row r="50" spans="1:46" x14ac:dyDescent="0.25">
      <c r="A50">
        <v>48</v>
      </c>
      <c r="B50">
        <v>9.4859999999999989</v>
      </c>
      <c r="C50">
        <v>0.54664076923076921</v>
      </c>
      <c r="D50">
        <v>0.48940909879312527</v>
      </c>
      <c r="E50">
        <v>8.1108026816687183E-3</v>
      </c>
      <c r="F50">
        <v>3.5672268256877571</v>
      </c>
      <c r="G50">
        <v>8.0367548000000006</v>
      </c>
      <c r="H50">
        <v>-6.1623944000000002</v>
      </c>
      <c r="I50">
        <v>-5.7016724000000014</v>
      </c>
      <c r="J50">
        <v>6.3588864000000003</v>
      </c>
      <c r="K50">
        <v>-2.6115339999999998</v>
      </c>
      <c r="L50">
        <v>-20.85594</v>
      </c>
      <c r="M50">
        <v>10.297072399999999</v>
      </c>
      <c r="N50">
        <v>-11.97678</v>
      </c>
      <c r="O50">
        <v>-28.297552</v>
      </c>
      <c r="P50">
        <v>38.603748000000003</v>
      </c>
      <c r="Q50">
        <v>-16.523631999999999</v>
      </c>
      <c r="R50">
        <v>20.099423999999999</v>
      </c>
      <c r="S50">
        <v>25.795079999999999</v>
      </c>
      <c r="T50">
        <v>-10.728336000000001</v>
      </c>
      <c r="U50">
        <v>-161.76150000000001</v>
      </c>
      <c r="V50">
        <v>86.217999999999989</v>
      </c>
      <c r="W50">
        <v>124.3972999999999</v>
      </c>
      <c r="X50">
        <v>-24.02585000000003</v>
      </c>
      <c r="Y50">
        <v>-86.706349999999986</v>
      </c>
      <c r="Z50">
        <v>-13.011500000000019</v>
      </c>
      <c r="AA50">
        <v>-738.16615000000002</v>
      </c>
      <c r="AB50">
        <v>-364.3288</v>
      </c>
      <c r="AC50">
        <v>-153.5599999999998</v>
      </c>
      <c r="AD50">
        <v>-397.87200000000001</v>
      </c>
      <c r="AE50">
        <v>152.5974999999998</v>
      </c>
      <c r="AF50">
        <v>-385.86</v>
      </c>
      <c r="AG50">
        <v>-237.01449999999991</v>
      </c>
      <c r="AH50">
        <v>93.141499999999937</v>
      </c>
      <c r="AI50">
        <v>-0.82561247999999965</v>
      </c>
      <c r="AJ50">
        <v>-4.6693064</v>
      </c>
      <c r="AK50">
        <v>1.0947275999999999</v>
      </c>
      <c r="AL50">
        <v>-6.4681383999999982</v>
      </c>
      <c r="AM50">
        <v>4.5335359999999998</v>
      </c>
      <c r="AN50">
        <v>-1.3676516000000001</v>
      </c>
      <c r="AO50">
        <v>0.21600548</v>
      </c>
      <c r="AP50">
        <v>26.431128000000001</v>
      </c>
      <c r="AQ50">
        <v>3.7764768000000002</v>
      </c>
      <c r="AR50">
        <v>-4.8927840000000042E-2</v>
      </c>
      <c r="AS50">
        <v>5.288565600000001E-2</v>
      </c>
      <c r="AT50">
        <v>17.153939999999992</v>
      </c>
    </row>
    <row r="51" spans="1:46" x14ac:dyDescent="0.25">
      <c r="A51">
        <v>49</v>
      </c>
      <c r="B51">
        <v>9.4905000000000008</v>
      </c>
      <c r="C51">
        <v>0.54659923076923078</v>
      </c>
      <c r="D51">
        <v>0.51054378784648369</v>
      </c>
      <c r="E51">
        <v>1.085558111500611E-2</v>
      </c>
      <c r="F51">
        <v>3.519785677951575</v>
      </c>
      <c r="G51">
        <v>7.8812324000000009</v>
      </c>
      <c r="H51">
        <v>-6.0795272000000002</v>
      </c>
      <c r="I51">
        <v>-5.5828411999999998</v>
      </c>
      <c r="J51">
        <v>6.3341832</v>
      </c>
      <c r="K51">
        <v>-2.6942620000000002</v>
      </c>
      <c r="L51">
        <v>-20.869620000000001</v>
      </c>
      <c r="M51">
        <v>9.5871212000000021</v>
      </c>
      <c r="N51">
        <v>-12.32934</v>
      </c>
      <c r="O51">
        <v>-28.446975999999999</v>
      </c>
      <c r="P51">
        <v>38.220323999999998</v>
      </c>
      <c r="Q51">
        <v>-16.378215999999998</v>
      </c>
      <c r="R51">
        <v>19.724712</v>
      </c>
      <c r="S51">
        <v>25.58004</v>
      </c>
      <c r="T51">
        <v>-10.635168</v>
      </c>
      <c r="U51">
        <v>-163.46700000000001</v>
      </c>
      <c r="V51">
        <v>86.65900000000002</v>
      </c>
      <c r="W51">
        <v>128.89489999999989</v>
      </c>
      <c r="X51">
        <v>-17.451050000000031</v>
      </c>
      <c r="Y51">
        <v>-89.625049999999987</v>
      </c>
      <c r="Z51">
        <v>-3.2495000000000469</v>
      </c>
      <c r="AA51">
        <v>-736.84495000000004</v>
      </c>
      <c r="AB51">
        <v>-363.60190000000011</v>
      </c>
      <c r="AC51">
        <v>-148.95499999999981</v>
      </c>
      <c r="AD51">
        <v>-411.78599999999989</v>
      </c>
      <c r="AE51">
        <v>170.41749999999979</v>
      </c>
      <c r="AF51">
        <v>-410.13</v>
      </c>
      <c r="AG51">
        <v>-293.36349999999987</v>
      </c>
      <c r="AH51">
        <v>94.089499999999902</v>
      </c>
      <c r="AI51">
        <v>-0.90797423999999982</v>
      </c>
      <c r="AJ51">
        <v>-4.7533232000000014</v>
      </c>
      <c r="AK51">
        <v>1.0961388000000001</v>
      </c>
      <c r="AL51">
        <v>-7.0333791999999988</v>
      </c>
      <c r="AM51">
        <v>4.4723480000000002</v>
      </c>
      <c r="AN51">
        <v>-1.4085908</v>
      </c>
      <c r="AO51">
        <v>0.22330723999999999</v>
      </c>
      <c r="AP51">
        <v>26.787863999999999</v>
      </c>
      <c r="AQ51">
        <v>3.7216583999999999</v>
      </c>
      <c r="AR51">
        <v>-3.691812000000002E-2</v>
      </c>
      <c r="AS51">
        <v>5.1440927999999997E-2</v>
      </c>
      <c r="AT51">
        <v>19.703219999999991</v>
      </c>
    </row>
    <row r="52" spans="1:46" x14ac:dyDescent="0.25">
      <c r="A52">
        <v>50</v>
      </c>
      <c r="B52">
        <v>9.4950000000000028</v>
      </c>
      <c r="C52">
        <v>0.54655769230769236</v>
      </c>
      <c r="D52">
        <v>0.52866163061955329</v>
      </c>
      <c r="E52">
        <v>1.283012426363732E-2</v>
      </c>
      <c r="F52">
        <v>3.475275810718097</v>
      </c>
      <c r="G52">
        <v>7.7257100000000003</v>
      </c>
      <c r="H52">
        <v>-5.9966600000000003</v>
      </c>
      <c r="I52">
        <v>-5.46401</v>
      </c>
      <c r="J52">
        <v>6.3094799999999998</v>
      </c>
      <c r="K52">
        <v>-2.7769900000000001</v>
      </c>
      <c r="L52">
        <v>-20.883299999999998</v>
      </c>
      <c r="M52">
        <v>8.8771699999999996</v>
      </c>
      <c r="N52">
        <v>-12.681900000000001</v>
      </c>
      <c r="O52">
        <v>-28.596399999999999</v>
      </c>
      <c r="P52">
        <v>37.8369</v>
      </c>
      <c r="Q52">
        <v>-16.232800000000001</v>
      </c>
      <c r="R52">
        <v>19.350000000000001</v>
      </c>
      <c r="S52">
        <v>25.364999999999998</v>
      </c>
      <c r="T52">
        <v>-10.542</v>
      </c>
      <c r="U52">
        <v>-165.17250000000001</v>
      </c>
      <c r="V52">
        <v>87.100000000000065</v>
      </c>
      <c r="W52">
        <v>133.3924999999999</v>
      </c>
      <c r="X52">
        <v>-10.876250000000031</v>
      </c>
      <c r="Y52">
        <v>-92.543749999999974</v>
      </c>
      <c r="Z52">
        <v>6.5124999999999211</v>
      </c>
      <c r="AA52">
        <v>-735.52375000000006</v>
      </c>
      <c r="AB52">
        <v>-362.87500000000011</v>
      </c>
      <c r="AC52">
        <v>-144.3499999999998</v>
      </c>
      <c r="AD52">
        <v>-425.69999999999987</v>
      </c>
      <c r="AE52">
        <v>188.23749999999981</v>
      </c>
      <c r="AF52">
        <v>-434.40000000000009</v>
      </c>
      <c r="AG52">
        <v>-349.71249999999992</v>
      </c>
      <c r="AH52">
        <v>95.037499999999881</v>
      </c>
      <c r="AI52">
        <v>-0.99033599999999999</v>
      </c>
      <c r="AJ52">
        <v>-4.8373400000000002</v>
      </c>
      <c r="AK52">
        <v>1.09755</v>
      </c>
      <c r="AL52">
        <v>-7.5986200000000004</v>
      </c>
      <c r="AM52">
        <v>4.4111599999999997</v>
      </c>
      <c r="AN52">
        <v>-1.44953</v>
      </c>
      <c r="AO52">
        <v>0.23060900000000001</v>
      </c>
      <c r="AP52">
        <v>27.144600000000001</v>
      </c>
      <c r="AQ52">
        <v>3.6668400000000001</v>
      </c>
      <c r="AR52">
        <v>-2.4908400000000001E-2</v>
      </c>
      <c r="AS52">
        <v>4.9996199999999998E-2</v>
      </c>
      <c r="AT52">
        <v>22.252500000000001</v>
      </c>
    </row>
    <row r="53" spans="1:46" x14ac:dyDescent="0.25">
      <c r="A53">
        <v>51</v>
      </c>
      <c r="B53">
        <v>9.4992000000000001</v>
      </c>
      <c r="C53">
        <v>0.54656072527472532</v>
      </c>
      <c r="D53">
        <v>0.54532357893831274</v>
      </c>
      <c r="E53">
        <v>1.483016311345469E-2</v>
      </c>
      <c r="F53">
        <v>3.4296515580015989</v>
      </c>
      <c r="G53">
        <v>7.5641011999999996</v>
      </c>
      <c r="H53">
        <v>-5.9122952</v>
      </c>
      <c r="I53">
        <v>-5.3267275999999999</v>
      </c>
      <c r="J53">
        <v>6.3133007999999986</v>
      </c>
      <c r="K53">
        <v>-2.8719459999999999</v>
      </c>
      <c r="L53">
        <v>-20.857116000000001</v>
      </c>
      <c r="M53">
        <v>8.1749155999999985</v>
      </c>
      <c r="N53">
        <v>-13.026059999999999</v>
      </c>
      <c r="O53">
        <v>-28.724128</v>
      </c>
      <c r="P53">
        <v>37.402979999999999</v>
      </c>
      <c r="Q53">
        <v>-16.0168</v>
      </c>
      <c r="R53">
        <v>18.890664000000001</v>
      </c>
      <c r="S53">
        <v>24.908591999999999</v>
      </c>
      <c r="T53">
        <v>-10.452696</v>
      </c>
      <c r="U53">
        <v>-166.48050000000001</v>
      </c>
      <c r="V53">
        <v>87.424300000000073</v>
      </c>
      <c r="W53">
        <v>138.0655999999999</v>
      </c>
      <c r="X53">
        <v>-3.259550000000011</v>
      </c>
      <c r="Y53">
        <v>-95.633749999999992</v>
      </c>
      <c r="Z53">
        <v>16.60149999999987</v>
      </c>
      <c r="AA53">
        <v>-732.88345000000004</v>
      </c>
      <c r="AB53">
        <v>-359.30799999999999</v>
      </c>
      <c r="AC53">
        <v>-138.20599999999979</v>
      </c>
      <c r="AD53">
        <v>-436.83600000000001</v>
      </c>
      <c r="AE53">
        <v>204.96549999999999</v>
      </c>
      <c r="AF53">
        <v>-452.13900000000012</v>
      </c>
      <c r="AG53">
        <v>-414.51249999999999</v>
      </c>
      <c r="AH53">
        <v>91.871599999999873</v>
      </c>
      <c r="AI53">
        <v>-1.03454256</v>
      </c>
      <c r="AJ53">
        <v>-4.8961184000000006</v>
      </c>
      <c r="AK53">
        <v>1.0928652000000001</v>
      </c>
      <c r="AL53">
        <v>-7.813367200000001</v>
      </c>
      <c r="AM53">
        <v>4.3201231999999994</v>
      </c>
      <c r="AN53">
        <v>-1.4888636</v>
      </c>
      <c r="AO53">
        <v>0.23102851999999999</v>
      </c>
      <c r="AP53">
        <v>27.015792000000001</v>
      </c>
      <c r="AQ53">
        <v>3.5950319999999998</v>
      </c>
      <c r="AR53">
        <v>-1.571757599999998E-2</v>
      </c>
      <c r="AS53">
        <v>5.1531479999999998E-2</v>
      </c>
      <c r="AT53">
        <v>24.236940000000001</v>
      </c>
    </row>
    <row r="54" spans="1:46" x14ac:dyDescent="0.25">
      <c r="A54">
        <v>52</v>
      </c>
      <c r="B54">
        <v>9.5033999999999956</v>
      </c>
      <c r="C54">
        <v>0.54656375824175829</v>
      </c>
      <c r="D54">
        <v>0.56096384286733159</v>
      </c>
      <c r="E54">
        <v>1.36919456760311E-2</v>
      </c>
      <c r="F54">
        <v>3.376526522205757</v>
      </c>
      <c r="G54">
        <v>7.4024924000000007</v>
      </c>
      <c r="H54">
        <v>-5.8279304000000014</v>
      </c>
      <c r="I54">
        <v>-5.1894452000000006</v>
      </c>
      <c r="J54">
        <v>6.3171216000000001</v>
      </c>
      <c r="K54">
        <v>-2.9669020000000002</v>
      </c>
      <c r="L54">
        <v>-20.830932000000001</v>
      </c>
      <c r="M54">
        <v>7.4726612000000019</v>
      </c>
      <c r="N54">
        <v>-13.37022</v>
      </c>
      <c r="O54">
        <v>-28.851856000000002</v>
      </c>
      <c r="P54">
        <v>36.969059999999999</v>
      </c>
      <c r="Q54">
        <v>-15.800800000000001</v>
      </c>
      <c r="R54">
        <v>18.431328000000001</v>
      </c>
      <c r="S54">
        <v>24.452183999999999</v>
      </c>
      <c r="T54">
        <v>-10.363391999999999</v>
      </c>
      <c r="U54">
        <v>-167.7885</v>
      </c>
      <c r="V54">
        <v>87.748600000000081</v>
      </c>
      <c r="W54">
        <v>142.73869999999991</v>
      </c>
      <c r="X54">
        <v>4.3571499999999546</v>
      </c>
      <c r="Y54">
        <v>-98.723749999999981</v>
      </c>
      <c r="Z54">
        <v>26.690499999999751</v>
      </c>
      <c r="AA54">
        <v>-730.24315000000001</v>
      </c>
      <c r="AB54">
        <v>-355.74099999999987</v>
      </c>
      <c r="AC54">
        <v>-132.0619999999999</v>
      </c>
      <c r="AD54">
        <v>-447.97199999999998</v>
      </c>
      <c r="AE54">
        <v>221.69349999999989</v>
      </c>
      <c r="AF54">
        <v>-469.87799999999999</v>
      </c>
      <c r="AG54">
        <v>-479.31249999999972</v>
      </c>
      <c r="AH54">
        <v>88.705699999999894</v>
      </c>
      <c r="AI54">
        <v>-1.0787491199999999</v>
      </c>
      <c r="AJ54">
        <v>-4.9548968000000002</v>
      </c>
      <c r="AK54">
        <v>1.0881803999999999</v>
      </c>
      <c r="AL54">
        <v>-8.0281143999999998</v>
      </c>
      <c r="AM54">
        <v>4.2290863999999999</v>
      </c>
      <c r="AN54">
        <v>-1.5281971999999999</v>
      </c>
      <c r="AO54">
        <v>0.23144803999999999</v>
      </c>
      <c r="AP54">
        <v>26.886984000000002</v>
      </c>
      <c r="AQ54">
        <v>3.5232239999999999</v>
      </c>
      <c r="AR54">
        <v>-6.5267520000000306E-3</v>
      </c>
      <c r="AS54">
        <v>5.3066759999999998E-2</v>
      </c>
      <c r="AT54">
        <v>26.22138</v>
      </c>
    </row>
    <row r="55" spans="1:46" x14ac:dyDescent="0.25">
      <c r="A55">
        <v>53</v>
      </c>
      <c r="B55">
        <v>9.5075999999999929</v>
      </c>
      <c r="C55">
        <v>0.54656679120879126</v>
      </c>
      <c r="D55">
        <v>0.57534533268932275</v>
      </c>
      <c r="E55">
        <v>1.372284101286325E-2</v>
      </c>
      <c r="F55">
        <v>3.3278497466305188</v>
      </c>
      <c r="G55">
        <v>7.2408836000000001</v>
      </c>
      <c r="H55">
        <v>-5.7435656000000002</v>
      </c>
      <c r="I55">
        <v>-5.0521628000000014</v>
      </c>
      <c r="J55">
        <v>6.3209423999999999</v>
      </c>
      <c r="K55">
        <v>-3.061858</v>
      </c>
      <c r="L55">
        <v>-20.804748</v>
      </c>
      <c r="M55">
        <v>6.7704067999999999</v>
      </c>
      <c r="N55">
        <v>-13.71438</v>
      </c>
      <c r="O55">
        <v>-28.979583999999999</v>
      </c>
      <c r="P55">
        <v>36.535139999999998</v>
      </c>
      <c r="Q55">
        <v>-15.5848</v>
      </c>
      <c r="R55">
        <v>17.971992</v>
      </c>
      <c r="S55">
        <v>23.995775999999999</v>
      </c>
      <c r="T55">
        <v>-10.274088000000001</v>
      </c>
      <c r="U55">
        <v>-169.09649999999999</v>
      </c>
      <c r="V55">
        <v>88.072900000000075</v>
      </c>
      <c r="W55">
        <v>147.41179999999989</v>
      </c>
      <c r="X55">
        <v>11.97384999999997</v>
      </c>
      <c r="Y55">
        <v>-101.81375</v>
      </c>
      <c r="Z55">
        <v>36.779499999999707</v>
      </c>
      <c r="AA55">
        <v>-727.60284999999999</v>
      </c>
      <c r="AB55">
        <v>-352.17399999999992</v>
      </c>
      <c r="AC55">
        <v>-125.91799999999991</v>
      </c>
      <c r="AD55">
        <v>-459.10800000000012</v>
      </c>
      <c r="AE55">
        <v>238.42150000000009</v>
      </c>
      <c r="AF55">
        <v>-487.61700000000008</v>
      </c>
      <c r="AG55">
        <v>-544.11249999999973</v>
      </c>
      <c r="AH55">
        <v>85.5397999999999</v>
      </c>
      <c r="AI55">
        <v>-1.12295568</v>
      </c>
      <c r="AJ55">
        <v>-5.0136751999999998</v>
      </c>
      <c r="AK55">
        <v>1.0834956</v>
      </c>
      <c r="AL55">
        <v>-8.2428615999999995</v>
      </c>
      <c r="AM55">
        <v>4.1380496000000004</v>
      </c>
      <c r="AN55">
        <v>-1.5675307999999999</v>
      </c>
      <c r="AO55">
        <v>0.23186756</v>
      </c>
      <c r="AP55">
        <v>26.758175999999999</v>
      </c>
      <c r="AQ55">
        <v>3.451416</v>
      </c>
      <c r="AR55">
        <v>2.6640719999999861E-3</v>
      </c>
      <c r="AS55">
        <v>5.4602039999999998E-2</v>
      </c>
      <c r="AT55">
        <v>28.205819999999999</v>
      </c>
    </row>
    <row r="56" spans="1:46" x14ac:dyDescent="0.25">
      <c r="A56">
        <v>54</v>
      </c>
      <c r="B56">
        <v>9.5117999999999885</v>
      </c>
      <c r="C56">
        <v>0.54656982417582423</v>
      </c>
      <c r="D56">
        <v>0.59035826894455956</v>
      </c>
      <c r="E56">
        <v>1.161141756469199E-2</v>
      </c>
      <c r="F56">
        <v>3.27696624415398</v>
      </c>
      <c r="G56">
        <v>7.0792748000000003</v>
      </c>
      <c r="H56">
        <v>-5.6592007999999998</v>
      </c>
      <c r="I56">
        <v>-4.9148804000000004</v>
      </c>
      <c r="J56">
        <v>6.3247631999999996</v>
      </c>
      <c r="K56">
        <v>-3.1568139999999998</v>
      </c>
      <c r="L56">
        <v>-20.778563999999999</v>
      </c>
      <c r="M56">
        <v>6.0681523999999989</v>
      </c>
      <c r="N56">
        <v>-14.058540000000001</v>
      </c>
      <c r="O56">
        <v>-29.107312</v>
      </c>
      <c r="P56">
        <v>36.101219999999998</v>
      </c>
      <c r="Q56">
        <v>-15.3688</v>
      </c>
      <c r="R56">
        <v>17.512656</v>
      </c>
      <c r="S56">
        <v>23.539368</v>
      </c>
      <c r="T56">
        <v>-10.184784000000001</v>
      </c>
      <c r="U56">
        <v>-170.40450000000001</v>
      </c>
      <c r="V56">
        <v>88.397200000000083</v>
      </c>
      <c r="W56">
        <v>152.08489999999989</v>
      </c>
      <c r="X56">
        <v>19.59055</v>
      </c>
      <c r="Y56">
        <v>-104.90375</v>
      </c>
      <c r="Z56">
        <v>46.868499999999671</v>
      </c>
      <c r="AA56">
        <v>-724.96254999999996</v>
      </c>
      <c r="AB56">
        <v>-348.6069999999998</v>
      </c>
      <c r="AC56">
        <v>-119.7739999999999</v>
      </c>
      <c r="AD56">
        <v>-470.2440000000002</v>
      </c>
      <c r="AE56">
        <v>255.14950000000019</v>
      </c>
      <c r="AF56">
        <v>-505.35600000000022</v>
      </c>
      <c r="AG56">
        <v>-608.91249999999991</v>
      </c>
      <c r="AH56">
        <v>82.373899999999892</v>
      </c>
      <c r="AI56">
        <v>-1.1671622399999999</v>
      </c>
      <c r="AJ56">
        <v>-5.0724536000000002</v>
      </c>
      <c r="AK56">
        <v>1.0788108000000001</v>
      </c>
      <c r="AL56">
        <v>-8.4576087999999991</v>
      </c>
      <c r="AM56">
        <v>4.0470128000000001</v>
      </c>
      <c r="AN56">
        <v>-1.6068644000000001</v>
      </c>
      <c r="AO56">
        <v>0.23228708000000001</v>
      </c>
      <c r="AP56">
        <v>26.629367999999999</v>
      </c>
      <c r="AQ56">
        <v>3.3796080000000002</v>
      </c>
      <c r="AR56">
        <v>1.1854896000000011E-2</v>
      </c>
      <c r="AS56">
        <v>5.6137319999999997E-2</v>
      </c>
      <c r="AT56">
        <v>30.190259999999999</v>
      </c>
    </row>
    <row r="57" spans="1:46" x14ac:dyDescent="0.25">
      <c r="A57">
        <v>55</v>
      </c>
      <c r="B57">
        <v>9.5159999999999911</v>
      </c>
      <c r="C57">
        <v>0.54660813186813184</v>
      </c>
      <c r="D57">
        <v>0.60304410610290615</v>
      </c>
      <c r="E57">
        <v>9.4293544911864622E-3</v>
      </c>
      <c r="F57">
        <v>3.2233759625708491</v>
      </c>
      <c r="G57">
        <v>6.9140180000000004</v>
      </c>
      <c r="H57">
        <v>-5.5739219999999996</v>
      </c>
      <c r="I57">
        <v>-4.7618200000000002</v>
      </c>
      <c r="J57">
        <v>6.3555920000000006</v>
      </c>
      <c r="K57">
        <v>-3.2621799999999999</v>
      </c>
      <c r="L57">
        <v>-20.718340000000001</v>
      </c>
      <c r="M57">
        <v>5.3770859999999976</v>
      </c>
      <c r="N57">
        <v>-14.38592</v>
      </c>
      <c r="O57">
        <v>-29.212160000000001</v>
      </c>
      <c r="P57">
        <v>35.63514</v>
      </c>
      <c r="Q57">
        <v>-15.100099999999999</v>
      </c>
      <c r="R57">
        <v>17.005579999999998</v>
      </c>
      <c r="S57">
        <v>22.8521</v>
      </c>
      <c r="T57">
        <v>-10.113365999999999</v>
      </c>
      <c r="U57">
        <v>-171.32849999999999</v>
      </c>
      <c r="V57">
        <v>88.650500000000051</v>
      </c>
      <c r="W57">
        <v>156.809</v>
      </c>
      <c r="X57">
        <v>27.95000000000001</v>
      </c>
      <c r="Y57">
        <v>-107.94875</v>
      </c>
      <c r="Z57">
        <v>57.087499999999757</v>
      </c>
      <c r="AA57">
        <v>-720.98352499999987</v>
      </c>
      <c r="AB57">
        <v>-342.60749999999979</v>
      </c>
      <c r="AC57">
        <v>-112.50749999999999</v>
      </c>
      <c r="AD57">
        <v>-478.85000000000019</v>
      </c>
      <c r="AE57">
        <v>269.75000000000023</v>
      </c>
      <c r="AF57">
        <v>-517.69250000000011</v>
      </c>
      <c r="AG57">
        <v>-680.39750000000015</v>
      </c>
      <c r="AH57">
        <v>75.775749999999917</v>
      </c>
      <c r="AI57">
        <v>-1.180626</v>
      </c>
      <c r="AJ57">
        <v>-5.0747159999999996</v>
      </c>
      <c r="AK57">
        <v>1.0619339999999999</v>
      </c>
      <c r="AL57">
        <v>-8.4325219999999987</v>
      </c>
      <c r="AM57">
        <v>3.9253999999999989</v>
      </c>
      <c r="AN57">
        <v>-1.622614</v>
      </c>
      <c r="AO57">
        <v>0.23078199999999999</v>
      </c>
      <c r="AP57">
        <v>26.065899999999999</v>
      </c>
      <c r="AQ57">
        <v>3.2939780000000001</v>
      </c>
      <c r="AR57">
        <v>2.1868100000000029E-2</v>
      </c>
      <c r="AS57">
        <v>6.4541740000000028E-2</v>
      </c>
      <c r="AT57">
        <v>31.521239999999999</v>
      </c>
    </row>
    <row r="58" spans="1:46" x14ac:dyDescent="0.25">
      <c r="A58">
        <v>56</v>
      </c>
      <c r="B58">
        <v>9.5201999999999938</v>
      </c>
      <c r="C58">
        <v>0.5466534945054945</v>
      </c>
      <c r="D58">
        <v>0.61683939783505359</v>
      </c>
      <c r="E58">
        <v>7.4276582757652589E-3</v>
      </c>
      <c r="F58">
        <v>3.1714911954697969</v>
      </c>
      <c r="G58">
        <v>6.7480316000000009</v>
      </c>
      <c r="H58">
        <v>-5.4884604000000001</v>
      </c>
      <c r="I58">
        <v>-4.6056039999999996</v>
      </c>
      <c r="J58">
        <v>6.3918223999999997</v>
      </c>
      <c r="K58">
        <v>-3.3696280000000001</v>
      </c>
      <c r="L58">
        <v>-20.651308</v>
      </c>
      <c r="M58">
        <v>4.6882572000000016</v>
      </c>
      <c r="N58">
        <v>-14.709944</v>
      </c>
      <c r="O58">
        <v>-29.312432000000001</v>
      </c>
      <c r="P58">
        <v>35.162627999999998</v>
      </c>
      <c r="Q58">
        <v>-14.82086</v>
      </c>
      <c r="R58">
        <v>16.488956000000002</v>
      </c>
      <c r="S58">
        <v>22.118659999999998</v>
      </c>
      <c r="T58">
        <v>-10.0455252</v>
      </c>
      <c r="U58">
        <v>-172.17570000000001</v>
      </c>
      <c r="V58">
        <v>88.889600000000002</v>
      </c>
      <c r="W58">
        <v>161.54329999999999</v>
      </c>
      <c r="X58">
        <v>36.457999999999963</v>
      </c>
      <c r="Y58">
        <v>-110.98475000000001</v>
      </c>
      <c r="Z58">
        <v>67.332499999999811</v>
      </c>
      <c r="AA58">
        <v>-716.7367549999999</v>
      </c>
      <c r="AB58">
        <v>-336.12150000000003</v>
      </c>
      <c r="AC58">
        <v>-105.01650000000009</v>
      </c>
      <c r="AD58">
        <v>-486.95000000000022</v>
      </c>
      <c r="AE58">
        <v>283.92500000000013</v>
      </c>
      <c r="AF58">
        <v>-528.94849999999997</v>
      </c>
      <c r="AG58">
        <v>-753.21949999999981</v>
      </c>
      <c r="AH58">
        <v>68.491150000000005</v>
      </c>
      <c r="AI58">
        <v>-1.1879412</v>
      </c>
      <c r="AJ58">
        <v>-5.0656752000000003</v>
      </c>
      <c r="AK58">
        <v>1.0426188000000001</v>
      </c>
      <c r="AL58">
        <v>-8.359468399999999</v>
      </c>
      <c r="AM58">
        <v>3.7976719999999999</v>
      </c>
      <c r="AN58">
        <v>-1.6336468</v>
      </c>
      <c r="AO58">
        <v>0.22889200000000001</v>
      </c>
      <c r="AP58">
        <v>25.415500000000002</v>
      </c>
      <c r="AQ58">
        <v>3.2055836000000002</v>
      </c>
      <c r="AR58">
        <v>3.2045779999999982E-2</v>
      </c>
      <c r="AS58">
        <v>7.4319987999999976E-2</v>
      </c>
      <c r="AT58">
        <v>32.721527999999999</v>
      </c>
    </row>
    <row r="59" spans="1:46" x14ac:dyDescent="0.25">
      <c r="A59">
        <v>57</v>
      </c>
      <c r="B59">
        <v>9.5243999999999964</v>
      </c>
      <c r="C59">
        <v>0.54669885714285715</v>
      </c>
      <c r="D59">
        <v>0.6323865545959183</v>
      </c>
      <c r="E59">
        <v>6.8184502430877481E-3</v>
      </c>
      <c r="F59">
        <v>3.119326236703833</v>
      </c>
      <c r="G59">
        <v>6.5820451999999996</v>
      </c>
      <c r="H59">
        <v>-5.4029987999999998</v>
      </c>
      <c r="I59">
        <v>-4.4493880000000008</v>
      </c>
      <c r="J59">
        <v>6.4280527999999997</v>
      </c>
      <c r="K59">
        <v>-3.4770759999999998</v>
      </c>
      <c r="L59">
        <v>-20.584275999999999</v>
      </c>
      <c r="M59">
        <v>3.9994284000000002</v>
      </c>
      <c r="N59">
        <v>-15.033968</v>
      </c>
      <c r="O59">
        <v>-29.412704000000002</v>
      </c>
      <c r="P59">
        <v>34.690116000000003</v>
      </c>
      <c r="Q59">
        <v>-14.54162</v>
      </c>
      <c r="R59">
        <v>15.972332</v>
      </c>
      <c r="S59">
        <v>21.38522</v>
      </c>
      <c r="T59">
        <v>-9.9776844000000011</v>
      </c>
      <c r="U59">
        <v>-173.02289999999999</v>
      </c>
      <c r="V59">
        <v>89.128699999999967</v>
      </c>
      <c r="W59">
        <v>166.27760000000001</v>
      </c>
      <c r="X59">
        <v>44.965999999999973</v>
      </c>
      <c r="Y59">
        <v>-114.02075000000001</v>
      </c>
      <c r="Z59">
        <v>77.577499999999944</v>
      </c>
      <c r="AA59">
        <v>-712.48998499999993</v>
      </c>
      <c r="AB59">
        <v>-329.63550000000009</v>
      </c>
      <c r="AC59">
        <v>-97.52550000000015</v>
      </c>
      <c r="AD59">
        <v>-495.05000000000013</v>
      </c>
      <c r="AE59">
        <v>298.10000000000008</v>
      </c>
      <c r="AF59">
        <v>-540.20449999999994</v>
      </c>
      <c r="AG59">
        <v>-826.04150000000004</v>
      </c>
      <c r="AH59">
        <v>61.20655000000005</v>
      </c>
      <c r="AI59">
        <v>-1.1952564000000001</v>
      </c>
      <c r="AJ59">
        <v>-5.0566344000000001</v>
      </c>
      <c r="AK59">
        <v>1.0233036</v>
      </c>
      <c r="AL59">
        <v>-8.2864147999999993</v>
      </c>
      <c r="AM59">
        <v>3.6699440000000001</v>
      </c>
      <c r="AN59">
        <v>-1.6446795999999999</v>
      </c>
      <c r="AO59">
        <v>0.22700200000000001</v>
      </c>
      <c r="AP59">
        <v>24.7651</v>
      </c>
      <c r="AQ59">
        <v>3.1171891999999999</v>
      </c>
      <c r="AR59">
        <v>4.2223459999999997E-2</v>
      </c>
      <c r="AS59">
        <v>8.4098236000000007E-2</v>
      </c>
      <c r="AT59">
        <v>33.921816</v>
      </c>
    </row>
    <row r="60" spans="1:46" x14ac:dyDescent="0.25">
      <c r="A60">
        <v>58</v>
      </c>
      <c r="B60">
        <v>9.5286000000000008</v>
      </c>
      <c r="C60">
        <v>0.5467442197802197</v>
      </c>
      <c r="D60">
        <v>0.64769372110466206</v>
      </c>
      <c r="E60">
        <v>5.9718154509750317E-3</v>
      </c>
      <c r="F60">
        <v>3.0596274287614209</v>
      </c>
      <c r="G60">
        <v>6.4160588000000001</v>
      </c>
      <c r="H60">
        <v>-5.3175371999999994</v>
      </c>
      <c r="I60">
        <v>-4.2931720000000002</v>
      </c>
      <c r="J60">
        <v>6.4642831999999997</v>
      </c>
      <c r="K60">
        <v>-3.584524</v>
      </c>
      <c r="L60">
        <v>-20.517244000000002</v>
      </c>
      <c r="M60">
        <v>3.3105995999999989</v>
      </c>
      <c r="N60">
        <v>-15.357991999999999</v>
      </c>
      <c r="O60">
        <v>-29.512975999999998</v>
      </c>
      <c r="P60">
        <v>34.217603999999987</v>
      </c>
      <c r="Q60">
        <v>-14.26238</v>
      </c>
      <c r="R60">
        <v>15.455708</v>
      </c>
      <c r="S60">
        <v>20.651779999999999</v>
      </c>
      <c r="T60">
        <v>-9.9098436000000003</v>
      </c>
      <c r="U60">
        <v>-173.87010000000001</v>
      </c>
      <c r="V60">
        <v>89.367799999999917</v>
      </c>
      <c r="W60">
        <v>171.0119</v>
      </c>
      <c r="X60">
        <v>53.47399999999999</v>
      </c>
      <c r="Y60">
        <v>-117.05674999999999</v>
      </c>
      <c r="Z60">
        <v>87.822500000000076</v>
      </c>
      <c r="AA60">
        <v>-708.24321499999985</v>
      </c>
      <c r="AB60">
        <v>-323.14950000000022</v>
      </c>
      <c r="AC60">
        <v>-90.034500000000222</v>
      </c>
      <c r="AD60">
        <v>-503.15000000000009</v>
      </c>
      <c r="AE60">
        <v>312.2750000000002</v>
      </c>
      <c r="AF60">
        <v>-551.46049999999991</v>
      </c>
      <c r="AG60">
        <v>-898.86350000000027</v>
      </c>
      <c r="AH60">
        <v>53.921950000000081</v>
      </c>
      <c r="AI60">
        <v>-1.2025716</v>
      </c>
      <c r="AJ60">
        <v>-5.0475935999999999</v>
      </c>
      <c r="AK60">
        <v>1.0039883999999999</v>
      </c>
      <c r="AL60">
        <v>-8.2133611999999996</v>
      </c>
      <c r="AM60">
        <v>3.5422159999999998</v>
      </c>
      <c r="AN60">
        <v>-1.6557124000000001</v>
      </c>
      <c r="AO60">
        <v>0.22511200000000001</v>
      </c>
      <c r="AP60">
        <v>24.114699999999999</v>
      </c>
      <c r="AQ60">
        <v>3.0287948</v>
      </c>
      <c r="AR60">
        <v>5.240114000000002E-2</v>
      </c>
      <c r="AS60">
        <v>9.3876484000000024E-2</v>
      </c>
      <c r="AT60">
        <v>35.122104</v>
      </c>
    </row>
    <row r="61" spans="1:46" x14ac:dyDescent="0.25">
      <c r="A61">
        <v>59</v>
      </c>
      <c r="B61">
        <v>9.532600000000004</v>
      </c>
      <c r="C61">
        <v>0.54681621978021977</v>
      </c>
      <c r="D61">
        <v>0.66049900228745073</v>
      </c>
      <c r="E61">
        <v>5.9461822644377542E-3</v>
      </c>
      <c r="F61">
        <v>2.9972607088791881</v>
      </c>
      <c r="G61">
        <v>6.2484724000000007</v>
      </c>
      <c r="H61">
        <v>-5.2315316000000003</v>
      </c>
      <c r="I61">
        <v>-4.1243288000000007</v>
      </c>
      <c r="J61">
        <v>6.5242831999999993</v>
      </c>
      <c r="K61">
        <v>-3.699835999999999</v>
      </c>
      <c r="L61">
        <v>-20.422803999999999</v>
      </c>
      <c r="M61">
        <v>2.635469840000003</v>
      </c>
      <c r="N61">
        <v>-15.660848</v>
      </c>
      <c r="O61">
        <v>-29.5916</v>
      </c>
      <c r="P61">
        <v>33.727620000000002</v>
      </c>
      <c r="Q61">
        <v>-13.9497</v>
      </c>
      <c r="R61">
        <v>14.917244</v>
      </c>
      <c r="S61">
        <v>19.714644</v>
      </c>
      <c r="T61">
        <v>-9.8665452000000009</v>
      </c>
      <c r="U61">
        <v>-174.3699</v>
      </c>
      <c r="V61">
        <v>89.570099999999911</v>
      </c>
      <c r="W61">
        <v>175.70740000000001</v>
      </c>
      <c r="X61">
        <v>62.457199999999958</v>
      </c>
      <c r="Y61">
        <v>-119.88554999999999</v>
      </c>
      <c r="Z61">
        <v>98.059500000000071</v>
      </c>
      <c r="AA61">
        <v>-702.67060499999991</v>
      </c>
      <c r="AB61">
        <v>-314.79750000000018</v>
      </c>
      <c r="AC61">
        <v>-81.809500000000284</v>
      </c>
      <c r="AD61">
        <v>-509.18600000000009</v>
      </c>
      <c r="AE61">
        <v>323.85200000000009</v>
      </c>
      <c r="AF61">
        <v>-559.08649999999989</v>
      </c>
      <c r="AG61">
        <v>-974.22149999999988</v>
      </c>
      <c r="AH61">
        <v>44.807350000000149</v>
      </c>
      <c r="AI61">
        <v>-1.1848483999999999</v>
      </c>
      <c r="AJ61">
        <v>-4.9997255999999997</v>
      </c>
      <c r="AK61">
        <v>0.97717000000000009</v>
      </c>
      <c r="AL61">
        <v>-7.9796948000000008</v>
      </c>
      <c r="AM61">
        <v>3.388393600000001</v>
      </c>
      <c r="AN61">
        <v>-1.6485836</v>
      </c>
      <c r="AO61">
        <v>0.21966504000000001</v>
      </c>
      <c r="AP61">
        <v>23.150652000000001</v>
      </c>
      <c r="AQ61">
        <v>2.9274388</v>
      </c>
      <c r="AR61">
        <v>6.1416707999999973E-2</v>
      </c>
      <c r="AS61">
        <v>0.106596556</v>
      </c>
      <c r="AT61">
        <v>35.672871999999998</v>
      </c>
    </row>
    <row r="62" spans="1:46" x14ac:dyDescent="0.25">
      <c r="A62">
        <v>60</v>
      </c>
      <c r="B62">
        <v>9.5365000000000073</v>
      </c>
      <c r="C62">
        <v>0.54690153846153844</v>
      </c>
      <c r="D62">
        <v>0.67755275485151467</v>
      </c>
      <c r="E62">
        <v>5.3576126973142908E-3</v>
      </c>
      <c r="F62">
        <v>2.9404113863571739</v>
      </c>
      <c r="G62">
        <v>6.0800860000000014</v>
      </c>
      <c r="H62">
        <v>-5.1452540000000004</v>
      </c>
      <c r="I62">
        <v>-3.9491719999999999</v>
      </c>
      <c r="J62">
        <v>6.5961679999999996</v>
      </c>
      <c r="K62">
        <v>-3.81908</v>
      </c>
      <c r="L62">
        <v>-20.31466</v>
      </c>
      <c r="M62">
        <v>1.9671896000000011</v>
      </c>
      <c r="N62">
        <v>-15.95312</v>
      </c>
      <c r="O62">
        <v>-29.659400000000002</v>
      </c>
      <c r="P62">
        <v>33.228900000000003</v>
      </c>
      <c r="Q62">
        <v>-13.6203</v>
      </c>
      <c r="R62">
        <v>14.36786</v>
      </c>
      <c r="S62">
        <v>18.675660000000001</v>
      </c>
      <c r="T62">
        <v>-9.8355180000000004</v>
      </c>
      <c r="U62">
        <v>-174.696</v>
      </c>
      <c r="V62">
        <v>89.753999999999934</v>
      </c>
      <c r="W62">
        <v>180.3835</v>
      </c>
      <c r="X62">
        <v>71.677999999999997</v>
      </c>
      <c r="Y62">
        <v>-122.61075</v>
      </c>
      <c r="Z62">
        <v>108.2925000000001</v>
      </c>
      <c r="AA62">
        <v>-696.43507499999987</v>
      </c>
      <c r="AB62">
        <v>-305.5125000000001</v>
      </c>
      <c r="AC62">
        <v>-73.217500000000257</v>
      </c>
      <c r="AD62">
        <v>-514.19000000000005</v>
      </c>
      <c r="AE62">
        <v>334.13000000000011</v>
      </c>
      <c r="AF62">
        <v>-564.89749999999992</v>
      </c>
      <c r="AG62">
        <v>-1050.8475000000001</v>
      </c>
      <c r="AH62">
        <v>34.777750000000133</v>
      </c>
      <c r="AI62">
        <v>-1.154606</v>
      </c>
      <c r="AJ62">
        <v>-4.9324440000000003</v>
      </c>
      <c r="AK62">
        <v>0.9466</v>
      </c>
      <c r="AL62">
        <v>-7.6657220000000006</v>
      </c>
      <c r="AM62">
        <v>3.2215240000000001</v>
      </c>
      <c r="AN62">
        <v>-1.632374</v>
      </c>
      <c r="AO62">
        <v>0.21243960000000001</v>
      </c>
      <c r="AP62">
        <v>22.029779999999999</v>
      </c>
      <c r="AQ62">
        <v>2.8196020000000002</v>
      </c>
      <c r="AR62">
        <v>6.9851219999999992E-2</v>
      </c>
      <c r="AS62">
        <v>0.12078754</v>
      </c>
      <c r="AT62">
        <v>35.898879999999998</v>
      </c>
    </row>
    <row r="63" spans="1:46" x14ac:dyDescent="0.25">
      <c r="A63">
        <v>61</v>
      </c>
      <c r="B63">
        <v>9.5404000000000106</v>
      </c>
      <c r="C63">
        <v>0.54698685714285711</v>
      </c>
      <c r="D63">
        <v>0.69399403048014385</v>
      </c>
      <c r="E63">
        <v>3.9360304098700069E-3</v>
      </c>
      <c r="F63">
        <v>2.8713479116514331</v>
      </c>
      <c r="G63">
        <v>5.9116995999999986</v>
      </c>
      <c r="H63">
        <v>-5.0589763999999997</v>
      </c>
      <c r="I63">
        <v>-3.7740152</v>
      </c>
      <c r="J63">
        <v>6.6680527999999999</v>
      </c>
      <c r="K63">
        <v>-3.9383240000000002</v>
      </c>
      <c r="L63">
        <v>-20.206516000000001</v>
      </c>
      <c r="M63">
        <v>1.2989093599999999</v>
      </c>
      <c r="N63">
        <v>-16.245391999999999</v>
      </c>
      <c r="O63">
        <v>-29.7272</v>
      </c>
      <c r="P63">
        <v>32.730179999999997</v>
      </c>
      <c r="Q63">
        <v>-13.290900000000001</v>
      </c>
      <c r="R63">
        <v>13.818476</v>
      </c>
      <c r="S63">
        <v>17.636676000000001</v>
      </c>
      <c r="T63">
        <v>-9.8044908</v>
      </c>
      <c r="U63">
        <v>-175.02209999999999</v>
      </c>
      <c r="V63">
        <v>89.937899999999956</v>
      </c>
      <c r="W63">
        <v>185.05959999999999</v>
      </c>
      <c r="X63">
        <v>80.898800000000051</v>
      </c>
      <c r="Y63">
        <v>-125.33595</v>
      </c>
      <c r="Z63">
        <v>118.52550000000021</v>
      </c>
      <c r="AA63">
        <v>-690.19954499999994</v>
      </c>
      <c r="AB63">
        <v>-296.22750000000008</v>
      </c>
      <c r="AC63">
        <v>-64.625500000000216</v>
      </c>
      <c r="AD63">
        <v>-519.19399999999996</v>
      </c>
      <c r="AE63">
        <v>344.40800000000007</v>
      </c>
      <c r="AF63">
        <v>-570.70849999999996</v>
      </c>
      <c r="AG63">
        <v>-1127.4735000000001</v>
      </c>
      <c r="AH63">
        <v>24.748150000000109</v>
      </c>
      <c r="AI63">
        <v>-1.1243635999999999</v>
      </c>
      <c r="AJ63">
        <v>-4.8651624</v>
      </c>
      <c r="AK63">
        <v>0.9160299999999999</v>
      </c>
      <c r="AL63">
        <v>-7.3517492000000004</v>
      </c>
      <c r="AM63">
        <v>3.0546544</v>
      </c>
      <c r="AN63">
        <v>-1.6161643999999999</v>
      </c>
      <c r="AO63">
        <v>0.20521416000000001</v>
      </c>
      <c r="AP63">
        <v>20.908908</v>
      </c>
      <c r="AQ63">
        <v>2.7117651999999999</v>
      </c>
      <c r="AR63">
        <v>7.8285732000000011E-2</v>
      </c>
      <c r="AS63">
        <v>0.13497852399999999</v>
      </c>
      <c r="AT63">
        <v>36.124887999999999</v>
      </c>
    </row>
    <row r="64" spans="1:46" x14ac:dyDescent="0.25">
      <c r="A64">
        <v>62</v>
      </c>
      <c r="B64">
        <v>9.544300000000014</v>
      </c>
      <c r="C64">
        <v>0.54707217582417578</v>
      </c>
      <c r="D64">
        <v>0.70593170368354596</v>
      </c>
      <c r="E64">
        <v>3.0467148277897901E-3</v>
      </c>
      <c r="F64">
        <v>2.7953144517408699</v>
      </c>
      <c r="G64">
        <v>5.7433131999999993</v>
      </c>
      <c r="H64">
        <v>-4.9726987999999999</v>
      </c>
      <c r="I64">
        <v>-3.5988584000000001</v>
      </c>
      <c r="J64">
        <v>6.7399376000000002</v>
      </c>
      <c r="K64">
        <v>-4.0575679999999998</v>
      </c>
      <c r="L64">
        <v>-20.098372000000001</v>
      </c>
      <c r="M64">
        <v>0.63062911999999871</v>
      </c>
      <c r="N64">
        <v>-16.537663999999999</v>
      </c>
      <c r="O64">
        <v>-29.795000000000002</v>
      </c>
      <c r="P64">
        <v>32.231459999999998</v>
      </c>
      <c r="Q64">
        <v>-12.961499999999999</v>
      </c>
      <c r="R64">
        <v>13.269092000000001</v>
      </c>
      <c r="S64">
        <v>16.597691999999999</v>
      </c>
      <c r="T64">
        <v>-9.7734635999999995</v>
      </c>
      <c r="U64">
        <v>-175.34819999999999</v>
      </c>
      <c r="V64">
        <v>90.121799999999965</v>
      </c>
      <c r="W64">
        <v>189.73570000000009</v>
      </c>
      <c r="X64">
        <v>90.119600000000105</v>
      </c>
      <c r="Y64">
        <v>-128.06115</v>
      </c>
      <c r="Z64">
        <v>128.7585000000002</v>
      </c>
      <c r="AA64">
        <v>-683.9640149999999</v>
      </c>
      <c r="AB64">
        <v>-286.9425</v>
      </c>
      <c r="AC64">
        <v>-56.033500000000203</v>
      </c>
      <c r="AD64">
        <v>-524.19799999999998</v>
      </c>
      <c r="AE64">
        <v>354.68600000000009</v>
      </c>
      <c r="AF64">
        <v>-576.51950000000011</v>
      </c>
      <c r="AG64">
        <v>-1204.0995</v>
      </c>
      <c r="AH64">
        <v>14.718550000000089</v>
      </c>
      <c r="AI64">
        <v>-1.0941212</v>
      </c>
      <c r="AJ64">
        <v>-4.7978807999999997</v>
      </c>
      <c r="AK64">
        <v>0.8854599999999998</v>
      </c>
      <c r="AL64">
        <v>-7.0377763999999994</v>
      </c>
      <c r="AM64">
        <v>2.887784799999999</v>
      </c>
      <c r="AN64">
        <v>-1.5999547999999999</v>
      </c>
      <c r="AO64">
        <v>0.19798872000000001</v>
      </c>
      <c r="AP64">
        <v>19.788036000000002</v>
      </c>
      <c r="AQ64">
        <v>2.6039284</v>
      </c>
      <c r="AR64">
        <v>8.672024400000003E-2</v>
      </c>
      <c r="AS64">
        <v>0.14916950800000001</v>
      </c>
      <c r="AT64">
        <v>36.350896000000013</v>
      </c>
    </row>
    <row r="65" spans="1:46" x14ac:dyDescent="0.25">
      <c r="A65">
        <v>63</v>
      </c>
      <c r="B65">
        <v>9.5477500000000131</v>
      </c>
      <c r="C65">
        <v>0.54717595604395608</v>
      </c>
      <c r="D65">
        <v>0.7164496811073594</v>
      </c>
      <c r="E65">
        <v>2.021998218934588E-3</v>
      </c>
      <c r="F65">
        <v>2.7191313242329018</v>
      </c>
      <c r="G65">
        <v>5.5748224000000004</v>
      </c>
      <c r="H65">
        <v>-4.8860936000000006</v>
      </c>
      <c r="I65">
        <v>-3.4144676</v>
      </c>
      <c r="J65">
        <v>6.8308783999999996</v>
      </c>
      <c r="K65">
        <v>-4.1818147999999997</v>
      </c>
      <c r="L65">
        <v>-19.969851999999999</v>
      </c>
      <c r="M65">
        <v>-2.2983279999998388E-2</v>
      </c>
      <c r="N65">
        <v>-16.808672000000001</v>
      </c>
      <c r="O65">
        <v>-29.844667999999999</v>
      </c>
      <c r="P65">
        <v>31.725828</v>
      </c>
      <c r="Q65">
        <v>-12.616068</v>
      </c>
      <c r="R65">
        <v>12.712844</v>
      </c>
      <c r="S65">
        <v>15.404976</v>
      </c>
      <c r="T65">
        <v>-9.7641479999999987</v>
      </c>
      <c r="U65">
        <v>-175.3896</v>
      </c>
      <c r="V65">
        <v>90.291899999999984</v>
      </c>
      <c r="W65">
        <v>194.32194999999999</v>
      </c>
      <c r="X65">
        <v>99.585800000000063</v>
      </c>
      <c r="Y65">
        <v>-130.4931</v>
      </c>
      <c r="Z65">
        <v>138.89250000000021</v>
      </c>
      <c r="AA65">
        <v>-676.52398499999993</v>
      </c>
      <c r="AB65">
        <v>-276.42149999999998</v>
      </c>
      <c r="AC65">
        <v>-47.065000000000197</v>
      </c>
      <c r="AD65">
        <v>-527.63449999999989</v>
      </c>
      <c r="AE65">
        <v>362.47325000000001</v>
      </c>
      <c r="AF65">
        <v>-580.35215000000005</v>
      </c>
      <c r="AG65">
        <v>-1277.9617499999999</v>
      </c>
      <c r="AH65">
        <v>4.7570500000001283</v>
      </c>
      <c r="AI65">
        <v>-1.0443621199999999</v>
      </c>
      <c r="AJ65">
        <v>-4.7075567999999999</v>
      </c>
      <c r="AK65">
        <v>0.85059004000000005</v>
      </c>
      <c r="AL65">
        <v>-6.6219788000000017</v>
      </c>
      <c r="AM65">
        <v>2.7005884</v>
      </c>
      <c r="AN65">
        <v>-1.5704468</v>
      </c>
      <c r="AO65">
        <v>0.18750264</v>
      </c>
      <c r="AP65">
        <v>18.481127999999998</v>
      </c>
      <c r="AQ65">
        <v>2.4907192</v>
      </c>
      <c r="AR65">
        <v>9.378671999999999E-2</v>
      </c>
      <c r="AS65">
        <v>0.16190091999999989</v>
      </c>
      <c r="AT65">
        <v>36.116667999999997</v>
      </c>
    </row>
    <row r="66" spans="1:46" x14ac:dyDescent="0.25">
      <c r="A66">
        <v>64</v>
      </c>
      <c r="B66">
        <v>9.5507500000000114</v>
      </c>
      <c r="C66">
        <v>0.54729819780219779</v>
      </c>
      <c r="D66">
        <v>0.72504036915572767</v>
      </c>
      <c r="E66">
        <v>9.295156026153476E-4</v>
      </c>
      <c r="F66">
        <v>2.6401915284192059</v>
      </c>
      <c r="G66">
        <v>5.4062272</v>
      </c>
      <c r="H66">
        <v>-4.7991608000000001</v>
      </c>
      <c r="I66">
        <v>-3.2208427999999998</v>
      </c>
      <c r="J66">
        <v>6.9408751999999998</v>
      </c>
      <c r="K66">
        <v>-4.3110644000000002</v>
      </c>
      <c r="L66">
        <v>-19.820955999999999</v>
      </c>
      <c r="M66">
        <v>-0.66192783999999982</v>
      </c>
      <c r="N66">
        <v>-17.058416000000001</v>
      </c>
      <c r="O66">
        <v>-29.876204000000001</v>
      </c>
      <c r="P66">
        <v>31.213284000000002</v>
      </c>
      <c r="Q66">
        <v>-12.254604</v>
      </c>
      <c r="R66">
        <v>12.149732</v>
      </c>
      <c r="S66">
        <v>14.058528000000001</v>
      </c>
      <c r="T66">
        <v>-9.7765439999999995</v>
      </c>
      <c r="U66">
        <v>-175.1463</v>
      </c>
      <c r="V66">
        <v>90.448200000000014</v>
      </c>
      <c r="W66">
        <v>198.81835000000001</v>
      </c>
      <c r="X66">
        <v>109.2974000000001</v>
      </c>
      <c r="Y66">
        <v>-132.6318</v>
      </c>
      <c r="Z66">
        <v>148.92750000000009</v>
      </c>
      <c r="AA66">
        <v>-667.87945500000001</v>
      </c>
      <c r="AB66">
        <v>-264.66449999999992</v>
      </c>
      <c r="AC66">
        <v>-37.720000000000113</v>
      </c>
      <c r="AD66">
        <v>-529.50349999999992</v>
      </c>
      <c r="AE66">
        <v>367.76974999999999</v>
      </c>
      <c r="AF66">
        <v>-582.20645000000002</v>
      </c>
      <c r="AG66">
        <v>-1349.06025</v>
      </c>
      <c r="AH66">
        <v>-5.1363499999999291</v>
      </c>
      <c r="AI66">
        <v>-0.97508636000000004</v>
      </c>
      <c r="AJ66">
        <v>-4.5941903999999996</v>
      </c>
      <c r="AK66">
        <v>0.81142011999999997</v>
      </c>
      <c r="AL66">
        <v>-6.1043564000000003</v>
      </c>
      <c r="AM66">
        <v>2.4930652000000002</v>
      </c>
      <c r="AN66">
        <v>-1.5276403999999999</v>
      </c>
      <c r="AO66">
        <v>0.17375592000000001</v>
      </c>
      <c r="AP66">
        <v>16.988184</v>
      </c>
      <c r="AQ66">
        <v>2.3721375999999998</v>
      </c>
      <c r="AR66">
        <v>9.9485160000000003E-2</v>
      </c>
      <c r="AS66">
        <v>0.17317276000000001</v>
      </c>
      <c r="AT66">
        <v>35.422204000000001</v>
      </c>
    </row>
    <row r="67" spans="1:46" x14ac:dyDescent="0.25">
      <c r="A67">
        <v>65</v>
      </c>
      <c r="B67">
        <v>9.553750000000008</v>
      </c>
      <c r="C67">
        <v>0.54742043956043962</v>
      </c>
      <c r="D67">
        <v>0.73136289697502166</v>
      </c>
      <c r="E67">
        <v>7.3382139029986497E-4</v>
      </c>
      <c r="F67">
        <v>2.5535786577570589</v>
      </c>
      <c r="G67">
        <v>5.2376320000000014</v>
      </c>
      <c r="H67">
        <v>-4.7122280000000014</v>
      </c>
      <c r="I67">
        <v>-3.0272180000000009</v>
      </c>
      <c r="J67">
        <v>7.050872</v>
      </c>
      <c r="K67">
        <v>-4.440313999999999</v>
      </c>
      <c r="L67">
        <v>-19.672059999999998</v>
      </c>
      <c r="M67">
        <v>-1.300872399999996</v>
      </c>
      <c r="N67">
        <v>-17.308160000000001</v>
      </c>
      <c r="O67">
        <v>-29.90774</v>
      </c>
      <c r="P67">
        <v>30.70074</v>
      </c>
      <c r="Q67">
        <v>-11.893140000000001</v>
      </c>
      <c r="R67">
        <v>11.58662</v>
      </c>
      <c r="S67">
        <v>12.712080000000009</v>
      </c>
      <c r="T67">
        <v>-9.7889400000000002</v>
      </c>
      <c r="U67">
        <v>-174.90299999999999</v>
      </c>
      <c r="V67">
        <v>90.604500000000044</v>
      </c>
      <c r="W67">
        <v>203.31475</v>
      </c>
      <c r="X67">
        <v>119.009</v>
      </c>
      <c r="Y67">
        <v>-134.7705</v>
      </c>
      <c r="Z67">
        <v>158.96250000000001</v>
      </c>
      <c r="AA67">
        <v>-659.23492499999998</v>
      </c>
      <c r="AB67">
        <v>-252.90749999999991</v>
      </c>
      <c r="AC67">
        <v>-28.375000000000089</v>
      </c>
      <c r="AD67">
        <v>-531.37249999999995</v>
      </c>
      <c r="AE67">
        <v>373.06624999999991</v>
      </c>
      <c r="AF67">
        <v>-584.06074999999998</v>
      </c>
      <c r="AG67">
        <v>-1420.1587499999989</v>
      </c>
      <c r="AH67">
        <v>-15.02974999999992</v>
      </c>
      <c r="AI67">
        <v>-0.90581060000000035</v>
      </c>
      <c r="AJ67">
        <v>-4.4808240000000001</v>
      </c>
      <c r="AK67">
        <v>0.77225020000000022</v>
      </c>
      <c r="AL67">
        <v>-5.5867340000000034</v>
      </c>
      <c r="AM67">
        <v>2.2855420000000009</v>
      </c>
      <c r="AN67">
        <v>-1.484834</v>
      </c>
      <c r="AO67">
        <v>0.1600092000000001</v>
      </c>
      <c r="AP67">
        <v>15.49524000000001</v>
      </c>
      <c r="AQ67">
        <v>2.253556000000001</v>
      </c>
      <c r="AR67">
        <v>0.1051836</v>
      </c>
      <c r="AS67">
        <v>0.1844445999999999</v>
      </c>
      <c r="AT67">
        <v>34.727739999999997</v>
      </c>
    </row>
    <row r="68" spans="1:46" x14ac:dyDescent="0.25">
      <c r="A68">
        <v>66</v>
      </c>
      <c r="B68">
        <v>9.5567500000000045</v>
      </c>
      <c r="C68">
        <v>0.54754268131868133</v>
      </c>
      <c r="D68">
        <v>0.73698471358924678</v>
      </c>
      <c r="E68">
        <v>-1.0294472651472171E-3</v>
      </c>
      <c r="F68">
        <v>2.4554477632712128</v>
      </c>
      <c r="G68">
        <v>5.0690367999999992</v>
      </c>
      <c r="H68">
        <v>-4.6252951999999992</v>
      </c>
      <c r="I68">
        <v>-2.8335931999999988</v>
      </c>
      <c r="J68">
        <v>7.1608688000000011</v>
      </c>
      <c r="K68">
        <v>-4.5695636000000004</v>
      </c>
      <c r="L68">
        <v>-19.523164000000001</v>
      </c>
      <c r="M68">
        <v>-1.9398169600000019</v>
      </c>
      <c r="N68">
        <v>-17.557904000000001</v>
      </c>
      <c r="O68">
        <v>-29.939276</v>
      </c>
      <c r="P68">
        <v>30.188196000000001</v>
      </c>
      <c r="Q68">
        <v>-11.531675999999999</v>
      </c>
      <c r="R68">
        <v>11.023508</v>
      </c>
      <c r="S68">
        <v>11.365631999999991</v>
      </c>
      <c r="T68">
        <v>-9.8013359999999992</v>
      </c>
      <c r="U68">
        <v>-174.65969999999999</v>
      </c>
      <c r="V68">
        <v>90.76080000000006</v>
      </c>
      <c r="W68">
        <v>207.81115</v>
      </c>
      <c r="X68">
        <v>128.7206000000001</v>
      </c>
      <c r="Y68">
        <v>-136.9092</v>
      </c>
      <c r="Z68">
        <v>168.99750000000009</v>
      </c>
      <c r="AA68">
        <v>-650.59039499999994</v>
      </c>
      <c r="AB68">
        <v>-241.15049999999979</v>
      </c>
      <c r="AC68">
        <v>-19.029999999999941</v>
      </c>
      <c r="AD68">
        <v>-533.24149999999997</v>
      </c>
      <c r="AE68">
        <v>378.36274999999989</v>
      </c>
      <c r="AF68">
        <v>-585.91505000000006</v>
      </c>
      <c r="AG68">
        <v>-1491.2572500000001</v>
      </c>
      <c r="AH68">
        <v>-24.923150000000039</v>
      </c>
      <c r="AI68">
        <v>-0.83653483999999978</v>
      </c>
      <c r="AJ68">
        <v>-4.3674575999999998</v>
      </c>
      <c r="AK68">
        <v>0.73308027999999981</v>
      </c>
      <c r="AL68">
        <v>-5.0691115999999976</v>
      </c>
      <c r="AM68">
        <v>2.0780187999999988</v>
      </c>
      <c r="AN68">
        <v>-1.4420276000000001</v>
      </c>
      <c r="AO68">
        <v>0.14626248</v>
      </c>
      <c r="AP68">
        <v>14.002295999999991</v>
      </c>
      <c r="AQ68">
        <v>2.1349743999999991</v>
      </c>
      <c r="AR68">
        <v>0.11088204</v>
      </c>
      <c r="AS68">
        <v>0.19571643999999999</v>
      </c>
      <c r="AT68">
        <v>34.033276000000001</v>
      </c>
    </row>
    <row r="69" spans="1:46" x14ac:dyDescent="0.25">
      <c r="A69">
        <v>67</v>
      </c>
      <c r="B69">
        <v>9.5596500000000031</v>
      </c>
      <c r="C69">
        <v>0.54767608791208799</v>
      </c>
      <c r="D69">
        <v>0.76572139118335913</v>
      </c>
      <c r="E69">
        <v>-1.478125893594854E-3</v>
      </c>
      <c r="F69">
        <v>2.349323162435248</v>
      </c>
      <c r="G69">
        <v>4.9011600000000008</v>
      </c>
      <c r="H69">
        <v>-4.5381640000000001</v>
      </c>
      <c r="I69">
        <v>-2.634134</v>
      </c>
      <c r="J69">
        <v>7.2840591999999997</v>
      </c>
      <c r="K69">
        <v>-4.7011811999999997</v>
      </c>
      <c r="L69">
        <v>-19.361091999999999</v>
      </c>
      <c r="M69">
        <v>-2.5654879999999989</v>
      </c>
      <c r="N69">
        <v>-17.790472000000001</v>
      </c>
      <c r="O69">
        <v>-29.957979999999999</v>
      </c>
      <c r="P69">
        <v>29.675276</v>
      </c>
      <c r="Q69">
        <v>-11.166776</v>
      </c>
      <c r="R69">
        <v>10.460027200000001</v>
      </c>
      <c r="S69">
        <v>9.9320760000000021</v>
      </c>
      <c r="T69">
        <v>-9.8256399999999999</v>
      </c>
      <c r="U69">
        <v>-174.21350000000001</v>
      </c>
      <c r="V69">
        <v>90.915900000000065</v>
      </c>
      <c r="W69">
        <v>212.20757</v>
      </c>
      <c r="X69">
        <v>138.50030000000001</v>
      </c>
      <c r="Y69">
        <v>-138.7621</v>
      </c>
      <c r="Z69">
        <v>178.89349999999999</v>
      </c>
      <c r="AA69">
        <v>-641.02648499999998</v>
      </c>
      <c r="AB69">
        <v>-228.7524999999998</v>
      </c>
      <c r="AC69">
        <v>-9.5849999999999351</v>
      </c>
      <c r="AD69">
        <v>-533.99950000000001</v>
      </c>
      <c r="AE69">
        <v>381.7832499999999</v>
      </c>
      <c r="AF69">
        <v>-586.89835000000005</v>
      </c>
      <c r="AG69">
        <v>-1556.2317499999999</v>
      </c>
      <c r="AH69">
        <v>-33.58225000000003</v>
      </c>
      <c r="AI69">
        <v>-0.76842764000000019</v>
      </c>
      <c r="AJ69">
        <v>-4.2545504000000003</v>
      </c>
      <c r="AK69">
        <v>0.69391372000000007</v>
      </c>
      <c r="AL69">
        <v>-4.5769812000000014</v>
      </c>
      <c r="AM69">
        <v>1.8701220000000001</v>
      </c>
      <c r="AN69">
        <v>-1.3978316</v>
      </c>
      <c r="AO69">
        <v>0.13017031200000009</v>
      </c>
      <c r="AP69">
        <v>12.5138616</v>
      </c>
      <c r="AQ69">
        <v>2.0138536</v>
      </c>
      <c r="AR69">
        <v>0.11391308</v>
      </c>
      <c r="AS69">
        <v>0.20301236</v>
      </c>
      <c r="AT69">
        <v>33.066476000000009</v>
      </c>
    </row>
    <row r="70" spans="1:46" x14ac:dyDescent="0.25">
      <c r="A70">
        <v>68</v>
      </c>
      <c r="B70">
        <v>9.5623500000000003</v>
      </c>
      <c r="C70">
        <v>0.54783182417582421</v>
      </c>
      <c r="D70">
        <v>0.80061170425448247</v>
      </c>
      <c r="E70">
        <v>6.9655589886645139E-4</v>
      </c>
      <c r="F70">
        <v>2.2681566271901139</v>
      </c>
      <c r="G70">
        <v>4.7347200000000011</v>
      </c>
      <c r="H70">
        <v>-4.4506360000000003</v>
      </c>
      <c r="I70">
        <v>-2.4230060000000009</v>
      </c>
      <c r="J70">
        <v>7.4336367999999986</v>
      </c>
      <c r="K70">
        <v>-4.8375347999999994</v>
      </c>
      <c r="L70">
        <v>-19.172668000000002</v>
      </c>
      <c r="M70">
        <v>-3.164611999999996</v>
      </c>
      <c r="N70">
        <v>-17.988688</v>
      </c>
      <c r="O70">
        <v>-29.95102</v>
      </c>
      <c r="P70">
        <v>29.161604000000001</v>
      </c>
      <c r="Q70">
        <v>-10.795004</v>
      </c>
      <c r="R70">
        <v>9.8958088000000028</v>
      </c>
      <c r="S70">
        <v>8.3243040000000104</v>
      </c>
      <c r="T70">
        <v>-9.873759999999999</v>
      </c>
      <c r="U70">
        <v>-173.36150000000001</v>
      </c>
      <c r="V70">
        <v>91.068600000000046</v>
      </c>
      <c r="W70">
        <v>216.40403000000001</v>
      </c>
      <c r="X70">
        <v>148.4162</v>
      </c>
      <c r="Y70">
        <v>-140.04339999999999</v>
      </c>
      <c r="Z70">
        <v>188.5114999999999</v>
      </c>
      <c r="AA70">
        <v>-629.62381500000004</v>
      </c>
      <c r="AB70">
        <v>-215.07249999999991</v>
      </c>
      <c r="AC70">
        <v>6.0000000000025373E-2</v>
      </c>
      <c r="AD70">
        <v>-532.53549999999996</v>
      </c>
      <c r="AE70">
        <v>381.45174999999989</v>
      </c>
      <c r="AF70">
        <v>-586.13964999999996</v>
      </c>
      <c r="AG70">
        <v>-1608.958249999999</v>
      </c>
      <c r="AH70">
        <v>-39.772750000000023</v>
      </c>
      <c r="AI70">
        <v>-0.70265756000000046</v>
      </c>
      <c r="AJ70">
        <v>-4.1425616000000014</v>
      </c>
      <c r="AK70">
        <v>0.65475388000000034</v>
      </c>
      <c r="AL70">
        <v>-4.1358348000000031</v>
      </c>
      <c r="AM70">
        <v>1.661478000000002</v>
      </c>
      <c r="AN70">
        <v>-1.3508564000000001</v>
      </c>
      <c r="AO70">
        <v>0.1093872480000002</v>
      </c>
      <c r="AP70">
        <v>11.034446400000011</v>
      </c>
      <c r="AQ70">
        <v>1.8876544000000011</v>
      </c>
      <c r="AR70">
        <v>0.11160932</v>
      </c>
      <c r="AS70">
        <v>0.20235644</v>
      </c>
      <c r="AT70">
        <v>31.555004000000011</v>
      </c>
    </row>
    <row r="71" spans="1:46" x14ac:dyDescent="0.25">
      <c r="A71">
        <v>69</v>
      </c>
      <c r="B71">
        <v>9.5650499999999976</v>
      </c>
      <c r="C71">
        <v>0.54798756043956043</v>
      </c>
      <c r="D71">
        <v>0.81086971834331178</v>
      </c>
      <c r="E71">
        <v>9.4031104520132141E-4</v>
      </c>
      <c r="F71">
        <v>2.166127618201763</v>
      </c>
      <c r="G71">
        <v>4.5682799999999997</v>
      </c>
      <c r="H71">
        <v>-4.3631080000000004</v>
      </c>
      <c r="I71">
        <v>-2.211878</v>
      </c>
      <c r="J71">
        <v>7.583214400000001</v>
      </c>
      <c r="K71">
        <v>-4.9738883999999999</v>
      </c>
      <c r="L71">
        <v>-18.984244</v>
      </c>
      <c r="M71">
        <v>-3.7637360000000011</v>
      </c>
      <c r="N71">
        <v>-18.186903999999998</v>
      </c>
      <c r="O71">
        <v>-29.94406</v>
      </c>
      <c r="P71">
        <v>28.647932000000001</v>
      </c>
      <c r="Q71">
        <v>-10.423232</v>
      </c>
      <c r="R71">
        <v>9.3315903999999996</v>
      </c>
      <c r="S71">
        <v>6.7165319999999964</v>
      </c>
      <c r="T71">
        <v>-9.9218799999999998</v>
      </c>
      <c r="U71">
        <v>-172.5095</v>
      </c>
      <c r="V71">
        <v>91.221300000000014</v>
      </c>
      <c r="W71">
        <v>220.60049000000001</v>
      </c>
      <c r="X71">
        <v>158.33210000000011</v>
      </c>
      <c r="Y71">
        <v>-141.32470000000001</v>
      </c>
      <c r="Z71">
        <v>198.12950000000001</v>
      </c>
      <c r="AA71">
        <v>-618.22114499999998</v>
      </c>
      <c r="AB71">
        <v>-201.39249999999981</v>
      </c>
      <c r="AC71">
        <v>9.7050000000001226</v>
      </c>
      <c r="AD71">
        <v>-531.07150000000001</v>
      </c>
      <c r="AE71">
        <v>381.12024999999983</v>
      </c>
      <c r="AF71">
        <v>-585.38094999999998</v>
      </c>
      <c r="AG71">
        <v>-1661.6847499999999</v>
      </c>
      <c r="AH71">
        <v>-45.963250000000087</v>
      </c>
      <c r="AI71">
        <v>-0.63688747999999995</v>
      </c>
      <c r="AJ71">
        <v>-4.0305727999999998</v>
      </c>
      <c r="AK71">
        <v>0.61559403999999995</v>
      </c>
      <c r="AL71">
        <v>-3.6946883999999991</v>
      </c>
      <c r="AM71">
        <v>1.452834</v>
      </c>
      <c r="AN71">
        <v>-1.3038812</v>
      </c>
      <c r="AO71">
        <v>8.8604183999999961E-2</v>
      </c>
      <c r="AP71">
        <v>9.5550311999999966</v>
      </c>
      <c r="AQ71">
        <v>1.7614552000000001</v>
      </c>
      <c r="AR71">
        <v>0.10930556</v>
      </c>
      <c r="AS71">
        <v>0.20170051999999999</v>
      </c>
      <c r="AT71">
        <v>30.043531999999999</v>
      </c>
    </row>
    <row r="72" spans="1:46" x14ac:dyDescent="0.25">
      <c r="A72">
        <v>70</v>
      </c>
      <c r="B72">
        <v>9.5677499999999949</v>
      </c>
      <c r="C72">
        <v>0.54814329670329676</v>
      </c>
      <c r="D72">
        <v>0.80664653962578425</v>
      </c>
      <c r="E72">
        <v>-2.7962054960417111E-3</v>
      </c>
      <c r="F72">
        <v>2.0463898628621759</v>
      </c>
      <c r="G72">
        <v>4.40184</v>
      </c>
      <c r="H72">
        <v>-4.2755799999999997</v>
      </c>
      <c r="I72">
        <v>-2.0007500000000009</v>
      </c>
      <c r="J72">
        <v>7.7327919999999999</v>
      </c>
      <c r="K72">
        <v>-5.1102420000000004</v>
      </c>
      <c r="L72">
        <v>-18.795819999999999</v>
      </c>
      <c r="M72">
        <v>-4.3628599999999977</v>
      </c>
      <c r="N72">
        <v>-18.385120000000001</v>
      </c>
      <c r="O72">
        <v>-29.937100000000001</v>
      </c>
      <c r="P72">
        <v>28.134260000000001</v>
      </c>
      <c r="Q72">
        <v>-10.051460000000001</v>
      </c>
      <c r="R72">
        <v>8.7673720000000017</v>
      </c>
      <c r="S72">
        <v>5.1087600000000046</v>
      </c>
      <c r="T72">
        <v>-9.9699999999999989</v>
      </c>
      <c r="U72">
        <v>-171.6575</v>
      </c>
      <c r="V72">
        <v>91.373999999999995</v>
      </c>
      <c r="W72">
        <v>224.79695000000001</v>
      </c>
      <c r="X72">
        <v>168.24799999999999</v>
      </c>
      <c r="Y72">
        <v>-142.60599999999991</v>
      </c>
      <c r="Z72">
        <v>207.7474999999998</v>
      </c>
      <c r="AA72">
        <v>-606.81847500000003</v>
      </c>
      <c r="AB72">
        <v>-187.71249999999989</v>
      </c>
      <c r="AC72">
        <v>19.35000000000008</v>
      </c>
      <c r="AD72">
        <v>-529.60750000000007</v>
      </c>
      <c r="AE72">
        <v>380.78874999999982</v>
      </c>
      <c r="AF72">
        <v>-584.62224999999989</v>
      </c>
      <c r="AG72">
        <v>-1714.4112500000001</v>
      </c>
      <c r="AH72">
        <v>-52.153750000000073</v>
      </c>
      <c r="AI72">
        <v>-0.57111740000000022</v>
      </c>
      <c r="AJ72">
        <v>-3.918584000000001</v>
      </c>
      <c r="AK72">
        <v>0.57643420000000023</v>
      </c>
      <c r="AL72">
        <v>-3.2535420000000008</v>
      </c>
      <c r="AM72">
        <v>1.244190000000001</v>
      </c>
      <c r="AN72">
        <v>-1.2569060000000001</v>
      </c>
      <c r="AO72">
        <v>6.7821120000000068E-2</v>
      </c>
      <c r="AP72">
        <v>8.0756160000000037</v>
      </c>
      <c r="AQ72">
        <v>1.635256</v>
      </c>
      <c r="AR72">
        <v>0.10700179999999999</v>
      </c>
      <c r="AS72">
        <v>0.20104459999999999</v>
      </c>
      <c r="AT72">
        <v>28.532060000000001</v>
      </c>
    </row>
    <row r="73" spans="1:46" x14ac:dyDescent="0.25">
      <c r="A73">
        <v>71</v>
      </c>
      <c r="B73">
        <v>9.5703499999999924</v>
      </c>
      <c r="C73">
        <v>0.54830402197802197</v>
      </c>
      <c r="D73">
        <v>0.79871346663592924</v>
      </c>
      <c r="E73">
        <v>-3.7482646354897258E-3</v>
      </c>
      <c r="F73">
        <v>1.942361133966819</v>
      </c>
      <c r="G73">
        <v>4.2361767999999991</v>
      </c>
      <c r="H73">
        <v>-4.1879475999999993</v>
      </c>
      <c r="I73">
        <v>-1.786943919999999</v>
      </c>
      <c r="J73">
        <v>7.8889940000000021</v>
      </c>
      <c r="K73">
        <v>-5.2471200000000007</v>
      </c>
      <c r="L73">
        <v>-18.60116</v>
      </c>
      <c r="M73">
        <v>-4.9534172000000032</v>
      </c>
      <c r="N73">
        <v>-18.573684</v>
      </c>
      <c r="O73">
        <v>-29.923696</v>
      </c>
      <c r="P73">
        <v>27.622727999999999</v>
      </c>
      <c r="Q73">
        <v>-9.6818479999999969</v>
      </c>
      <c r="R73">
        <v>8.2043495999999969</v>
      </c>
      <c r="S73">
        <v>3.474239999999988</v>
      </c>
      <c r="T73">
        <v>-10.02042</v>
      </c>
      <c r="U73">
        <v>-170.6994</v>
      </c>
      <c r="V73">
        <v>91.52949999999997</v>
      </c>
      <c r="W73">
        <v>228.92476500000001</v>
      </c>
      <c r="X73">
        <v>178.13610000000011</v>
      </c>
      <c r="Y73">
        <v>-143.70424999999989</v>
      </c>
      <c r="Z73">
        <v>217.25499999999991</v>
      </c>
      <c r="AA73">
        <v>-594.9306499999999</v>
      </c>
      <c r="AB73">
        <v>-173.83599999999981</v>
      </c>
      <c r="AC73">
        <v>28.946000000000168</v>
      </c>
      <c r="AD73">
        <v>-527.5095</v>
      </c>
      <c r="AE73">
        <v>379.51014999999978</v>
      </c>
      <c r="AF73">
        <v>-583.54224999999985</v>
      </c>
      <c r="AG73">
        <v>-1762.2507499999999</v>
      </c>
      <c r="AH73">
        <v>-57.296000000000092</v>
      </c>
      <c r="AI73">
        <v>-0.51572923999999998</v>
      </c>
      <c r="AJ73">
        <v>-3.8157844000000001</v>
      </c>
      <c r="AK73">
        <v>0.53865575999999993</v>
      </c>
      <c r="AL73">
        <v>-2.8748616</v>
      </c>
      <c r="AM73">
        <v>1.0433591999999989</v>
      </c>
      <c r="AN73">
        <v>-1.213538</v>
      </c>
      <c r="AO73">
        <v>4.6466227999999853E-2</v>
      </c>
      <c r="AP73">
        <v>6.6628891999999933</v>
      </c>
      <c r="AQ73">
        <v>1.5107023999999989</v>
      </c>
      <c r="AR73">
        <v>0.1039218919999999</v>
      </c>
      <c r="AS73">
        <v>0.1976923599999999</v>
      </c>
      <c r="AT73">
        <v>26.963247999999989</v>
      </c>
    </row>
    <row r="74" spans="1:46" x14ac:dyDescent="0.25">
      <c r="A74">
        <v>72</v>
      </c>
      <c r="B74">
        <v>9.572449999999991</v>
      </c>
      <c r="C74">
        <v>0.54848969230769229</v>
      </c>
      <c r="D74">
        <v>0.78674771625533901</v>
      </c>
      <c r="E74">
        <v>-2.5385056224200568E-3</v>
      </c>
      <c r="F74">
        <v>1.821505079278529</v>
      </c>
      <c r="G74">
        <v>4.0743976000000002</v>
      </c>
      <c r="H74">
        <v>-4.0997931999999997</v>
      </c>
      <c r="I74">
        <v>-1.55974744</v>
      </c>
      <c r="J74">
        <v>8.0783180000000012</v>
      </c>
      <c r="K74">
        <v>-5.3866199999999997</v>
      </c>
      <c r="L74">
        <v>-18.375319999999999</v>
      </c>
      <c r="M74">
        <v>-5.5011404000000006</v>
      </c>
      <c r="N74">
        <v>-18.713988000000001</v>
      </c>
      <c r="O74">
        <v>-29.878072</v>
      </c>
      <c r="P74">
        <v>27.121896</v>
      </c>
      <c r="Q74">
        <v>-9.3230360000000001</v>
      </c>
      <c r="R74">
        <v>7.6473072000000002</v>
      </c>
      <c r="S74">
        <v>1.7059799999999981</v>
      </c>
      <c r="T74">
        <v>-10.08234</v>
      </c>
      <c r="U74">
        <v>-169.21080000000001</v>
      </c>
      <c r="V74">
        <v>91.698999999999955</v>
      </c>
      <c r="W74">
        <v>232.70935499999999</v>
      </c>
      <c r="X74">
        <v>187.8852</v>
      </c>
      <c r="Y74">
        <v>-143.88724999999999</v>
      </c>
      <c r="Z74">
        <v>226.20999999999989</v>
      </c>
      <c r="AA74">
        <v>-580.61704999999995</v>
      </c>
      <c r="AB74">
        <v>-158.9769999999998</v>
      </c>
      <c r="AC74">
        <v>38.297000000000082</v>
      </c>
      <c r="AD74">
        <v>-522.24150000000009</v>
      </c>
      <c r="AE74">
        <v>373.49604999999991</v>
      </c>
      <c r="AF74">
        <v>-580.85574999999994</v>
      </c>
      <c r="AG74">
        <v>-1785.65525</v>
      </c>
      <c r="AH74">
        <v>-57.19700000000006</v>
      </c>
      <c r="AI74">
        <v>-0.51225067999999996</v>
      </c>
      <c r="AJ74">
        <v>-3.7589307999999999</v>
      </c>
      <c r="AK74">
        <v>0.50778432000000007</v>
      </c>
      <c r="AL74">
        <v>-2.8085111999999999</v>
      </c>
      <c r="AM74">
        <v>0.88159439999999978</v>
      </c>
      <c r="AN74">
        <v>-1.1882060000000001</v>
      </c>
      <c r="AO74">
        <v>2.2252195999999971E-2</v>
      </c>
      <c r="AP74">
        <v>5.5836043999999987</v>
      </c>
      <c r="AQ74">
        <v>1.3943768000000001</v>
      </c>
      <c r="AR74">
        <v>9.6961243999999988E-2</v>
      </c>
      <c r="AS74">
        <v>0.18085851999999999</v>
      </c>
      <c r="AT74">
        <v>25.107735999999999</v>
      </c>
    </row>
    <row r="75" spans="1:46" x14ac:dyDescent="0.25">
      <c r="A75">
        <v>73</v>
      </c>
      <c r="B75">
        <v>9.5745499999999897</v>
      </c>
      <c r="C75">
        <v>0.54867536263736261</v>
      </c>
      <c r="D75">
        <v>0.76914820485807966</v>
      </c>
      <c r="E75">
        <v>-4.6131260404317781E-3</v>
      </c>
      <c r="F75">
        <v>1.707342332418154</v>
      </c>
      <c r="G75">
        <v>3.9126183999999999</v>
      </c>
      <c r="H75">
        <v>-4.0116388000000001</v>
      </c>
      <c r="I75">
        <v>-1.332550960000001</v>
      </c>
      <c r="J75">
        <v>8.2676420000000004</v>
      </c>
      <c r="K75">
        <v>-5.5261199999999988</v>
      </c>
      <c r="L75">
        <v>-18.149480000000001</v>
      </c>
      <c r="M75">
        <v>-6.0488635999999971</v>
      </c>
      <c r="N75">
        <v>-18.854292000000001</v>
      </c>
      <c r="O75">
        <v>-29.832447999999999</v>
      </c>
      <c r="P75">
        <v>26.621064000000001</v>
      </c>
      <c r="Q75">
        <v>-8.9642240000000015</v>
      </c>
      <c r="R75">
        <v>7.0902648000000026</v>
      </c>
      <c r="S75">
        <v>-6.227999999999323E-2</v>
      </c>
      <c r="T75">
        <v>-10.144259999999999</v>
      </c>
      <c r="U75">
        <v>-167.72219999999999</v>
      </c>
      <c r="V75">
        <v>91.868499999999955</v>
      </c>
      <c r="W75">
        <v>236.493945</v>
      </c>
      <c r="X75">
        <v>197.63429999999991</v>
      </c>
      <c r="Y75">
        <v>-144.07024999999999</v>
      </c>
      <c r="Z75">
        <v>235.16499999999979</v>
      </c>
      <c r="AA75">
        <v>-566.30345</v>
      </c>
      <c r="AB75">
        <v>-144.11799999999991</v>
      </c>
      <c r="AC75">
        <v>47.647999999999968</v>
      </c>
      <c r="AD75">
        <v>-516.97350000000006</v>
      </c>
      <c r="AE75">
        <v>367.48194999999993</v>
      </c>
      <c r="AF75">
        <v>-578.16925000000003</v>
      </c>
      <c r="AG75">
        <v>-1809.0597499999999</v>
      </c>
      <c r="AH75">
        <v>-57.09800000000002</v>
      </c>
      <c r="AI75">
        <v>-0.50877212000000005</v>
      </c>
      <c r="AJ75">
        <v>-3.7020772000000002</v>
      </c>
      <c r="AK75">
        <v>0.47691288000000021</v>
      </c>
      <c r="AL75">
        <v>-2.7421608000000002</v>
      </c>
      <c r="AM75">
        <v>0.71982960000000062</v>
      </c>
      <c r="AN75">
        <v>-1.162874</v>
      </c>
      <c r="AO75">
        <v>-1.9618359999999039E-3</v>
      </c>
      <c r="AP75">
        <v>4.5043196000000041</v>
      </c>
      <c r="AQ75">
        <v>1.2780512000000011</v>
      </c>
      <c r="AR75">
        <v>9.000059600000003E-2</v>
      </c>
      <c r="AS75">
        <v>0.16402468000000009</v>
      </c>
      <c r="AT75">
        <v>23.252224000000009</v>
      </c>
    </row>
    <row r="76" spans="1:46" x14ac:dyDescent="0.25">
      <c r="A76">
        <v>74</v>
      </c>
      <c r="B76">
        <v>9.5766499999999866</v>
      </c>
      <c r="C76">
        <v>0.54886103296703292</v>
      </c>
      <c r="D76">
        <v>0.74425624419642389</v>
      </c>
      <c r="E76">
        <v>-4.9317985208732883E-3</v>
      </c>
      <c r="F76">
        <v>1.580018203393055</v>
      </c>
      <c r="G76">
        <v>3.7508391999999988</v>
      </c>
      <c r="H76">
        <v>-3.9234844</v>
      </c>
      <c r="I76">
        <v>-1.105354479999999</v>
      </c>
      <c r="J76">
        <v>8.4569660000000013</v>
      </c>
      <c r="K76">
        <v>-5.6656200000000014</v>
      </c>
      <c r="L76">
        <v>-17.923639999999999</v>
      </c>
      <c r="M76">
        <v>-6.5965868000000034</v>
      </c>
      <c r="N76">
        <v>-18.994596000000001</v>
      </c>
      <c r="O76">
        <v>-29.786823999999999</v>
      </c>
      <c r="P76">
        <v>26.120231999999991</v>
      </c>
      <c r="Q76">
        <v>-8.6054119999999994</v>
      </c>
      <c r="R76">
        <v>6.5332223999999979</v>
      </c>
      <c r="S76">
        <v>-1.8305400000000089</v>
      </c>
      <c r="T76">
        <v>-10.20618</v>
      </c>
      <c r="U76">
        <v>-166.2336</v>
      </c>
      <c r="V76">
        <v>92.037999999999954</v>
      </c>
      <c r="W76">
        <v>240.27853500000001</v>
      </c>
      <c r="X76">
        <v>207.38339999999999</v>
      </c>
      <c r="Y76">
        <v>-144.25325000000001</v>
      </c>
      <c r="Z76">
        <v>244.11999999999989</v>
      </c>
      <c r="AA76">
        <v>-551.98984999999993</v>
      </c>
      <c r="AB76">
        <v>-129.25899999999979</v>
      </c>
      <c r="AC76">
        <v>56.999000000000009</v>
      </c>
      <c r="AD76">
        <v>-511.70550000000009</v>
      </c>
      <c r="AE76">
        <v>361.46784999999988</v>
      </c>
      <c r="AF76">
        <v>-575.48275000000001</v>
      </c>
      <c r="AG76">
        <v>-1832.46425</v>
      </c>
      <c r="AH76">
        <v>-56.998999999999981</v>
      </c>
      <c r="AI76">
        <v>-0.50529356000000003</v>
      </c>
      <c r="AJ76">
        <v>-3.6452236</v>
      </c>
      <c r="AK76">
        <v>0.4460414399999999</v>
      </c>
      <c r="AL76">
        <v>-2.6758104</v>
      </c>
      <c r="AM76">
        <v>0.55806479999999914</v>
      </c>
      <c r="AN76">
        <v>-1.1375420000000001</v>
      </c>
      <c r="AO76">
        <v>-2.617586800000013E-2</v>
      </c>
      <c r="AP76">
        <v>3.4250347999999939</v>
      </c>
      <c r="AQ76">
        <v>1.1617256</v>
      </c>
      <c r="AR76">
        <v>8.3039947999999961E-2</v>
      </c>
      <c r="AS76">
        <v>0.14719083999999991</v>
      </c>
      <c r="AT76">
        <v>21.39671199999999</v>
      </c>
    </row>
    <row r="77" spans="1:46" x14ac:dyDescent="0.25">
      <c r="A77">
        <v>75</v>
      </c>
      <c r="B77">
        <v>9.5787499999999852</v>
      </c>
      <c r="C77">
        <v>0.54904670329670324</v>
      </c>
      <c r="D77">
        <v>0.71870525301525645</v>
      </c>
      <c r="E77">
        <v>-5.2293017378862309E-3</v>
      </c>
      <c r="F77">
        <v>1.4806654423656189</v>
      </c>
      <c r="G77">
        <v>3.5890599999999999</v>
      </c>
      <c r="H77">
        <v>-3.8353299999999999</v>
      </c>
      <c r="I77">
        <v>-0.87815799999999999</v>
      </c>
      <c r="J77">
        <v>8.6462900000000005</v>
      </c>
      <c r="K77">
        <v>-5.8051199999999996</v>
      </c>
      <c r="L77">
        <v>-17.697800000000001</v>
      </c>
      <c r="M77">
        <v>-7.1443099999999999</v>
      </c>
      <c r="N77">
        <v>-19.134899999999998</v>
      </c>
      <c r="O77">
        <v>-29.741199999999999</v>
      </c>
      <c r="P77">
        <v>25.619399999999999</v>
      </c>
      <c r="Q77">
        <v>-8.2466000000000008</v>
      </c>
      <c r="R77">
        <v>5.9761800000000003</v>
      </c>
      <c r="S77">
        <v>-3.5988000000000002</v>
      </c>
      <c r="T77">
        <v>-10.2681</v>
      </c>
      <c r="U77">
        <v>-164.745</v>
      </c>
      <c r="V77">
        <v>92.207499999999939</v>
      </c>
      <c r="W77">
        <v>244.06312500000001</v>
      </c>
      <c r="X77">
        <v>217.13249999999991</v>
      </c>
      <c r="Y77">
        <v>-144.43625</v>
      </c>
      <c r="Z77">
        <v>253.0749999999999</v>
      </c>
      <c r="AA77">
        <v>-537.67624999999998</v>
      </c>
      <c r="AB77">
        <v>-114.39999999999981</v>
      </c>
      <c r="AC77">
        <v>66.349999999999909</v>
      </c>
      <c r="AD77">
        <v>-506.43750000000011</v>
      </c>
      <c r="AE77">
        <v>355.45375000000001</v>
      </c>
      <c r="AF77">
        <v>-572.7962500000001</v>
      </c>
      <c r="AG77">
        <v>-1855.8687500000001</v>
      </c>
      <c r="AH77">
        <v>-56.899999999999949</v>
      </c>
      <c r="AI77">
        <v>-0.50181500000000001</v>
      </c>
      <c r="AJ77">
        <v>-3.5883699999999998</v>
      </c>
      <c r="AK77">
        <v>0.41516999999999998</v>
      </c>
      <c r="AL77">
        <v>-2.6094599999999999</v>
      </c>
      <c r="AM77">
        <v>0.39629999999999999</v>
      </c>
      <c r="AN77">
        <v>-1.1122099999999999</v>
      </c>
      <c r="AO77">
        <v>-5.0389899999999987E-2</v>
      </c>
      <c r="AP77">
        <v>2.3457499999999998</v>
      </c>
      <c r="AQ77">
        <v>1.0454000000000001</v>
      </c>
      <c r="AR77">
        <v>7.6079300000000002E-2</v>
      </c>
      <c r="AS77">
        <v>0.130357</v>
      </c>
      <c r="AT77">
        <v>19.5412</v>
      </c>
    </row>
    <row r="78" spans="1:46" x14ac:dyDescent="0.25">
      <c r="A78">
        <v>76</v>
      </c>
      <c r="B78">
        <v>9.5811499999999903</v>
      </c>
      <c r="C78">
        <v>0.54925703296703299</v>
      </c>
      <c r="D78">
        <v>0.68698783499846172</v>
      </c>
      <c r="E78">
        <v>-1.2644718990913109E-2</v>
      </c>
      <c r="F78">
        <v>1.386298818246581</v>
      </c>
      <c r="G78">
        <v>3.4345288000000012</v>
      </c>
      <c r="H78">
        <v>-3.7464460000000011</v>
      </c>
      <c r="I78">
        <v>-0.6367532800000012</v>
      </c>
      <c r="J78">
        <v>8.8738603999999999</v>
      </c>
      <c r="K78">
        <v>-5.9429375999999987</v>
      </c>
      <c r="L78">
        <v>-17.437736000000001</v>
      </c>
      <c r="M78">
        <v>-7.6289251999999976</v>
      </c>
      <c r="N78">
        <v>-19.214244000000001</v>
      </c>
      <c r="O78">
        <v>-29.659431999999999</v>
      </c>
      <c r="P78">
        <v>25.147872</v>
      </c>
      <c r="Q78">
        <v>-7.9229408000000019</v>
      </c>
      <c r="R78">
        <v>5.4334536000000027</v>
      </c>
      <c r="S78">
        <v>-5.3938079999999911</v>
      </c>
      <c r="T78">
        <v>-10.315428000000001</v>
      </c>
      <c r="U78">
        <v>-162.61080000000001</v>
      </c>
      <c r="V78">
        <v>92.409099999999953</v>
      </c>
      <c r="W78">
        <v>247.334115</v>
      </c>
      <c r="X78">
        <v>226.25999999999991</v>
      </c>
      <c r="Y78">
        <v>-143.33914999999999</v>
      </c>
      <c r="Z78">
        <v>261.09399999999988</v>
      </c>
      <c r="AA78">
        <v>-520.59365000000014</v>
      </c>
      <c r="AB78">
        <v>-99.225999999999999</v>
      </c>
      <c r="AC78">
        <v>74.713999999999885</v>
      </c>
      <c r="AD78">
        <v>-496.70550000000009</v>
      </c>
      <c r="AE78">
        <v>344.37925000000013</v>
      </c>
      <c r="AF78">
        <v>-568.19335000000012</v>
      </c>
      <c r="AG78">
        <v>-1846.96325</v>
      </c>
      <c r="AH78">
        <v>-50.179999999999978</v>
      </c>
      <c r="AI78">
        <v>-0.54074131999999986</v>
      </c>
      <c r="AJ78">
        <v>-3.5258259999999999</v>
      </c>
      <c r="AK78">
        <v>0.38747256000000019</v>
      </c>
      <c r="AL78">
        <v>-2.7465551999999991</v>
      </c>
      <c r="AM78">
        <v>0.2709556800000007</v>
      </c>
      <c r="AN78">
        <v>-1.0835561600000001</v>
      </c>
      <c r="AO78">
        <v>-6.8745843999999903E-2</v>
      </c>
      <c r="AP78">
        <v>1.6234920800000039</v>
      </c>
      <c r="AQ78">
        <v>0.94631648000000057</v>
      </c>
      <c r="AR78">
        <v>6.8710964000000041E-2</v>
      </c>
      <c r="AS78">
        <v>0.1051365040000001</v>
      </c>
      <c r="AT78">
        <v>17.71916800000001</v>
      </c>
    </row>
    <row r="79" spans="1:46" x14ac:dyDescent="0.25">
      <c r="A79">
        <v>77</v>
      </c>
      <c r="B79">
        <v>9.5835499999999936</v>
      </c>
      <c r="C79">
        <v>0.54946736263736262</v>
      </c>
      <c r="D79">
        <v>0.5842298449163208</v>
      </c>
      <c r="E79">
        <v>-1.9558903892241471E-2</v>
      </c>
      <c r="F79">
        <v>1.259421042317123</v>
      </c>
      <c r="G79">
        <v>3.2799975999999988</v>
      </c>
      <c r="H79">
        <v>-3.657562</v>
      </c>
      <c r="I79">
        <v>-0.39534855999999902</v>
      </c>
      <c r="J79">
        <v>9.101430800000001</v>
      </c>
      <c r="K79">
        <v>-6.0807551999999996</v>
      </c>
      <c r="L79">
        <v>-17.177672000000001</v>
      </c>
      <c r="M79">
        <v>-8.1135404000000015</v>
      </c>
      <c r="N79">
        <v>-19.293588</v>
      </c>
      <c r="O79">
        <v>-29.577663999999999</v>
      </c>
      <c r="P79">
        <v>24.676344</v>
      </c>
      <c r="Q79">
        <v>-7.5992815999999994</v>
      </c>
      <c r="R79">
        <v>4.8907271999999979</v>
      </c>
      <c r="S79">
        <v>-7.1888160000000063</v>
      </c>
      <c r="T79">
        <v>-10.362755999999999</v>
      </c>
      <c r="U79">
        <v>-160.47659999999999</v>
      </c>
      <c r="V79">
        <v>92.610699999999966</v>
      </c>
      <c r="W79">
        <v>250.60510500000001</v>
      </c>
      <c r="X79">
        <v>235.38749999999999</v>
      </c>
      <c r="Y79">
        <v>-142.24205000000001</v>
      </c>
      <c r="Z79">
        <v>269.113</v>
      </c>
      <c r="AA79">
        <v>-503.51105000000001</v>
      </c>
      <c r="AB79">
        <v>-84.05199999999995</v>
      </c>
      <c r="AC79">
        <v>83.077999999999975</v>
      </c>
      <c r="AD79">
        <v>-486.9735</v>
      </c>
      <c r="AE79">
        <v>333.30475000000001</v>
      </c>
      <c r="AF79">
        <v>-563.59045000000003</v>
      </c>
      <c r="AG79">
        <v>-1838.0577499999999</v>
      </c>
      <c r="AH79">
        <v>-43.459999999999908</v>
      </c>
      <c r="AI79">
        <v>-0.57966764000000015</v>
      </c>
      <c r="AJ79">
        <v>-3.463282</v>
      </c>
      <c r="AK79">
        <v>0.35977511999999989</v>
      </c>
      <c r="AL79">
        <v>-2.8836504000000009</v>
      </c>
      <c r="AM79">
        <v>0.1456113599999995</v>
      </c>
      <c r="AN79">
        <v>-1.0549023200000001</v>
      </c>
      <c r="AO79">
        <v>-8.7101788000000083E-2</v>
      </c>
      <c r="AP79">
        <v>0.9012341599999969</v>
      </c>
      <c r="AQ79">
        <v>0.8472329599999997</v>
      </c>
      <c r="AR79">
        <v>6.1342627999999969E-2</v>
      </c>
      <c r="AS79">
        <v>7.99160079999999E-2</v>
      </c>
      <c r="AT79">
        <v>15.897135999999991</v>
      </c>
    </row>
    <row r="80" spans="1:46" x14ac:dyDescent="0.25">
      <c r="A80">
        <v>78</v>
      </c>
      <c r="B80">
        <v>9.5859499999999986</v>
      </c>
      <c r="C80">
        <v>0.54967769230769237</v>
      </c>
      <c r="D80">
        <v>0.5510623451170229</v>
      </c>
      <c r="E80">
        <v>-1.8359776383529019E-2</v>
      </c>
      <c r="F80">
        <v>1.140902520529629</v>
      </c>
      <c r="G80">
        <v>3.1254664000000001</v>
      </c>
      <c r="H80">
        <v>-3.5686779999999998</v>
      </c>
      <c r="I80">
        <v>-0.15394384000000019</v>
      </c>
      <c r="J80">
        <v>9.3290012000000004</v>
      </c>
      <c r="K80">
        <v>-6.2185727999999996</v>
      </c>
      <c r="L80">
        <v>-16.917608000000001</v>
      </c>
      <c r="M80">
        <v>-8.5981555999999983</v>
      </c>
      <c r="N80">
        <v>-19.372931999999999</v>
      </c>
      <c r="O80">
        <v>-29.495895999999998</v>
      </c>
      <c r="P80">
        <v>24.204816000000001</v>
      </c>
      <c r="Q80">
        <v>-7.2756223999999996</v>
      </c>
      <c r="R80">
        <v>4.3480008000000003</v>
      </c>
      <c r="S80">
        <v>-8.9838239999999967</v>
      </c>
      <c r="T80">
        <v>-10.410083999999999</v>
      </c>
      <c r="U80">
        <v>-158.3424</v>
      </c>
      <c r="V80">
        <v>92.812299999999979</v>
      </c>
      <c r="W80">
        <v>253.87609499999999</v>
      </c>
      <c r="X80">
        <v>244.5149999999999</v>
      </c>
      <c r="Y80">
        <v>-141.14494999999999</v>
      </c>
      <c r="Z80">
        <v>277.13200000000001</v>
      </c>
      <c r="AA80">
        <v>-486.42845000000011</v>
      </c>
      <c r="AB80">
        <v>-68.8780000000001</v>
      </c>
      <c r="AC80">
        <v>91.441999999999936</v>
      </c>
      <c r="AD80">
        <v>-477.24149999999997</v>
      </c>
      <c r="AE80">
        <v>322.23025000000013</v>
      </c>
      <c r="AF80">
        <v>-558.98755000000006</v>
      </c>
      <c r="AG80">
        <v>-1829.1522500000001</v>
      </c>
      <c r="AH80">
        <v>-36.739999999999938</v>
      </c>
      <c r="AI80">
        <v>-0.61859396</v>
      </c>
      <c r="AJ80">
        <v>-3.400738</v>
      </c>
      <c r="AK80">
        <v>0.33207767999999999</v>
      </c>
      <c r="AL80">
        <v>-3.0207456000000001</v>
      </c>
      <c r="AM80">
        <v>2.026704000000018E-2</v>
      </c>
      <c r="AN80">
        <v>-1.02624848</v>
      </c>
      <c r="AO80">
        <v>-0.105457732</v>
      </c>
      <c r="AP80">
        <v>0.17897624000000081</v>
      </c>
      <c r="AQ80">
        <v>0.74814944000000017</v>
      </c>
      <c r="AR80">
        <v>5.3974292000000007E-2</v>
      </c>
      <c r="AS80">
        <v>5.4695512000000029E-2</v>
      </c>
      <c r="AT80">
        <v>14.075104</v>
      </c>
    </row>
    <row r="81" spans="1:46" x14ac:dyDescent="0.25">
      <c r="A81">
        <v>79</v>
      </c>
      <c r="B81">
        <v>9.5883500000000019</v>
      </c>
      <c r="C81">
        <v>0.549888021978022</v>
      </c>
      <c r="D81">
        <v>0.52284443397894598</v>
      </c>
      <c r="E81">
        <v>-1.646993871385348E-2</v>
      </c>
      <c r="F81">
        <v>1.0318668913052771</v>
      </c>
      <c r="G81">
        <v>2.9709352000000009</v>
      </c>
      <c r="H81">
        <v>-3.4797940000000009</v>
      </c>
      <c r="I81">
        <v>8.7460879999998631E-2</v>
      </c>
      <c r="J81">
        <v>9.5565715999999981</v>
      </c>
      <c r="K81">
        <v>-6.3563904000000004</v>
      </c>
      <c r="L81">
        <v>-16.657544000000001</v>
      </c>
      <c r="M81">
        <v>-9.0827707999999969</v>
      </c>
      <c r="N81">
        <v>-19.452276000000001</v>
      </c>
      <c r="O81">
        <v>-29.414128000000002</v>
      </c>
      <c r="P81">
        <v>23.733288000000002</v>
      </c>
      <c r="Q81">
        <v>-6.9519632000000016</v>
      </c>
      <c r="R81">
        <v>3.8052744000000032</v>
      </c>
      <c r="S81">
        <v>-10.778831999999991</v>
      </c>
      <c r="T81">
        <v>-10.457412</v>
      </c>
      <c r="U81">
        <v>-156.20820000000001</v>
      </c>
      <c r="V81">
        <v>93.013899999999992</v>
      </c>
      <c r="W81">
        <v>257.147085</v>
      </c>
      <c r="X81">
        <v>253.6424999999999</v>
      </c>
      <c r="Y81">
        <v>-140.04785000000001</v>
      </c>
      <c r="Z81">
        <v>285.15100000000001</v>
      </c>
      <c r="AA81">
        <v>-469.34585000000021</v>
      </c>
      <c r="AB81">
        <v>-53.704000000000271</v>
      </c>
      <c r="AC81">
        <v>99.805999999999898</v>
      </c>
      <c r="AD81">
        <v>-467.50950000000012</v>
      </c>
      <c r="AE81">
        <v>311.15575000000013</v>
      </c>
      <c r="AF81">
        <v>-554.38465000000008</v>
      </c>
      <c r="AG81">
        <v>-1820.24675</v>
      </c>
      <c r="AH81">
        <v>-30.019999999999971</v>
      </c>
      <c r="AI81">
        <v>-0.65752027999999973</v>
      </c>
      <c r="AJ81">
        <v>-3.338194000000001</v>
      </c>
      <c r="AK81">
        <v>0.30438024000000019</v>
      </c>
      <c r="AL81">
        <v>-3.1578407999999989</v>
      </c>
      <c r="AM81">
        <v>-0.1050772799999992</v>
      </c>
      <c r="AN81">
        <v>-0.9975946400000002</v>
      </c>
      <c r="AO81">
        <v>-0.1238136759999999</v>
      </c>
      <c r="AP81">
        <v>-0.54328167999999533</v>
      </c>
      <c r="AQ81">
        <v>0.64906592000000063</v>
      </c>
      <c r="AR81">
        <v>4.6605956000000053E-2</v>
      </c>
      <c r="AS81">
        <v>2.947501600000017E-2</v>
      </c>
      <c r="AT81">
        <v>12.25307200000001</v>
      </c>
    </row>
    <row r="82" spans="1:46" x14ac:dyDescent="0.25">
      <c r="A82">
        <v>80</v>
      </c>
      <c r="B82">
        <v>9.5907500000000017</v>
      </c>
      <c r="C82">
        <v>0.55011538461538467</v>
      </c>
      <c r="D82">
        <v>0.4904789900717979</v>
      </c>
      <c r="E82">
        <v>-1.6364092396710619E-2</v>
      </c>
      <c r="F82">
        <v>0.90764145121154183</v>
      </c>
      <c r="G82">
        <v>2.824592</v>
      </c>
      <c r="H82">
        <v>-3.390174</v>
      </c>
      <c r="I82">
        <v>0.33883200000000069</v>
      </c>
      <c r="J82">
        <v>9.8131200000000014</v>
      </c>
      <c r="K82">
        <v>-6.4882960000000001</v>
      </c>
      <c r="L82">
        <v>-16.372540000000001</v>
      </c>
      <c r="M82">
        <v>-9.5060920000000007</v>
      </c>
      <c r="N82">
        <v>-19.481259999999999</v>
      </c>
      <c r="O82">
        <v>-29.306719999999999</v>
      </c>
      <c r="P82">
        <v>23.302219999999998</v>
      </c>
      <c r="Q82">
        <v>-6.672839999999999</v>
      </c>
      <c r="R82">
        <v>3.2813039999999991</v>
      </c>
      <c r="S82">
        <v>-12.492179999999999</v>
      </c>
      <c r="T82">
        <v>-10.472099999999999</v>
      </c>
      <c r="U82">
        <v>-153.54225</v>
      </c>
      <c r="V82">
        <v>93.25200000000001</v>
      </c>
      <c r="W82">
        <v>259.91717499999999</v>
      </c>
      <c r="X82">
        <v>261.81599999999992</v>
      </c>
      <c r="Y82">
        <v>-137.80975000000001</v>
      </c>
      <c r="Z82">
        <v>292.14749999999998</v>
      </c>
      <c r="AA82">
        <v>-450.36799999999999</v>
      </c>
      <c r="AB82">
        <v>-39.000000000000099</v>
      </c>
      <c r="AC82">
        <v>106.79</v>
      </c>
      <c r="AD82">
        <v>-453.51749999999993</v>
      </c>
      <c r="AE82">
        <v>296.91975000000002</v>
      </c>
      <c r="AF82">
        <v>-547.80259999999998</v>
      </c>
      <c r="AG82">
        <v>-1789.6775</v>
      </c>
      <c r="AH82">
        <v>-19.197499999999941</v>
      </c>
      <c r="AI82">
        <v>-0.76156040000000036</v>
      </c>
      <c r="AJ82">
        <v>-3.3147099999999998</v>
      </c>
      <c r="AK82">
        <v>0.28650419999999999</v>
      </c>
      <c r="AL82">
        <v>-3.5446120000000012</v>
      </c>
      <c r="AM82">
        <v>-0.1770158000000002</v>
      </c>
      <c r="AN82">
        <v>-0.99144460000000001</v>
      </c>
      <c r="AO82">
        <v>-0.13794419999999999</v>
      </c>
      <c r="AP82">
        <v>-0.86769840000000065</v>
      </c>
      <c r="AQ82">
        <v>0.56458439999999976</v>
      </c>
      <c r="AR82">
        <v>3.9515799999999983E-2</v>
      </c>
      <c r="AS82">
        <v>-9.8892000000009098E-4</v>
      </c>
      <c r="AT82">
        <v>10.639328000000001</v>
      </c>
    </row>
    <row r="83" spans="1:46" x14ac:dyDescent="0.25">
      <c r="A83">
        <v>81</v>
      </c>
      <c r="B83">
        <v>9.5931499999999996</v>
      </c>
      <c r="C83">
        <v>0.55034615384615393</v>
      </c>
      <c r="D83">
        <v>0.46275630464904738</v>
      </c>
      <c r="E83">
        <v>-1.754599304894016E-2</v>
      </c>
      <c r="F83">
        <v>0.78668649176607364</v>
      </c>
      <c r="G83">
        <v>2.6798864</v>
      </c>
      <c r="H83">
        <v>-3.3004068000000002</v>
      </c>
      <c r="I83">
        <v>0.5921963999999994</v>
      </c>
      <c r="J83">
        <v>10.075464</v>
      </c>
      <c r="K83">
        <v>-6.6190191999999994</v>
      </c>
      <c r="L83">
        <v>-16.082547999999999</v>
      </c>
      <c r="M83">
        <v>-9.9171543999999994</v>
      </c>
      <c r="N83">
        <v>-19.500171999999999</v>
      </c>
      <c r="O83">
        <v>-29.194184</v>
      </c>
      <c r="P83">
        <v>22.879244</v>
      </c>
      <c r="Q83">
        <v>-6.4026240000000003</v>
      </c>
      <c r="R83">
        <v>2.7610848000000008</v>
      </c>
      <c r="S83">
        <v>-14.189196000000001</v>
      </c>
      <c r="T83">
        <v>-10.480259999999999</v>
      </c>
      <c r="U83">
        <v>-150.76994999999999</v>
      </c>
      <c r="V83">
        <v>93.497400000000013</v>
      </c>
      <c r="W83">
        <v>262.587085</v>
      </c>
      <c r="X83">
        <v>269.79869999999988</v>
      </c>
      <c r="Y83">
        <v>-135.34344999999999</v>
      </c>
      <c r="Z83">
        <v>298.93950000000001</v>
      </c>
      <c r="AA83">
        <v>-431.01110000000011</v>
      </c>
      <c r="AB83">
        <v>-24.390000000000121</v>
      </c>
      <c r="AC83">
        <v>113.498</v>
      </c>
      <c r="AD83">
        <v>-438.67349999999988</v>
      </c>
      <c r="AE83">
        <v>282.05144999999999</v>
      </c>
      <c r="AF83">
        <v>-540.82472000000007</v>
      </c>
      <c r="AG83">
        <v>-1754.7755</v>
      </c>
      <c r="AH83">
        <v>-7.5545000000000684</v>
      </c>
      <c r="AI83">
        <v>-0.87862327999999978</v>
      </c>
      <c r="AJ83">
        <v>-3.2990379999999999</v>
      </c>
      <c r="AK83">
        <v>0.27059243999999999</v>
      </c>
      <c r="AL83">
        <v>-3.9813183999999988</v>
      </c>
      <c r="AM83">
        <v>-0.23827315999999979</v>
      </c>
      <c r="AN83">
        <v>-0.98979532000000003</v>
      </c>
      <c r="AO83">
        <v>-0.15122964</v>
      </c>
      <c r="AP83">
        <v>-1.1125468799999989</v>
      </c>
      <c r="AQ83">
        <v>0.48302328000000022</v>
      </c>
      <c r="AR83">
        <v>3.2481280000000022E-2</v>
      </c>
      <c r="AS83">
        <v>-3.2501543999999917E-2</v>
      </c>
      <c r="AT83">
        <v>9.0672416000000045</v>
      </c>
    </row>
    <row r="84" spans="1:46" x14ac:dyDescent="0.25">
      <c r="A84">
        <v>82</v>
      </c>
      <c r="B84">
        <v>9.5955499999999958</v>
      </c>
      <c r="C84">
        <v>0.55057692307692307</v>
      </c>
      <c r="D84">
        <v>0.43504509374209849</v>
      </c>
      <c r="E84">
        <v>-1.9262087521877101E-2</v>
      </c>
      <c r="F84">
        <v>0.67707112684348747</v>
      </c>
      <c r="G84">
        <v>2.5351808000000009</v>
      </c>
      <c r="H84">
        <v>-3.2106395999999999</v>
      </c>
      <c r="I84">
        <v>0.84556079999999811</v>
      </c>
      <c r="J84">
        <v>10.337808000000001</v>
      </c>
      <c r="K84">
        <v>-6.7497423999999988</v>
      </c>
      <c r="L84">
        <v>-15.792555999999999</v>
      </c>
      <c r="M84">
        <v>-10.3282168</v>
      </c>
      <c r="N84">
        <v>-19.519083999999999</v>
      </c>
      <c r="O84">
        <v>-29.081648000000001</v>
      </c>
      <c r="P84">
        <v>22.456268000000001</v>
      </c>
      <c r="Q84">
        <v>-6.1324080000000016</v>
      </c>
      <c r="R84">
        <v>2.2408656000000038</v>
      </c>
      <c r="S84">
        <v>-15.88621199999999</v>
      </c>
      <c r="T84">
        <v>-10.48842</v>
      </c>
      <c r="U84">
        <v>-147.99764999999999</v>
      </c>
      <c r="V84">
        <v>93.742800000000017</v>
      </c>
      <c r="W84">
        <v>265.25699500000002</v>
      </c>
      <c r="X84">
        <v>277.78139999999979</v>
      </c>
      <c r="Y84">
        <v>-132.87715000000011</v>
      </c>
      <c r="Z84">
        <v>305.73149999999993</v>
      </c>
      <c r="AA84">
        <v>-411.65420000000017</v>
      </c>
      <c r="AB84">
        <v>-9.7800000000001432</v>
      </c>
      <c r="AC84">
        <v>120.206</v>
      </c>
      <c r="AD84">
        <v>-423.82949999999988</v>
      </c>
      <c r="AE84">
        <v>267.18315000000013</v>
      </c>
      <c r="AF84">
        <v>-533.84684000000004</v>
      </c>
      <c r="AG84">
        <v>-1719.8734999999999</v>
      </c>
      <c r="AH84">
        <v>4.088499999999808</v>
      </c>
      <c r="AI84">
        <v>-0.9956861599999991</v>
      </c>
      <c r="AJ84">
        <v>-3.283366</v>
      </c>
      <c r="AK84">
        <v>0.25468068000000021</v>
      </c>
      <c r="AL84">
        <v>-4.4180247999999969</v>
      </c>
      <c r="AM84">
        <v>-0.29953051999999952</v>
      </c>
      <c r="AN84">
        <v>-0.98814604000000006</v>
      </c>
      <c r="AO84">
        <v>-0.1645150799999999</v>
      </c>
      <c r="AP84">
        <v>-1.3573953599999979</v>
      </c>
      <c r="AQ84">
        <v>0.40146216000000062</v>
      </c>
      <c r="AR84">
        <v>2.5446760000000051E-2</v>
      </c>
      <c r="AS84">
        <v>-6.401416799999976E-2</v>
      </c>
      <c r="AT84">
        <v>7.4951552000000126</v>
      </c>
    </row>
    <row r="85" spans="1:46" x14ac:dyDescent="0.25">
      <c r="A85">
        <v>83</v>
      </c>
      <c r="B85">
        <v>9.5979499999999938</v>
      </c>
      <c r="C85">
        <v>0.55080769230769233</v>
      </c>
      <c r="D85">
        <v>0.35959206565813068</v>
      </c>
      <c r="E85">
        <v>-1.9723497641901379E-2</v>
      </c>
      <c r="F85">
        <v>0.59479765352857339</v>
      </c>
      <c r="G85">
        <v>2.3904752</v>
      </c>
      <c r="H85">
        <v>-3.1208724000000001</v>
      </c>
      <c r="I85">
        <v>1.0989252</v>
      </c>
      <c r="J85">
        <v>10.600152</v>
      </c>
      <c r="K85">
        <v>-6.8804656</v>
      </c>
      <c r="L85">
        <v>-15.502564</v>
      </c>
      <c r="M85">
        <v>-10.7392792</v>
      </c>
      <c r="N85">
        <v>-19.537996</v>
      </c>
      <c r="O85">
        <v>-28.969111999999999</v>
      </c>
      <c r="P85">
        <v>22.033291999999999</v>
      </c>
      <c r="Q85">
        <v>-5.8621919999999994</v>
      </c>
      <c r="R85">
        <v>1.720646399999999</v>
      </c>
      <c r="S85">
        <v>-17.583228000000009</v>
      </c>
      <c r="T85">
        <v>-10.49658</v>
      </c>
      <c r="U85">
        <v>-145.22534999999999</v>
      </c>
      <c r="V85">
        <v>93.988200000000035</v>
      </c>
      <c r="W85">
        <v>267.92690499999998</v>
      </c>
      <c r="X85">
        <v>285.76409999999993</v>
      </c>
      <c r="Y85">
        <v>-130.41085000000001</v>
      </c>
      <c r="Z85">
        <v>312.52350000000001</v>
      </c>
      <c r="AA85">
        <v>-392.29730000000001</v>
      </c>
      <c r="AB85">
        <v>4.830000000000048</v>
      </c>
      <c r="AC85">
        <v>126.9140000000001</v>
      </c>
      <c r="AD85">
        <v>-408.98549999999977</v>
      </c>
      <c r="AE85">
        <v>252.31485000000001</v>
      </c>
      <c r="AF85">
        <v>-526.86896000000002</v>
      </c>
      <c r="AG85">
        <v>-1684.9715000000001</v>
      </c>
      <c r="AH85">
        <v>15.731499999999849</v>
      </c>
      <c r="AI85">
        <v>-1.11274904</v>
      </c>
      <c r="AJ85">
        <v>-3.2676940000000001</v>
      </c>
      <c r="AK85">
        <v>0.23876892</v>
      </c>
      <c r="AL85">
        <v>-4.8547312000000007</v>
      </c>
      <c r="AM85">
        <v>-0.36078788000000012</v>
      </c>
      <c r="AN85">
        <v>-0.98649675999999997</v>
      </c>
      <c r="AO85">
        <v>-0.17780051999999999</v>
      </c>
      <c r="AP85">
        <v>-1.6022438400000001</v>
      </c>
      <c r="AQ85">
        <v>0.3199010399999998</v>
      </c>
      <c r="AR85">
        <v>1.8412239999999989E-2</v>
      </c>
      <c r="AS85">
        <v>-9.5526792000000055E-2</v>
      </c>
      <c r="AT85">
        <v>5.9230687999999976</v>
      </c>
    </row>
    <row r="86" spans="1:46" x14ac:dyDescent="0.25">
      <c r="A86">
        <v>84</v>
      </c>
      <c r="B86">
        <v>9.5999499999999927</v>
      </c>
      <c r="C86">
        <v>0.55104813186813195</v>
      </c>
      <c r="D86">
        <v>0.30815108038659939</v>
      </c>
      <c r="E86">
        <v>-1.9181793756403141E-2</v>
      </c>
      <c r="F86">
        <v>0.51322034338011013</v>
      </c>
      <c r="G86">
        <v>2.2540048000000001</v>
      </c>
      <c r="H86">
        <v>-3.0303852</v>
      </c>
      <c r="I86">
        <v>1.358555999999999</v>
      </c>
      <c r="J86">
        <v>10.881888</v>
      </c>
      <c r="K86">
        <v>-7.0027647999999996</v>
      </c>
      <c r="L86">
        <v>-15.196300000000001</v>
      </c>
      <c r="M86">
        <v>-11.09614</v>
      </c>
      <c r="N86">
        <v>-19.519276000000001</v>
      </c>
      <c r="O86">
        <v>-28.841311999999999</v>
      </c>
      <c r="P86">
        <v>21.657115999999998</v>
      </c>
      <c r="Q86">
        <v>-5.6356448000000006</v>
      </c>
      <c r="R86">
        <v>1.222637760000002</v>
      </c>
      <c r="S86">
        <v>-19.159427999999991</v>
      </c>
      <c r="T86">
        <v>-10.468756000000001</v>
      </c>
      <c r="U86">
        <v>-142.04544999999999</v>
      </c>
      <c r="V86">
        <v>94.267000000000024</v>
      </c>
      <c r="W86">
        <v>270.14957500000003</v>
      </c>
      <c r="X86">
        <v>292.61299999999989</v>
      </c>
      <c r="Y86">
        <v>-127.05455000000001</v>
      </c>
      <c r="Z86">
        <v>318.28750000000002</v>
      </c>
      <c r="AA86">
        <v>-371.96980000000002</v>
      </c>
      <c r="AB86">
        <v>18.519999999999971</v>
      </c>
      <c r="AC86">
        <v>132.1640000000001</v>
      </c>
      <c r="AD86">
        <v>-390.4874999999999</v>
      </c>
      <c r="AE86">
        <v>236.05535</v>
      </c>
      <c r="AF86">
        <v>-517.92072000000007</v>
      </c>
      <c r="AG86">
        <v>-1640.1575</v>
      </c>
      <c r="AH86">
        <v>29.08189999999977</v>
      </c>
      <c r="AI86">
        <v>-1.276171599999999</v>
      </c>
      <c r="AJ86">
        <v>-3.2694331999999999</v>
      </c>
      <c r="AK86">
        <v>0.23067492000000001</v>
      </c>
      <c r="AL86">
        <v>-5.3855559999999976</v>
      </c>
      <c r="AM86">
        <v>-0.37462444000000011</v>
      </c>
      <c r="AN86">
        <v>-0.99887867999999991</v>
      </c>
      <c r="AO86">
        <v>-0.18456900000000001</v>
      </c>
      <c r="AP86">
        <v>-1.5963000000000001</v>
      </c>
      <c r="AQ86">
        <v>0.25113905600000019</v>
      </c>
      <c r="AR86">
        <v>1.286807680000002E-2</v>
      </c>
      <c r="AS86">
        <v>-0.12333675999999991</v>
      </c>
      <c r="AT86">
        <v>4.6268630400000044</v>
      </c>
    </row>
    <row r="87" spans="1:46" x14ac:dyDescent="0.25">
      <c r="A87">
        <v>85</v>
      </c>
      <c r="B87">
        <v>9.601749999999992</v>
      </c>
      <c r="C87">
        <v>0.55129340659340664</v>
      </c>
      <c r="D87">
        <v>0.2586592545231568</v>
      </c>
      <c r="E87">
        <v>-1.5841265191908468E-2</v>
      </c>
      <c r="F87">
        <v>0.44361852940927621</v>
      </c>
      <c r="G87">
        <v>2.1216519999999992</v>
      </c>
      <c r="H87">
        <v>-2.9395379999999989</v>
      </c>
      <c r="I87">
        <v>1.6213200000000021</v>
      </c>
      <c r="J87">
        <v>11.17332</v>
      </c>
      <c r="K87">
        <v>-7.1208520000000011</v>
      </c>
      <c r="L87">
        <v>-14.8819</v>
      </c>
      <c r="M87">
        <v>-11.4259</v>
      </c>
      <c r="N87">
        <v>-19.481739999999999</v>
      </c>
      <c r="O87">
        <v>-28.705880000000001</v>
      </c>
      <c r="P87">
        <v>21.30434</v>
      </c>
      <c r="Q87">
        <v>-5.4309319999999994</v>
      </c>
      <c r="R87">
        <v>0.73573439999999724</v>
      </c>
      <c r="S87">
        <v>-20.67522000000001</v>
      </c>
      <c r="T87">
        <v>-10.422940000000001</v>
      </c>
      <c r="U87">
        <v>-138.66175000000001</v>
      </c>
      <c r="V87">
        <v>94.562500000000028</v>
      </c>
      <c r="W87">
        <v>272.14862499999998</v>
      </c>
      <c r="X87">
        <v>298.89499999999998</v>
      </c>
      <c r="Y87">
        <v>-123.25324999999999</v>
      </c>
      <c r="Z87">
        <v>323.53750000000002</v>
      </c>
      <c r="AA87">
        <v>-351.15699999999981</v>
      </c>
      <c r="AB87">
        <v>31.75000000000006</v>
      </c>
      <c r="AC87">
        <v>136.68500000000009</v>
      </c>
      <c r="AD87">
        <v>-370.1624999999998</v>
      </c>
      <c r="AE87">
        <v>219.1002499999999</v>
      </c>
      <c r="AF87">
        <v>-507.98729999999989</v>
      </c>
      <c r="AG87">
        <v>-1590.3875</v>
      </c>
      <c r="AH87">
        <v>43.28599999999993</v>
      </c>
      <c r="AI87">
        <v>-1.4627740000000009</v>
      </c>
      <c r="AJ87">
        <v>-3.2798780000000001</v>
      </c>
      <c r="AK87">
        <v>0.22648979999999999</v>
      </c>
      <c r="AL87">
        <v>-5.9634400000000038</v>
      </c>
      <c r="AM87">
        <v>-0.36475059999999992</v>
      </c>
      <c r="AN87">
        <v>-1.0182762000000001</v>
      </c>
      <c r="AO87">
        <v>-0.188079</v>
      </c>
      <c r="AP87">
        <v>-1.4649599999999989</v>
      </c>
      <c r="AQ87">
        <v>0.18877663999999969</v>
      </c>
      <c r="AR87">
        <v>8.0690919999999722E-3</v>
      </c>
      <c r="AS87">
        <v>-0.14929540000000011</v>
      </c>
      <c r="AT87">
        <v>3.4685975999999941</v>
      </c>
    </row>
    <row r="88" spans="1:46" x14ac:dyDescent="0.25">
      <c r="A88">
        <v>86</v>
      </c>
      <c r="B88">
        <v>9.6035499999999896</v>
      </c>
      <c r="C88">
        <v>0.55153868131868133</v>
      </c>
      <c r="D88">
        <v>0.21158113772673309</v>
      </c>
      <c r="E88">
        <v>-7.8438815437258756E-3</v>
      </c>
      <c r="F88">
        <v>0.38112847878592387</v>
      </c>
      <c r="G88">
        <v>1.9892992</v>
      </c>
      <c r="H88">
        <v>-2.8486908</v>
      </c>
      <c r="I88">
        <v>1.8840840000000001</v>
      </c>
      <c r="J88">
        <v>11.464752000000001</v>
      </c>
      <c r="K88">
        <v>-7.2389391999999999</v>
      </c>
      <c r="L88">
        <v>-14.567500000000001</v>
      </c>
      <c r="M88">
        <v>-11.755660000000001</v>
      </c>
      <c r="N88">
        <v>-19.444203999999999</v>
      </c>
      <c r="O88">
        <v>-28.570447999999999</v>
      </c>
      <c r="P88">
        <v>20.951564000000001</v>
      </c>
      <c r="Q88">
        <v>-5.2262192000000001</v>
      </c>
      <c r="R88">
        <v>0.24883103999999981</v>
      </c>
      <c r="S88">
        <v>-22.191012000000001</v>
      </c>
      <c r="T88">
        <v>-10.377124</v>
      </c>
      <c r="U88">
        <v>-135.27805000000001</v>
      </c>
      <c r="V88">
        <v>94.858000000000004</v>
      </c>
      <c r="W88">
        <v>274.14767499999988</v>
      </c>
      <c r="X88">
        <v>305.17700000000002</v>
      </c>
      <c r="Y88">
        <v>-119.45195</v>
      </c>
      <c r="Z88">
        <v>328.78750000000002</v>
      </c>
      <c r="AA88">
        <v>-330.34419999999989</v>
      </c>
      <c r="AB88">
        <v>44.979999999999961</v>
      </c>
      <c r="AC88">
        <v>141.2060000000001</v>
      </c>
      <c r="AD88">
        <v>-349.83749999999992</v>
      </c>
      <c r="AE88">
        <v>202.14515</v>
      </c>
      <c r="AF88">
        <v>-498.05387999999999</v>
      </c>
      <c r="AG88">
        <v>-1540.6175000000001</v>
      </c>
      <c r="AH88">
        <v>57.49009999999987</v>
      </c>
      <c r="AI88">
        <v>-1.6493764</v>
      </c>
      <c r="AJ88">
        <v>-3.2903228000000002</v>
      </c>
      <c r="AK88">
        <v>0.22230468</v>
      </c>
      <c r="AL88">
        <v>-6.5413240000000004</v>
      </c>
      <c r="AM88">
        <v>-0.35487676000000001</v>
      </c>
      <c r="AN88">
        <v>-1.0376737199999999</v>
      </c>
      <c r="AO88">
        <v>-0.19158900000000001</v>
      </c>
      <c r="AP88">
        <v>-1.33362</v>
      </c>
      <c r="AQ88">
        <v>0.12641422399999999</v>
      </c>
      <c r="AR88">
        <v>3.270107199999997E-3</v>
      </c>
      <c r="AS88">
        <v>-0.17525404</v>
      </c>
      <c r="AT88">
        <v>2.3103321599999989</v>
      </c>
    </row>
    <row r="89" spans="1:46" x14ac:dyDescent="0.25">
      <c r="A89">
        <v>87</v>
      </c>
      <c r="B89">
        <v>9.605349999999989</v>
      </c>
      <c r="C89">
        <v>0.55178395604395603</v>
      </c>
      <c r="D89">
        <v>0.1784478642384702</v>
      </c>
      <c r="E89">
        <v>-4.7022716581104924E-3</v>
      </c>
      <c r="F89">
        <v>0.31869655488063442</v>
      </c>
      <c r="G89">
        <v>1.8569464</v>
      </c>
      <c r="H89">
        <v>-2.7578436000000002</v>
      </c>
      <c r="I89">
        <v>2.146847999999999</v>
      </c>
      <c r="J89">
        <v>11.756183999999999</v>
      </c>
      <c r="K89">
        <v>-7.3570263999999996</v>
      </c>
      <c r="L89">
        <v>-14.2531</v>
      </c>
      <c r="M89">
        <v>-12.085419999999999</v>
      </c>
      <c r="N89">
        <v>-19.406668</v>
      </c>
      <c r="O89">
        <v>-28.435016000000001</v>
      </c>
      <c r="P89">
        <v>20.598787999999999</v>
      </c>
      <c r="Q89">
        <v>-5.0215064000000016</v>
      </c>
      <c r="R89">
        <v>-0.23807231999999751</v>
      </c>
      <c r="S89">
        <v>-23.706803999999991</v>
      </c>
      <c r="T89">
        <v>-10.331308</v>
      </c>
      <c r="U89">
        <v>-131.89435</v>
      </c>
      <c r="V89">
        <v>95.153499999999994</v>
      </c>
      <c r="W89">
        <v>276.14672499999989</v>
      </c>
      <c r="X89">
        <v>311.45899999999989</v>
      </c>
      <c r="Y89">
        <v>-115.65065</v>
      </c>
      <c r="Z89">
        <v>334.03750000000002</v>
      </c>
      <c r="AA89">
        <v>-309.53140000000002</v>
      </c>
      <c r="AB89">
        <v>58.209999999999852</v>
      </c>
      <c r="AC89">
        <v>145.72700000000009</v>
      </c>
      <c r="AD89">
        <v>-329.5125000000001</v>
      </c>
      <c r="AE89">
        <v>185.1900500000001</v>
      </c>
      <c r="AF89">
        <v>-488.12045999999998</v>
      </c>
      <c r="AG89">
        <v>-1490.8475000000001</v>
      </c>
      <c r="AH89">
        <v>71.694199999999825</v>
      </c>
      <c r="AI89">
        <v>-1.835978799999999</v>
      </c>
      <c r="AJ89">
        <v>-3.3007675999999999</v>
      </c>
      <c r="AK89">
        <v>0.21811955999999999</v>
      </c>
      <c r="AL89">
        <v>-7.1192079999999969</v>
      </c>
      <c r="AM89">
        <v>-0.34500291999999999</v>
      </c>
      <c r="AN89">
        <v>-1.05707124</v>
      </c>
      <c r="AO89">
        <v>-0.19509899999999999</v>
      </c>
      <c r="AP89">
        <v>-1.20228</v>
      </c>
      <c r="AQ89">
        <v>6.4051808000000321E-2</v>
      </c>
      <c r="AR89">
        <v>-1.528877599999978E-3</v>
      </c>
      <c r="AS89">
        <v>-0.20121267999999989</v>
      </c>
      <c r="AT89">
        <v>1.152066720000005</v>
      </c>
    </row>
    <row r="90" spans="1:46" x14ac:dyDescent="0.25">
      <c r="A90">
        <v>88</v>
      </c>
      <c r="B90">
        <v>9.6069999999999922</v>
      </c>
      <c r="C90">
        <v>0.55203186813186811</v>
      </c>
      <c r="D90">
        <v>0.1526790080848909</v>
      </c>
      <c r="E90">
        <v>-9.7350261943974972E-3</v>
      </c>
      <c r="F90">
        <v>0.25910448662009411</v>
      </c>
      <c r="G90">
        <v>1.731951999999999</v>
      </c>
      <c r="H90">
        <v>-2.666354399999999</v>
      </c>
      <c r="I90">
        <v>2.412908400000001</v>
      </c>
      <c r="J90">
        <v>12.058199999999999</v>
      </c>
      <c r="K90">
        <v>-7.4662264000000009</v>
      </c>
      <c r="L90">
        <v>-13.929904000000001</v>
      </c>
      <c r="M90">
        <v>-12.372579999999999</v>
      </c>
      <c r="N90">
        <v>-19.344436000000002</v>
      </c>
      <c r="O90">
        <v>-28.292947999999999</v>
      </c>
      <c r="P90">
        <v>20.292211999999999</v>
      </c>
      <c r="Q90">
        <v>-4.8518623999999999</v>
      </c>
      <c r="R90">
        <v>-0.70189992000000201</v>
      </c>
      <c r="S90">
        <v>-25.114128000000012</v>
      </c>
      <c r="T90">
        <v>-10.2556636</v>
      </c>
      <c r="U90">
        <v>-128.22710499999991</v>
      </c>
      <c r="V90">
        <v>95.474949999999993</v>
      </c>
      <c r="W90">
        <v>277.78480000000002</v>
      </c>
      <c r="X90">
        <v>316.63249999999999</v>
      </c>
      <c r="Y90">
        <v>-111.26705</v>
      </c>
      <c r="Z90">
        <v>338.38150000000007</v>
      </c>
      <c r="AA90">
        <v>-288.50949999999978</v>
      </c>
      <c r="AB90">
        <v>70.427499999999952</v>
      </c>
      <c r="AC90">
        <v>149.00300000000021</v>
      </c>
      <c r="AD90">
        <v>-306.51899999999989</v>
      </c>
      <c r="AE90">
        <v>168.09859999999989</v>
      </c>
      <c r="AF90">
        <v>-476.53989000000001</v>
      </c>
      <c r="AG90">
        <v>-1438.7629999999999</v>
      </c>
      <c r="AH90">
        <v>86.238349999999997</v>
      </c>
      <c r="AI90">
        <v>-1.9982476</v>
      </c>
      <c r="AJ90">
        <v>-3.2925740000000001</v>
      </c>
      <c r="AK90">
        <v>0.2159556</v>
      </c>
      <c r="AL90">
        <v>-7.5048004000000006</v>
      </c>
      <c r="AM90">
        <v>-0.33369639999999989</v>
      </c>
      <c r="AN90">
        <v>-1.0686948000000001</v>
      </c>
      <c r="AO90">
        <v>-0.19416084</v>
      </c>
      <c r="AP90">
        <v>-1.0701965999999989</v>
      </c>
      <c r="AQ90">
        <v>1.13745679999998E-2</v>
      </c>
      <c r="AR90">
        <v>-4.0302476000000018E-3</v>
      </c>
      <c r="AS90">
        <v>-0.22065244000000009</v>
      </c>
      <c r="AT90">
        <v>0.2242315199999968</v>
      </c>
    </row>
    <row r="91" spans="1:46" x14ac:dyDescent="0.25">
      <c r="A91">
        <v>89</v>
      </c>
      <c r="B91">
        <v>9.6084999999999976</v>
      </c>
      <c r="C91">
        <v>0.55228241758241758</v>
      </c>
      <c r="D91">
        <v>0.1174613638567412</v>
      </c>
      <c r="E91">
        <v>-1.4889753441394369E-2</v>
      </c>
      <c r="F91">
        <v>0.2132074676078578</v>
      </c>
      <c r="G91">
        <v>1.6143160000000001</v>
      </c>
      <c r="H91">
        <v>-2.5742232</v>
      </c>
      <c r="I91">
        <v>2.6822651999999998</v>
      </c>
      <c r="J91">
        <v>12.370799999999999</v>
      </c>
      <c r="K91">
        <v>-7.5665392000000002</v>
      </c>
      <c r="L91">
        <v>-13.597912000000001</v>
      </c>
      <c r="M91">
        <v>-12.617139999999999</v>
      </c>
      <c r="N91">
        <v>-19.257508000000001</v>
      </c>
      <c r="O91">
        <v>-28.144244</v>
      </c>
      <c r="P91">
        <v>20.031835999999998</v>
      </c>
      <c r="Q91">
        <v>-4.7172872000000003</v>
      </c>
      <c r="R91">
        <v>-1.1426517599999999</v>
      </c>
      <c r="S91">
        <v>-26.412984000000002</v>
      </c>
      <c r="T91">
        <v>-10.150190800000001</v>
      </c>
      <c r="U91">
        <v>-124.276315</v>
      </c>
      <c r="V91">
        <v>95.822349999999986</v>
      </c>
      <c r="W91">
        <v>279.06189999999992</v>
      </c>
      <c r="X91">
        <v>320.69749999999999</v>
      </c>
      <c r="Y91">
        <v>-106.30115000000001</v>
      </c>
      <c r="Z91">
        <v>341.81950000000012</v>
      </c>
      <c r="AA91">
        <v>-267.27850000000001</v>
      </c>
      <c r="AB91">
        <v>81.632499999999894</v>
      </c>
      <c r="AC91">
        <v>151.03400000000011</v>
      </c>
      <c r="AD91">
        <v>-280.85700000000003</v>
      </c>
      <c r="AE91">
        <v>150.8708</v>
      </c>
      <c r="AF91">
        <v>-463.31216999999998</v>
      </c>
      <c r="AG91">
        <v>-1384.364</v>
      </c>
      <c r="AH91">
        <v>101.12255</v>
      </c>
      <c r="AI91">
        <v>-2.1361827999999998</v>
      </c>
      <c r="AJ91">
        <v>-3.2657419999999999</v>
      </c>
      <c r="AK91">
        <v>0.2158128</v>
      </c>
      <c r="AL91">
        <v>-7.6981012</v>
      </c>
      <c r="AM91">
        <v>-0.3209572</v>
      </c>
      <c r="AN91">
        <v>-1.0725444</v>
      </c>
      <c r="AO91">
        <v>-0.18877452</v>
      </c>
      <c r="AP91">
        <v>-0.93736980000000003</v>
      </c>
      <c r="AQ91">
        <v>-3.1617495999999981E-2</v>
      </c>
      <c r="AR91">
        <v>-4.2340028E-3</v>
      </c>
      <c r="AS91">
        <v>-0.23357332</v>
      </c>
      <c r="AT91">
        <v>-0.47317343999999961</v>
      </c>
    </row>
    <row r="92" spans="1:46" x14ac:dyDescent="0.25">
      <c r="A92">
        <v>90</v>
      </c>
      <c r="B92">
        <v>9.610000000000003</v>
      </c>
      <c r="C92">
        <v>0.55253296703296706</v>
      </c>
      <c r="D92">
        <v>7.6897906306980096E-2</v>
      </c>
      <c r="E92">
        <v>-1.3948808339278409E-2</v>
      </c>
      <c r="F92">
        <v>0.19358807596219951</v>
      </c>
      <c r="G92">
        <v>1.4966800000000009</v>
      </c>
      <c r="H92">
        <v>-2.4820920000000002</v>
      </c>
      <c r="I92">
        <v>2.9516219999999991</v>
      </c>
      <c r="J92">
        <v>12.683400000000001</v>
      </c>
      <c r="K92">
        <v>-7.6668520000000004</v>
      </c>
      <c r="L92">
        <v>-13.265919999999999</v>
      </c>
      <c r="M92">
        <v>-12.861700000000001</v>
      </c>
      <c r="N92">
        <v>-19.170580000000001</v>
      </c>
      <c r="O92">
        <v>-27.995539999999998</v>
      </c>
      <c r="P92">
        <v>19.771460000000001</v>
      </c>
      <c r="Q92">
        <v>-4.5827120000000008</v>
      </c>
      <c r="R92">
        <v>-1.5834035999999969</v>
      </c>
      <c r="S92">
        <v>-27.711839999999992</v>
      </c>
      <c r="T92">
        <v>-10.044718</v>
      </c>
      <c r="U92">
        <v>-120.325525</v>
      </c>
      <c r="V92">
        <v>96.169749999999965</v>
      </c>
      <c r="W92">
        <v>280.33899999999988</v>
      </c>
      <c r="X92">
        <v>324.76249999999999</v>
      </c>
      <c r="Y92">
        <v>-101.3352499999999</v>
      </c>
      <c r="Z92">
        <v>345.25749999999999</v>
      </c>
      <c r="AA92">
        <v>-246.04750000000021</v>
      </c>
      <c r="AB92">
        <v>92.837499999999835</v>
      </c>
      <c r="AC92">
        <v>153.06500000000011</v>
      </c>
      <c r="AD92">
        <v>-255.19500000000019</v>
      </c>
      <c r="AE92">
        <v>133.64300000000009</v>
      </c>
      <c r="AF92">
        <v>-450.08445000000012</v>
      </c>
      <c r="AG92">
        <v>-1329.9649999999999</v>
      </c>
      <c r="AH92">
        <v>116.00675</v>
      </c>
      <c r="AI92">
        <v>-2.2741179999999992</v>
      </c>
      <c r="AJ92">
        <v>-3.2389100000000002</v>
      </c>
      <c r="AK92">
        <v>0.21567</v>
      </c>
      <c r="AL92">
        <v>-7.8914019999999994</v>
      </c>
      <c r="AM92">
        <v>-0.30821799999999999</v>
      </c>
      <c r="AN92">
        <v>-1.0763940000000001</v>
      </c>
      <c r="AO92">
        <v>-0.1833882</v>
      </c>
      <c r="AP92">
        <v>-0.80454300000000067</v>
      </c>
      <c r="AQ92">
        <v>-7.4609559999999756E-2</v>
      </c>
      <c r="AR92">
        <v>-4.4377579999999991E-3</v>
      </c>
      <c r="AS92">
        <v>-0.24649419999999991</v>
      </c>
      <c r="AT92">
        <v>-1.1705783999999959</v>
      </c>
    </row>
    <row r="93" spans="1:46" x14ac:dyDescent="0.25">
      <c r="A93">
        <v>91</v>
      </c>
      <c r="B93">
        <v>9.6115000000000084</v>
      </c>
      <c r="C93">
        <v>0.55278351648351653</v>
      </c>
      <c r="D93">
        <v>6.1235714334620092E-2</v>
      </c>
      <c r="E93">
        <v>-9.2571039096731676E-3</v>
      </c>
      <c r="F93">
        <v>0.13107820888486399</v>
      </c>
      <c r="G93">
        <v>1.3790439999999999</v>
      </c>
      <c r="H93">
        <v>-2.389960799999999</v>
      </c>
      <c r="I93">
        <v>3.220978800000001</v>
      </c>
      <c r="J93">
        <v>12.996</v>
      </c>
      <c r="K93">
        <v>-7.7671648000000006</v>
      </c>
      <c r="L93">
        <v>-12.933928</v>
      </c>
      <c r="M93">
        <v>-13.106260000000001</v>
      </c>
      <c r="N93">
        <v>-19.083652000000001</v>
      </c>
      <c r="O93">
        <v>-27.846836</v>
      </c>
      <c r="P93">
        <v>19.511084</v>
      </c>
      <c r="Q93">
        <v>-4.4481367999999986</v>
      </c>
      <c r="R93">
        <v>-2.0241554400000008</v>
      </c>
      <c r="S93">
        <v>-29.010695999999999</v>
      </c>
      <c r="T93">
        <v>-9.9392452000000002</v>
      </c>
      <c r="U93">
        <v>-116.374735</v>
      </c>
      <c r="V93">
        <v>96.517149999999972</v>
      </c>
      <c r="W93">
        <v>281.6160999999999</v>
      </c>
      <c r="X93">
        <v>328.82749999999999</v>
      </c>
      <c r="Y93">
        <v>-96.369349999999869</v>
      </c>
      <c r="Z93">
        <v>348.69549999999998</v>
      </c>
      <c r="AA93">
        <v>-224.8165000000001</v>
      </c>
      <c r="AB93">
        <v>104.0424999999999</v>
      </c>
      <c r="AC93">
        <v>155.096</v>
      </c>
      <c r="AD93">
        <v>-229.53299999999999</v>
      </c>
      <c r="AE93">
        <v>116.4151999999999</v>
      </c>
      <c r="AF93">
        <v>-436.85673000000003</v>
      </c>
      <c r="AG93">
        <v>-1275.566</v>
      </c>
      <c r="AH93">
        <v>130.8909500000002</v>
      </c>
      <c r="AI93">
        <v>-2.4120531999999999</v>
      </c>
      <c r="AJ93">
        <v>-3.212078</v>
      </c>
      <c r="AK93">
        <v>0.2155272</v>
      </c>
      <c r="AL93">
        <v>-8.0847028000000005</v>
      </c>
      <c r="AM93">
        <v>-0.29547879999999987</v>
      </c>
      <c r="AN93">
        <v>-1.0802436</v>
      </c>
      <c r="AO93">
        <v>-0.17800188</v>
      </c>
      <c r="AP93">
        <v>-0.67171619999999954</v>
      </c>
      <c r="AQ93">
        <v>-0.1176016240000002</v>
      </c>
      <c r="AR93">
        <v>-4.6415132000000008E-3</v>
      </c>
      <c r="AS93">
        <v>-0.25941508000000008</v>
      </c>
      <c r="AT93">
        <v>-1.867983360000002</v>
      </c>
    </row>
    <row r="94" spans="1:46" x14ac:dyDescent="0.25">
      <c r="A94">
        <v>92</v>
      </c>
      <c r="B94">
        <v>9.6127000000000109</v>
      </c>
      <c r="C94">
        <v>0.5530345054945055</v>
      </c>
      <c r="D94">
        <v>7.0449883947581296E-2</v>
      </c>
      <c r="E94">
        <v>-1.249754047007029E-2</v>
      </c>
      <c r="F94">
        <v>0.11694514407029</v>
      </c>
      <c r="G94">
        <v>1.26703784</v>
      </c>
      <c r="H94">
        <v>-2.2973311999999999</v>
      </c>
      <c r="I94">
        <v>3.4915436</v>
      </c>
      <c r="J94">
        <v>13.312384</v>
      </c>
      <c r="K94">
        <v>-7.8601599999999996</v>
      </c>
      <c r="L94">
        <v>-12.598632</v>
      </c>
      <c r="M94">
        <v>-13.322604</v>
      </c>
      <c r="N94">
        <v>-18.983308000000001</v>
      </c>
      <c r="O94">
        <v>-27.697140000000001</v>
      </c>
      <c r="P94">
        <v>19.288340000000002</v>
      </c>
      <c r="Q94">
        <v>-4.3361232000000003</v>
      </c>
      <c r="R94">
        <v>-2.4450171999999988</v>
      </c>
      <c r="S94">
        <v>-30.236799999999999</v>
      </c>
      <c r="T94">
        <v>-9.8139668000000011</v>
      </c>
      <c r="U94">
        <v>-112.254555</v>
      </c>
      <c r="V94">
        <v>96.881149999999963</v>
      </c>
      <c r="W94">
        <v>282.64199999999988</v>
      </c>
      <c r="X94">
        <v>332.01650000000001</v>
      </c>
      <c r="Y94">
        <v>-91.115549999999885</v>
      </c>
      <c r="Z94">
        <v>351.46510000000001</v>
      </c>
      <c r="AA94">
        <v>-203.81650000000019</v>
      </c>
      <c r="AB94">
        <v>114.4334999999999</v>
      </c>
      <c r="AC94">
        <v>156.29</v>
      </c>
      <c r="AD94">
        <v>-202.3300000000001</v>
      </c>
      <c r="AE94">
        <v>99.616699999999994</v>
      </c>
      <c r="AF94">
        <v>-422.54989</v>
      </c>
      <c r="AG94">
        <v>-1221.7919999999999</v>
      </c>
      <c r="AH94">
        <v>145.61715000000021</v>
      </c>
      <c r="AI94">
        <v>-2.5299868000000001</v>
      </c>
      <c r="AJ94">
        <v>-3.1738675999999999</v>
      </c>
      <c r="AK94">
        <v>0.21295359999999999</v>
      </c>
      <c r="AL94">
        <v>-8.1602044000000014</v>
      </c>
      <c r="AM94">
        <v>-0.28780287999999998</v>
      </c>
      <c r="AN94">
        <v>-1.0776892</v>
      </c>
      <c r="AO94">
        <v>-0.17431395999999999</v>
      </c>
      <c r="AP94">
        <v>-0.54824412000000022</v>
      </c>
      <c r="AQ94">
        <v>-0.15089011999999999</v>
      </c>
      <c r="AR94">
        <v>-4.7448572000000008E-3</v>
      </c>
      <c r="AS94">
        <v>-0.27111020000000002</v>
      </c>
      <c r="AT94">
        <v>-2.3771127999999999</v>
      </c>
    </row>
    <row r="95" spans="1:46" x14ac:dyDescent="0.25">
      <c r="A95">
        <v>93</v>
      </c>
      <c r="B95">
        <v>9.6133000000000113</v>
      </c>
      <c r="C95">
        <v>0.55328637362637356</v>
      </c>
      <c r="D95">
        <v>4.5128481700622003E-2</v>
      </c>
      <c r="E95">
        <v>-4.1480822858368117E-3</v>
      </c>
      <c r="F95">
        <v>0.10333490646051779</v>
      </c>
      <c r="G95">
        <v>1.1662913600000011</v>
      </c>
      <c r="H95">
        <v>-2.203704800000001</v>
      </c>
      <c r="I95">
        <v>3.7645243999999982</v>
      </c>
      <c r="J95">
        <v>13.636336</v>
      </c>
      <c r="K95">
        <v>-7.9385199999999987</v>
      </c>
      <c r="L95">
        <v>-12.256728000000001</v>
      </c>
      <c r="M95">
        <v>-13.482516</v>
      </c>
      <c r="N95">
        <v>-18.856131999999999</v>
      </c>
      <c r="O95">
        <v>-27.545459999999999</v>
      </c>
      <c r="P95">
        <v>19.14086</v>
      </c>
      <c r="Q95">
        <v>-4.2692328000000002</v>
      </c>
      <c r="R95">
        <v>-2.8260987999999969</v>
      </c>
      <c r="S95">
        <v>-31.317399999999989</v>
      </c>
      <c r="T95">
        <v>-9.6490772000000007</v>
      </c>
      <c r="U95">
        <v>-107.79559500000001</v>
      </c>
      <c r="V95">
        <v>97.278349999999961</v>
      </c>
      <c r="W95">
        <v>283.16550000000001</v>
      </c>
      <c r="X95">
        <v>333.45350000000002</v>
      </c>
      <c r="Y95">
        <v>-85.285949999999957</v>
      </c>
      <c r="Z95">
        <v>352.89789999999999</v>
      </c>
      <c r="AA95">
        <v>-183.27850000000029</v>
      </c>
      <c r="AB95">
        <v>123.1964999999999</v>
      </c>
      <c r="AC95">
        <v>155.80999999999989</v>
      </c>
      <c r="AD95">
        <v>-172.04500000000019</v>
      </c>
      <c r="AE95">
        <v>83.6768000000001</v>
      </c>
      <c r="AF95">
        <v>-406.08481000000012</v>
      </c>
      <c r="AG95">
        <v>-1169.268</v>
      </c>
      <c r="AH95">
        <v>160.0273500000001</v>
      </c>
      <c r="AI95">
        <v>-2.6079171999999988</v>
      </c>
      <c r="AJ95">
        <v>-3.1129004</v>
      </c>
      <c r="AK95">
        <v>0.20551839999999999</v>
      </c>
      <c r="AL95">
        <v>-8.0001076000000015</v>
      </c>
      <c r="AM95">
        <v>-0.29025351999999988</v>
      </c>
      <c r="AN95">
        <v>-1.0623267999999999</v>
      </c>
      <c r="AO95">
        <v>-0.17402284000000001</v>
      </c>
      <c r="AP95">
        <v>-0.44348148000000082</v>
      </c>
      <c r="AQ95">
        <v>-0.16477147999999989</v>
      </c>
      <c r="AR95">
        <v>-4.6473788000000009E-3</v>
      </c>
      <c r="AS95">
        <v>-0.28035379999999988</v>
      </c>
      <c r="AT95">
        <v>-2.5096911999999989</v>
      </c>
    </row>
    <row r="96" spans="1:46" x14ac:dyDescent="0.25">
      <c r="A96">
        <v>94</v>
      </c>
      <c r="B96">
        <v>9.6139000000000099</v>
      </c>
      <c r="C96">
        <v>0.55353824175824173</v>
      </c>
      <c r="D96">
        <v>2.0342239732576331E-2</v>
      </c>
      <c r="E96">
        <v>-8.0770019139004049E-4</v>
      </c>
      <c r="F96">
        <v>7.098227711626387E-2</v>
      </c>
      <c r="G96">
        <v>1.06554488</v>
      </c>
      <c r="H96">
        <v>-2.1100783999999999</v>
      </c>
      <c r="I96">
        <v>4.0375052</v>
      </c>
      <c r="J96">
        <v>13.960288</v>
      </c>
      <c r="K96">
        <v>-8.0168800000000005</v>
      </c>
      <c r="L96">
        <v>-11.914823999999999</v>
      </c>
      <c r="M96">
        <v>-13.642428000000001</v>
      </c>
      <c r="N96">
        <v>-18.728956</v>
      </c>
      <c r="O96">
        <v>-27.39378</v>
      </c>
      <c r="P96">
        <v>18.993379999999998</v>
      </c>
      <c r="Q96">
        <v>-4.2023424</v>
      </c>
      <c r="R96">
        <v>-3.2071804000000008</v>
      </c>
      <c r="S96">
        <v>-32.398000000000003</v>
      </c>
      <c r="T96">
        <v>-9.4841876000000003</v>
      </c>
      <c r="U96">
        <v>-103.336635</v>
      </c>
      <c r="V96">
        <v>97.675549999999973</v>
      </c>
      <c r="W96">
        <v>283.68900000000002</v>
      </c>
      <c r="X96">
        <v>334.89050000000009</v>
      </c>
      <c r="Y96">
        <v>-79.456349999999944</v>
      </c>
      <c r="Z96">
        <v>354.33069999999998</v>
      </c>
      <c r="AA96">
        <v>-162.74050000000011</v>
      </c>
      <c r="AB96">
        <v>131.95949999999999</v>
      </c>
      <c r="AC96">
        <v>155.3299999999999</v>
      </c>
      <c r="AD96">
        <v>-141.75999999999979</v>
      </c>
      <c r="AE96">
        <v>67.736899999999963</v>
      </c>
      <c r="AF96">
        <v>-389.61972999999989</v>
      </c>
      <c r="AG96">
        <v>-1116.7439999999999</v>
      </c>
      <c r="AH96">
        <v>174.43755000000019</v>
      </c>
      <c r="AI96">
        <v>-2.6858475999999998</v>
      </c>
      <c r="AJ96">
        <v>-3.0519332000000001</v>
      </c>
      <c r="AK96">
        <v>0.19808319999999999</v>
      </c>
      <c r="AL96">
        <v>-7.8400107999999999</v>
      </c>
      <c r="AM96">
        <v>-0.29270415999999999</v>
      </c>
      <c r="AN96">
        <v>-1.0469644</v>
      </c>
      <c r="AO96">
        <v>-0.17373172000000001</v>
      </c>
      <c r="AP96">
        <v>-0.3387188399999998</v>
      </c>
      <c r="AQ96">
        <v>-0.17865284000000001</v>
      </c>
      <c r="AR96">
        <v>-4.5499004000000001E-3</v>
      </c>
      <c r="AS96">
        <v>-0.2895974</v>
      </c>
      <c r="AT96">
        <v>-2.642269600000001</v>
      </c>
    </row>
    <row r="97" spans="1:46" x14ac:dyDescent="0.25">
      <c r="A97">
        <v>95</v>
      </c>
      <c r="B97">
        <v>9.6145000000000103</v>
      </c>
      <c r="C97">
        <v>0.55379010989010979</v>
      </c>
      <c r="D97">
        <v>5.1471150833799538E-3</v>
      </c>
      <c r="E97">
        <v>-1.24075482442844E-4</v>
      </c>
      <c r="F97">
        <v>5.8997951710600537E-2</v>
      </c>
      <c r="G97">
        <v>0.96479840000000039</v>
      </c>
      <c r="H97">
        <v>-2.0164520000000001</v>
      </c>
      <c r="I97">
        <v>4.3104859999999992</v>
      </c>
      <c r="J97">
        <v>14.28424</v>
      </c>
      <c r="K97">
        <v>-8.0952399999999987</v>
      </c>
      <c r="L97">
        <v>-11.57292</v>
      </c>
      <c r="M97">
        <v>-13.802339999999999</v>
      </c>
      <c r="N97">
        <v>-18.601780000000002</v>
      </c>
      <c r="O97">
        <v>-27.242100000000001</v>
      </c>
      <c r="P97">
        <v>18.8459</v>
      </c>
      <c r="Q97">
        <v>-4.1354520000000008</v>
      </c>
      <c r="R97">
        <v>-3.588261999999999</v>
      </c>
      <c r="S97">
        <v>-33.4786</v>
      </c>
      <c r="T97">
        <v>-9.3192979999999999</v>
      </c>
      <c r="U97">
        <v>-98.877675000000011</v>
      </c>
      <c r="V97">
        <v>98.072749999999985</v>
      </c>
      <c r="W97">
        <v>284.21249999999998</v>
      </c>
      <c r="X97">
        <v>336.3275000000001</v>
      </c>
      <c r="Y97">
        <v>-73.626750000000015</v>
      </c>
      <c r="Z97">
        <v>355.76350000000002</v>
      </c>
      <c r="AA97">
        <v>-142.2025000000001</v>
      </c>
      <c r="AB97">
        <v>140.7225</v>
      </c>
      <c r="AC97">
        <v>154.8499999999998</v>
      </c>
      <c r="AD97">
        <v>-111.47499999999989</v>
      </c>
      <c r="AE97">
        <v>51.797000000000047</v>
      </c>
      <c r="AF97">
        <v>-373.15465000000012</v>
      </c>
      <c r="AG97">
        <v>-1064.22</v>
      </c>
      <c r="AH97">
        <v>188.8477500000001</v>
      </c>
      <c r="AI97">
        <v>-2.763777999999999</v>
      </c>
      <c r="AJ97">
        <v>-2.9909659999999998</v>
      </c>
      <c r="AK97">
        <v>0.19064800000000001</v>
      </c>
      <c r="AL97">
        <v>-7.6799140000000001</v>
      </c>
      <c r="AM97">
        <v>-0.29515479999999999</v>
      </c>
      <c r="AN97">
        <v>-1.0316019999999999</v>
      </c>
      <c r="AO97">
        <v>-0.1734406</v>
      </c>
      <c r="AP97">
        <v>-0.23395620000000031</v>
      </c>
      <c r="AQ97">
        <v>-0.19253419999999999</v>
      </c>
      <c r="AR97">
        <v>-4.452422000000001E-3</v>
      </c>
      <c r="AS97">
        <v>-0.29884100000000002</v>
      </c>
      <c r="AT97">
        <v>-2.774848</v>
      </c>
    </row>
    <row r="98" spans="1:46" x14ac:dyDescent="0.25">
      <c r="A98">
        <v>96</v>
      </c>
      <c r="B98">
        <v>9.6150000000000091</v>
      </c>
      <c r="C98">
        <v>0.55404087912087907</v>
      </c>
      <c r="D98">
        <v>3.8319545791897088E-4</v>
      </c>
      <c r="E98">
        <v>1.757749633787437E-5</v>
      </c>
      <c r="F98">
        <v>9.257346974492757E-3</v>
      </c>
      <c r="G98">
        <v>0.86718228000000075</v>
      </c>
      <c r="H98">
        <v>-1.922545200000001</v>
      </c>
      <c r="I98">
        <v>4.5835607999999972</v>
      </c>
      <c r="J98">
        <v>14.608216000000001</v>
      </c>
      <c r="K98">
        <v>-8.1694859999999991</v>
      </c>
      <c r="L98">
        <v>-11.2307576</v>
      </c>
      <c r="M98">
        <v>-13.948976</v>
      </c>
      <c r="N98">
        <v>-18.469628</v>
      </c>
      <c r="O98">
        <v>-27.091556000000001</v>
      </c>
      <c r="P98">
        <v>18.719984</v>
      </c>
      <c r="Q98">
        <v>-4.0785340000000003</v>
      </c>
      <c r="R98">
        <v>-3.9573351999999971</v>
      </c>
      <c r="S98">
        <v>-34.525543999999996</v>
      </c>
      <c r="T98">
        <v>-9.1450976000000015</v>
      </c>
      <c r="U98">
        <v>-94.346710000000044</v>
      </c>
      <c r="V98">
        <v>98.477199999999982</v>
      </c>
      <c r="W98">
        <v>284.60854999999998</v>
      </c>
      <c r="X98">
        <v>337.28800000000012</v>
      </c>
      <c r="Y98">
        <v>-67.719500000000096</v>
      </c>
      <c r="Z98">
        <v>356.84694999999999</v>
      </c>
      <c r="AA98">
        <v>-121.9490000000002</v>
      </c>
      <c r="AB98">
        <v>149.0445</v>
      </c>
      <c r="AC98">
        <v>153.98899999999981</v>
      </c>
      <c r="AD98">
        <v>-80.618000000000023</v>
      </c>
      <c r="AE98">
        <v>36.246050000000118</v>
      </c>
      <c r="AF98">
        <v>-356.23640000000012</v>
      </c>
      <c r="AG98">
        <v>-1012.506</v>
      </c>
      <c r="AH98">
        <v>203.0628000000001</v>
      </c>
      <c r="AI98">
        <v>-2.832394799999999</v>
      </c>
      <c r="AJ98">
        <v>-2.9285896</v>
      </c>
      <c r="AK98">
        <v>0.18440988</v>
      </c>
      <c r="AL98">
        <v>-7.480582400000003</v>
      </c>
      <c r="AM98">
        <v>-0.30006855999999987</v>
      </c>
      <c r="AN98">
        <v>-1.01490484</v>
      </c>
      <c r="AO98">
        <v>-0.1721826000000001</v>
      </c>
      <c r="AP98">
        <v>-0.1224420400000012</v>
      </c>
      <c r="AQ98">
        <v>-0.2040872</v>
      </c>
      <c r="AR98">
        <v>-4.3375324000000017E-3</v>
      </c>
      <c r="AS98">
        <v>-0.30582028</v>
      </c>
      <c r="AT98">
        <v>-2.8689064000000011</v>
      </c>
    </row>
    <row r="99" spans="1:46" x14ac:dyDescent="0.25">
      <c r="A99">
        <v>97</v>
      </c>
      <c r="B99">
        <v>9.6150000000000091</v>
      </c>
      <c r="C99">
        <v>0.55428615384615376</v>
      </c>
      <c r="D99">
        <v>-4.4367555392410812E-3</v>
      </c>
      <c r="E99">
        <v>-4.7226067277210257E-3</v>
      </c>
      <c r="F99">
        <v>4.8225614785101553E-2</v>
      </c>
      <c r="G99">
        <v>0.78521795999999999</v>
      </c>
      <c r="H99">
        <v>-1.8272364000000001</v>
      </c>
      <c r="I99">
        <v>4.8571055999999997</v>
      </c>
      <c r="J99">
        <v>14.932312</v>
      </c>
      <c r="K99">
        <v>-8.2231620000000003</v>
      </c>
      <c r="L99">
        <v>-10.8873032</v>
      </c>
      <c r="M99">
        <v>-14.029232</v>
      </c>
      <c r="N99">
        <v>-18.312595999999999</v>
      </c>
      <c r="O99">
        <v>-26.946691999999999</v>
      </c>
      <c r="P99">
        <v>18.701888</v>
      </c>
      <c r="Q99">
        <v>-4.0714779999999999</v>
      </c>
      <c r="R99">
        <v>-4.2663663999999999</v>
      </c>
      <c r="S99">
        <v>-35.404207999999997</v>
      </c>
      <c r="T99">
        <v>-8.9243431999999991</v>
      </c>
      <c r="U99">
        <v>-89.455719999999999</v>
      </c>
      <c r="V99">
        <v>98.917900000000003</v>
      </c>
      <c r="W99">
        <v>284.36734999999999</v>
      </c>
      <c r="X99">
        <v>335.8660000000001</v>
      </c>
      <c r="Y99">
        <v>-61.424000000000063</v>
      </c>
      <c r="Z99">
        <v>356.18365000000011</v>
      </c>
      <c r="AA99">
        <v>-103.11799999999999</v>
      </c>
      <c r="AB99">
        <v>155.16149999999999</v>
      </c>
      <c r="AC99">
        <v>151.22299999999979</v>
      </c>
      <c r="AD99">
        <v>-46.90099999999974</v>
      </c>
      <c r="AE99">
        <v>22.63985000000002</v>
      </c>
      <c r="AF99">
        <v>-337.05229999999989</v>
      </c>
      <c r="AG99">
        <v>-964.84199999999964</v>
      </c>
      <c r="AH99">
        <v>216.30210000000011</v>
      </c>
      <c r="AI99">
        <v>-2.8544436000000002</v>
      </c>
      <c r="AJ99">
        <v>-2.8591671999999999</v>
      </c>
      <c r="AK99">
        <v>0.18415715999999999</v>
      </c>
      <c r="AL99">
        <v>-7.0850768000000004</v>
      </c>
      <c r="AM99">
        <v>-0.31729792000000001</v>
      </c>
      <c r="AN99">
        <v>-0.99153387999999998</v>
      </c>
      <c r="AO99">
        <v>-0.16609019999999999</v>
      </c>
      <c r="AP99">
        <v>2.2829720000000161E-2</v>
      </c>
      <c r="AQ99">
        <v>-0.2039984</v>
      </c>
      <c r="AR99">
        <v>-4.1355868000000004E-3</v>
      </c>
      <c r="AS99">
        <v>-0.30147795999999999</v>
      </c>
      <c r="AT99">
        <v>-2.7703647999999998</v>
      </c>
    </row>
    <row r="100" spans="1:46" x14ac:dyDescent="0.25">
      <c r="A100">
        <v>98</v>
      </c>
      <c r="B100">
        <v>9.6150000000000091</v>
      </c>
      <c r="C100">
        <v>0.55453142857142856</v>
      </c>
      <c r="D100">
        <v>-9.7092804671086302E-3</v>
      </c>
      <c r="E100">
        <v>-4.8329401722512081E-3</v>
      </c>
      <c r="F100">
        <v>3.9429052575322893E-2</v>
      </c>
      <c r="G100">
        <v>0.70325364000000035</v>
      </c>
      <c r="H100">
        <v>-1.7319275999999999</v>
      </c>
      <c r="I100">
        <v>5.1306503999999986</v>
      </c>
      <c r="J100">
        <v>15.256408</v>
      </c>
      <c r="K100">
        <v>-8.2768379999999997</v>
      </c>
      <c r="L100">
        <v>-10.543848799999999</v>
      </c>
      <c r="M100">
        <v>-14.109488000000001</v>
      </c>
      <c r="N100">
        <v>-18.155563999999998</v>
      </c>
      <c r="O100">
        <v>-26.801828</v>
      </c>
      <c r="P100">
        <v>18.683792</v>
      </c>
      <c r="Q100">
        <v>-4.0644220000000004</v>
      </c>
      <c r="R100">
        <v>-4.5753975999999987</v>
      </c>
      <c r="S100">
        <v>-36.282871999999998</v>
      </c>
      <c r="T100">
        <v>-8.7035888000000003</v>
      </c>
      <c r="U100">
        <v>-84.564730000000026</v>
      </c>
      <c r="V100">
        <v>99.35860000000001</v>
      </c>
      <c r="W100">
        <v>284.12615000000011</v>
      </c>
      <c r="X100">
        <v>334.44400000000007</v>
      </c>
      <c r="Y100">
        <v>-55.128500000000102</v>
      </c>
      <c r="Z100">
        <v>355.52035000000012</v>
      </c>
      <c r="AA100">
        <v>-84.287000000000035</v>
      </c>
      <c r="AB100">
        <v>161.27849999999989</v>
      </c>
      <c r="AC100">
        <v>148.45699999999991</v>
      </c>
      <c r="AD100">
        <v>-13.183999999999941</v>
      </c>
      <c r="AE100">
        <v>9.0336500000001116</v>
      </c>
      <c r="AF100">
        <v>-317.86820000000012</v>
      </c>
      <c r="AG100">
        <v>-917.17799999999988</v>
      </c>
      <c r="AH100">
        <v>229.54140000000001</v>
      </c>
      <c r="AI100">
        <v>-2.8764924000000001</v>
      </c>
      <c r="AJ100">
        <v>-2.7897447999999998</v>
      </c>
      <c r="AK100">
        <v>0.18390444</v>
      </c>
      <c r="AL100">
        <v>-6.6895712000000014</v>
      </c>
      <c r="AM100">
        <v>-0.33452727999999993</v>
      </c>
      <c r="AN100">
        <v>-0.96816292000000004</v>
      </c>
      <c r="AO100">
        <v>-0.1599978</v>
      </c>
      <c r="AP100">
        <v>0.16810147999999939</v>
      </c>
      <c r="AQ100">
        <v>-0.2039096</v>
      </c>
      <c r="AR100">
        <v>-3.9336412000000008E-3</v>
      </c>
      <c r="AS100">
        <v>-0.29713563999999998</v>
      </c>
      <c r="AT100">
        <v>-2.6718232</v>
      </c>
    </row>
    <row r="101" spans="1:46" x14ac:dyDescent="0.25">
      <c r="A101">
        <v>99</v>
      </c>
      <c r="B101">
        <v>9.6150000000000091</v>
      </c>
      <c r="C101">
        <v>0.55477670329670326</v>
      </c>
      <c r="D101">
        <v>-4.046060458455761E-4</v>
      </c>
      <c r="E101">
        <v>-1.9146140382225919E-4</v>
      </c>
      <c r="F101">
        <v>1.5236915555073721E-3</v>
      </c>
      <c r="G101">
        <v>0.62128931999999959</v>
      </c>
      <c r="H101">
        <v>-1.636618799999999</v>
      </c>
      <c r="I101">
        <v>5.4041952000000011</v>
      </c>
      <c r="J101">
        <v>15.580503999999999</v>
      </c>
      <c r="K101">
        <v>-8.3305140000000009</v>
      </c>
      <c r="L101">
        <v>-10.2003944</v>
      </c>
      <c r="M101">
        <v>-14.189743999999999</v>
      </c>
      <c r="N101">
        <v>-17.998532000000001</v>
      </c>
      <c r="O101">
        <v>-26.656963999999999</v>
      </c>
      <c r="P101">
        <v>18.665696000000001</v>
      </c>
      <c r="Q101">
        <v>-4.057366</v>
      </c>
      <c r="R101">
        <v>-4.884428800000002</v>
      </c>
      <c r="S101">
        <v>-37.161536000000012</v>
      </c>
      <c r="T101">
        <v>-8.482834399999998</v>
      </c>
      <c r="U101">
        <v>-79.673739999999981</v>
      </c>
      <c r="V101">
        <v>99.799300000000017</v>
      </c>
      <c r="W101">
        <v>283.88495000000012</v>
      </c>
      <c r="X101">
        <v>333.02200000000011</v>
      </c>
      <c r="Y101">
        <v>-48.833000000000069</v>
      </c>
      <c r="Z101">
        <v>354.85705000000007</v>
      </c>
      <c r="AA101">
        <v>-65.455999999999847</v>
      </c>
      <c r="AB101">
        <v>167.39549999999991</v>
      </c>
      <c r="AC101">
        <v>145.69099999999989</v>
      </c>
      <c r="AD101">
        <v>20.533000000000339</v>
      </c>
      <c r="AE101">
        <v>-4.5725499999999926</v>
      </c>
      <c r="AF101">
        <v>-298.68409999999977</v>
      </c>
      <c r="AG101">
        <v>-869.51399999999933</v>
      </c>
      <c r="AH101">
        <v>242.78070000000011</v>
      </c>
      <c r="AI101">
        <v>-2.8985411999999999</v>
      </c>
      <c r="AJ101">
        <v>-2.7203224000000001</v>
      </c>
      <c r="AK101">
        <v>0.18365171999999999</v>
      </c>
      <c r="AL101">
        <v>-6.2940655999999979</v>
      </c>
      <c r="AM101">
        <v>-0.35175664000000012</v>
      </c>
      <c r="AN101">
        <v>-0.94479195999999988</v>
      </c>
      <c r="AO101">
        <v>-0.1539054</v>
      </c>
      <c r="AP101">
        <v>0.31337324000000077</v>
      </c>
      <c r="AQ101">
        <v>-0.2038208</v>
      </c>
      <c r="AR101">
        <v>-3.7316955999999991E-3</v>
      </c>
      <c r="AS101">
        <v>-0.29279332000000002</v>
      </c>
      <c r="AT101">
        <v>-2.5732816000000001</v>
      </c>
    </row>
    <row r="102" spans="1:46" x14ac:dyDescent="0.25">
      <c r="A102">
        <v>100</v>
      </c>
      <c r="B102">
        <v>9.6150000000000091</v>
      </c>
      <c r="C102">
        <v>0.55502197802197806</v>
      </c>
      <c r="D102">
        <v>-4.6242791769734171E-3</v>
      </c>
      <c r="E102">
        <v>-6.2406602236193924E-3</v>
      </c>
      <c r="F102">
        <v>3.7843132945498043E-2</v>
      </c>
      <c r="G102">
        <v>0.53932500000000005</v>
      </c>
      <c r="H102">
        <v>-1.54131</v>
      </c>
      <c r="I102">
        <v>5.67774</v>
      </c>
      <c r="J102">
        <v>15.9046</v>
      </c>
      <c r="K102">
        <v>-8.3841900000000003</v>
      </c>
      <c r="L102">
        <v>-9.8569399999999998</v>
      </c>
      <c r="M102">
        <v>-14.27</v>
      </c>
      <c r="N102">
        <v>-17.8415</v>
      </c>
      <c r="O102">
        <v>-26.5121</v>
      </c>
      <c r="P102">
        <v>18.647600000000001</v>
      </c>
      <c r="Q102">
        <v>-4.0503099999999996</v>
      </c>
      <c r="R102">
        <v>-5.19346</v>
      </c>
      <c r="S102">
        <v>-38.040199999999999</v>
      </c>
      <c r="T102">
        <v>-8.2620799999999992</v>
      </c>
      <c r="U102">
        <v>-74.782750000000007</v>
      </c>
      <c r="V102">
        <v>100.24</v>
      </c>
      <c r="W102">
        <v>283.64375000000013</v>
      </c>
      <c r="X102">
        <v>331.60000000000008</v>
      </c>
      <c r="Y102">
        <v>-42.537500000000122</v>
      </c>
      <c r="Z102">
        <v>354.19375000000008</v>
      </c>
      <c r="AA102">
        <v>-46.624999999999908</v>
      </c>
      <c r="AB102">
        <v>173.5124999999997</v>
      </c>
      <c r="AC102">
        <v>142.92500000000001</v>
      </c>
      <c r="AD102">
        <v>54.250000000000128</v>
      </c>
      <c r="AE102">
        <v>-18.178749999999908</v>
      </c>
      <c r="AF102">
        <v>-279.49999999999989</v>
      </c>
      <c r="AG102">
        <v>-821.84999999999945</v>
      </c>
      <c r="AH102">
        <v>256.01999999999992</v>
      </c>
      <c r="AI102">
        <v>-2.9205899999999998</v>
      </c>
      <c r="AJ102">
        <v>-2.6509</v>
      </c>
      <c r="AK102">
        <v>0.18339900000000001</v>
      </c>
      <c r="AL102">
        <v>-5.8985599999999998</v>
      </c>
      <c r="AM102">
        <v>-0.36898599999999998</v>
      </c>
      <c r="AN102">
        <v>-0.92142100000000005</v>
      </c>
      <c r="AO102">
        <v>-0.147813</v>
      </c>
      <c r="AP102">
        <v>0.45864500000000002</v>
      </c>
      <c r="AQ102">
        <v>-0.203732</v>
      </c>
      <c r="AR102">
        <v>-3.5297499999999999E-3</v>
      </c>
      <c r="AS102">
        <v>-0.28845100000000001</v>
      </c>
      <c r="AT102">
        <v>-2.4747400000000002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CDDFF-FE14-4CEA-8EA9-5DBECA324462}">
  <sheetPr codeName="Sheet6">
    <tabColor rgb="FF6495EC"/>
  </sheetPr>
  <dimension ref="A1:Q17"/>
  <sheetViews>
    <sheetView workbookViewId="0">
      <selection sqref="A1:XFD1048576"/>
    </sheetView>
  </sheetViews>
  <sheetFormatPr defaultRowHeight="15" x14ac:dyDescent="0.25"/>
  <cols>
    <col min="1" max="1" width="20.7109375" customWidth="1"/>
  </cols>
  <sheetData>
    <row r="1" spans="1:17" x14ac:dyDescent="0.25">
      <c r="A1" s="1" t="s">
        <v>0</v>
      </c>
      <c r="C1" s="1" t="s">
        <v>10</v>
      </c>
    </row>
    <row r="2" spans="1:17" x14ac:dyDescent="0.25">
      <c r="A2" s="1" t="s">
        <v>1</v>
      </c>
      <c r="B2" t="s">
        <v>167</v>
      </c>
      <c r="G2" s="1" t="s">
        <v>69</v>
      </c>
      <c r="H2" s="1" t="s">
        <v>70</v>
      </c>
      <c r="I2" s="1" t="s">
        <v>71</v>
      </c>
      <c r="J2" s="1" t="s">
        <v>72</v>
      </c>
      <c r="L2" s="1" t="s">
        <v>73</v>
      </c>
      <c r="M2" s="1" t="s">
        <v>74</v>
      </c>
      <c r="N2" s="1" t="s">
        <v>75</v>
      </c>
      <c r="O2" s="1" t="s">
        <v>76</v>
      </c>
      <c r="P2" s="1" t="s">
        <v>77</v>
      </c>
      <c r="Q2" s="1" t="s">
        <v>78</v>
      </c>
    </row>
    <row r="3" spans="1:17" x14ac:dyDescent="0.25">
      <c r="D3" s="1" t="s">
        <v>122</v>
      </c>
      <c r="F3" s="1" t="s">
        <v>117</v>
      </c>
      <c r="G3">
        <v>9.4699999999999989</v>
      </c>
      <c r="H3">
        <v>0.55685714285714283</v>
      </c>
      <c r="I3">
        <v>227.61999999999989</v>
      </c>
      <c r="J3">
        <v>12.264150943396229</v>
      </c>
      <c r="K3" s="1" t="s">
        <v>79</v>
      </c>
      <c r="L3">
        <v>19.515999999999998</v>
      </c>
      <c r="M3">
        <v>13.223100000000001</v>
      </c>
      <c r="N3">
        <v>46.789200000000001</v>
      </c>
      <c r="O3">
        <v>43.694800000000001</v>
      </c>
      <c r="P3">
        <v>26.839600000000001</v>
      </c>
      <c r="Q3">
        <v>-6.5800900000000002</v>
      </c>
    </row>
    <row r="4" spans="1:17" x14ac:dyDescent="0.25">
      <c r="A4" s="1" t="s">
        <v>3</v>
      </c>
      <c r="B4" t="s">
        <v>4</v>
      </c>
      <c r="C4" s="1" t="s">
        <v>12</v>
      </c>
      <c r="D4">
        <v>260.3037109375</v>
      </c>
      <c r="F4" s="1" t="s">
        <v>113</v>
      </c>
      <c r="G4">
        <v>9.397500000000008</v>
      </c>
      <c r="H4">
        <v>0.53977197802197807</v>
      </c>
      <c r="K4" s="1" t="s">
        <v>80</v>
      </c>
      <c r="L4">
        <v>1.5611699999999999</v>
      </c>
      <c r="M4">
        <v>-3.2102499999999998</v>
      </c>
      <c r="N4">
        <v>-2.2518400000000001</v>
      </c>
      <c r="O4">
        <v>-2.3443399999999999</v>
      </c>
    </row>
    <row r="5" spans="1:17" x14ac:dyDescent="0.25">
      <c r="A5" s="1" t="s">
        <v>5</v>
      </c>
      <c r="B5">
        <v>70.360000610351563</v>
      </c>
      <c r="C5" s="1" t="s">
        <v>13</v>
      </c>
      <c r="D5">
        <v>9.6744852066040039</v>
      </c>
      <c r="F5" s="1" t="s">
        <v>114</v>
      </c>
      <c r="G5">
        <v>9.7549999999999937</v>
      </c>
      <c r="H5">
        <v>0.54913516483516489</v>
      </c>
      <c r="K5" s="1" t="s">
        <v>81</v>
      </c>
      <c r="L5">
        <v>-7.0110799999999998</v>
      </c>
      <c r="M5">
        <v>8.3766700000000007</v>
      </c>
      <c r="N5">
        <v>-18.956700000000001</v>
      </c>
      <c r="O5">
        <v>18.1236</v>
      </c>
    </row>
    <row r="6" spans="1:17" x14ac:dyDescent="0.25">
      <c r="A6" s="1" t="s">
        <v>6</v>
      </c>
      <c r="B6">
        <v>1820</v>
      </c>
      <c r="C6" s="1" t="s">
        <v>14</v>
      </c>
      <c r="D6">
        <v>0.46099996566772461</v>
      </c>
      <c r="F6" s="1" t="s">
        <v>115</v>
      </c>
      <c r="G6">
        <v>7.2499999999990905E-2</v>
      </c>
      <c r="H6">
        <v>1.708516483516476E-2</v>
      </c>
      <c r="K6" s="1" t="s">
        <v>82</v>
      </c>
      <c r="L6">
        <v>9.5391699999999986</v>
      </c>
      <c r="M6">
        <v>11.71893</v>
      </c>
      <c r="N6">
        <v>60.556199999999997</v>
      </c>
      <c r="O6">
        <v>28.1389</v>
      </c>
      <c r="P6">
        <v>68.979200000000006</v>
      </c>
      <c r="Q6">
        <v>5.5068099999999998</v>
      </c>
    </row>
    <row r="7" spans="1:17" x14ac:dyDescent="0.25">
      <c r="A7" s="1" t="s">
        <v>123</v>
      </c>
      <c r="B7">
        <v>970</v>
      </c>
      <c r="C7" s="1" t="s">
        <v>15</v>
      </c>
      <c r="D7">
        <v>0.23200011253356931</v>
      </c>
      <c r="F7" s="1" t="s">
        <v>116</v>
      </c>
      <c r="G7">
        <v>1.0300950369588171</v>
      </c>
      <c r="H7">
        <v>0.98613292812882358</v>
      </c>
      <c r="K7" s="1" t="s">
        <v>83</v>
      </c>
      <c r="L7">
        <v>9.2862500000000008</v>
      </c>
      <c r="M7">
        <v>6.9929500000000004</v>
      </c>
      <c r="N7">
        <v>16.53276</v>
      </c>
      <c r="O7">
        <v>13.29636</v>
      </c>
    </row>
    <row r="8" spans="1:17" x14ac:dyDescent="0.25">
      <c r="A8" s="1" t="s">
        <v>124</v>
      </c>
      <c r="B8">
        <v>71</v>
      </c>
      <c r="C8" s="1" t="s">
        <v>16</v>
      </c>
      <c r="D8">
        <v>49.674591064453118</v>
      </c>
      <c r="K8" s="1" t="s">
        <v>84</v>
      </c>
      <c r="L8">
        <v>12.382720000000001</v>
      </c>
      <c r="M8">
        <v>17.718979999999998</v>
      </c>
      <c r="N8">
        <v>12.842499999999999</v>
      </c>
      <c r="O8">
        <v>23.99643</v>
      </c>
    </row>
    <row r="9" spans="1:17" x14ac:dyDescent="0.25">
      <c r="A9" s="1" t="s">
        <v>125</v>
      </c>
      <c r="B9">
        <v>73</v>
      </c>
      <c r="C9" s="1" t="s">
        <v>17</v>
      </c>
      <c r="D9">
        <v>22.99348258972168</v>
      </c>
      <c r="K9" s="1" t="s">
        <v>85</v>
      </c>
      <c r="L9">
        <v>356.80000000000018</v>
      </c>
      <c r="M9">
        <v>-46.712500000000148</v>
      </c>
      <c r="N9">
        <v>24.43750000000011</v>
      </c>
      <c r="O9">
        <v>229.60000000000051</v>
      </c>
      <c r="P9">
        <v>1162.2562499999999</v>
      </c>
      <c r="Q9">
        <v>229.91624999999991</v>
      </c>
    </row>
    <row r="10" spans="1:17" x14ac:dyDescent="0.25">
      <c r="C10" s="1" t="s">
        <v>18</v>
      </c>
      <c r="D10">
        <v>4.459937572479248</v>
      </c>
      <c r="K10" s="1" t="s">
        <v>86</v>
      </c>
      <c r="L10">
        <v>1.9712500000000079</v>
      </c>
      <c r="M10">
        <v>101.7025</v>
      </c>
      <c r="N10">
        <v>129.33750000000009</v>
      </c>
      <c r="O10">
        <v>503.1112500000001</v>
      </c>
    </row>
    <row r="11" spans="1:17" x14ac:dyDescent="0.25">
      <c r="C11" s="1" t="s">
        <v>19</v>
      </c>
      <c r="D11">
        <v>2.254286527633667</v>
      </c>
      <c r="K11" s="1" t="s">
        <v>87</v>
      </c>
      <c r="L11">
        <v>357.88374999999979</v>
      </c>
      <c r="M11">
        <v>376.54</v>
      </c>
      <c r="N11">
        <v>131.5624999999998</v>
      </c>
      <c r="O11">
        <v>597.99250000000018</v>
      </c>
    </row>
    <row r="12" spans="1:17" x14ac:dyDescent="0.25">
      <c r="C12" s="1" t="s">
        <v>20</v>
      </c>
      <c r="D12">
        <v>20.310746133327481</v>
      </c>
    </row>
    <row r="13" spans="1:17" x14ac:dyDescent="0.25">
      <c r="C13" s="1" t="s">
        <v>21</v>
      </c>
      <c r="D13">
        <v>0</v>
      </c>
    </row>
    <row r="14" spans="1:17" x14ac:dyDescent="0.25">
      <c r="C14" s="1" t="s">
        <v>16</v>
      </c>
      <c r="D14">
        <v>49.674591064453118</v>
      </c>
    </row>
    <row r="15" spans="1:17" x14ac:dyDescent="0.25">
      <c r="C15" s="1" t="s">
        <v>22</v>
      </c>
      <c r="D15">
        <v>0.16199994087219241</v>
      </c>
    </row>
    <row r="16" spans="1:17" x14ac:dyDescent="0.25">
      <c r="C16" s="1" t="s">
        <v>23</v>
      </c>
      <c r="D16">
        <v>77.00651741027832</v>
      </c>
    </row>
    <row r="17" spans="3:4" x14ac:dyDescent="0.25">
      <c r="C17" s="1" t="s">
        <v>118</v>
      </c>
      <c r="D17">
        <v>35.140987621885692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7A6F85-5609-452C-B7C5-7FAAF8C59669}">
  <sheetPr codeName="Sheet7">
    <tabColor rgb="FF6495EC"/>
  </sheetPr>
  <dimension ref="A1:AT102"/>
  <sheetViews>
    <sheetView workbookViewId="0">
      <pane xSplit="1" ySplit="1" topLeftCell="B2" activePane="bottomRight" state="frozen"/>
      <selection pane="topRight" activeCell="B1" sqref="B1"/>
      <selection pane="bottomLeft" activeCell="A2" sqref="A2"/>
      <selection pane="bottomRight" sqref="A1:XFD1048576"/>
    </sheetView>
  </sheetViews>
  <sheetFormatPr defaultRowHeight="15" x14ac:dyDescent="0.25"/>
  <cols>
    <col min="1" max="47" width="25.7109375" customWidth="1"/>
  </cols>
  <sheetData>
    <row r="1" spans="1:46" x14ac:dyDescent="0.25">
      <c r="A1" s="2" t="s">
        <v>250</v>
      </c>
      <c r="B1" s="2" t="s">
        <v>24</v>
      </c>
      <c r="C1" s="2" t="s">
        <v>251</v>
      </c>
      <c r="D1" s="2" t="s">
        <v>26</v>
      </c>
      <c r="E1" s="2" t="s">
        <v>27</v>
      </c>
      <c r="F1" s="2" t="s">
        <v>28</v>
      </c>
      <c r="G1" s="2" t="s">
        <v>126</v>
      </c>
      <c r="H1" s="2" t="s">
        <v>127</v>
      </c>
      <c r="I1" s="2" t="s">
        <v>128</v>
      </c>
      <c r="J1" s="2" t="s">
        <v>129</v>
      </c>
      <c r="K1" s="2" t="s">
        <v>130</v>
      </c>
      <c r="L1" s="2" t="s">
        <v>131</v>
      </c>
      <c r="M1" s="2" t="s">
        <v>132</v>
      </c>
      <c r="N1" s="2" t="s">
        <v>133</v>
      </c>
      <c r="O1" s="2" t="s">
        <v>134</v>
      </c>
      <c r="P1" s="2" t="s">
        <v>135</v>
      </c>
      <c r="Q1" s="2" t="s">
        <v>136</v>
      </c>
      <c r="R1" s="2" t="s">
        <v>137</v>
      </c>
      <c r="S1" s="2" t="s">
        <v>138</v>
      </c>
      <c r="T1" s="2" t="s">
        <v>139</v>
      </c>
      <c r="U1" s="2" t="s">
        <v>140</v>
      </c>
      <c r="V1" s="2" t="s">
        <v>141</v>
      </c>
      <c r="W1" s="2" t="s">
        <v>142</v>
      </c>
      <c r="X1" s="2" t="s">
        <v>143</v>
      </c>
      <c r="Y1" s="2" t="s">
        <v>144</v>
      </c>
      <c r="Z1" s="2" t="s">
        <v>145</v>
      </c>
      <c r="AA1" s="2" t="s">
        <v>146</v>
      </c>
      <c r="AB1" s="2" t="s">
        <v>147</v>
      </c>
      <c r="AC1" s="2" t="s">
        <v>148</v>
      </c>
      <c r="AD1" s="2" t="s">
        <v>149</v>
      </c>
      <c r="AE1" s="2" t="s">
        <v>150</v>
      </c>
      <c r="AF1" s="2" t="s">
        <v>151</v>
      </c>
      <c r="AG1" s="2" t="s">
        <v>152</v>
      </c>
      <c r="AH1" s="2" t="s">
        <v>153</v>
      </c>
      <c r="AI1" s="2" t="s">
        <v>154</v>
      </c>
      <c r="AJ1" s="2" t="s">
        <v>155</v>
      </c>
      <c r="AK1" s="2" t="s">
        <v>156</v>
      </c>
      <c r="AL1" s="2" t="s">
        <v>157</v>
      </c>
      <c r="AM1" s="2" t="s">
        <v>158</v>
      </c>
      <c r="AN1" s="2" t="s">
        <v>159</v>
      </c>
      <c r="AO1" s="2" t="s">
        <v>160</v>
      </c>
      <c r="AP1" s="2" t="s">
        <v>161</v>
      </c>
      <c r="AQ1" s="2" t="s">
        <v>162</v>
      </c>
      <c r="AR1" s="2" t="s">
        <v>163</v>
      </c>
      <c r="AS1" s="2" t="s">
        <v>164</v>
      </c>
      <c r="AT1" s="2" t="s">
        <v>165</v>
      </c>
    </row>
    <row r="2" spans="1:46" x14ac:dyDescent="0.25">
      <c r="A2">
        <v>0</v>
      </c>
      <c r="B2">
        <v>9.4699999999999989</v>
      </c>
      <c r="C2">
        <v>0.55685714285714283</v>
      </c>
      <c r="D2">
        <v>4.1026759978711053E-2</v>
      </c>
      <c r="E2">
        <v>-2.983156568197973E-2</v>
      </c>
      <c r="F2">
        <v>0.45927358606594682</v>
      </c>
      <c r="G2">
        <v>13.223100000000001</v>
      </c>
      <c r="H2">
        <v>-9.9765800000000002</v>
      </c>
      <c r="I2">
        <v>-9.3423099999999994</v>
      </c>
      <c r="J2">
        <v>12.839600000000001</v>
      </c>
      <c r="K2">
        <v>1.5611699999999999</v>
      </c>
      <c r="L2">
        <v>-8.7519500000000008</v>
      </c>
      <c r="M2">
        <v>46.789200000000001</v>
      </c>
      <c r="N2">
        <v>-2.2518400000000001</v>
      </c>
      <c r="O2">
        <v>-20.7606</v>
      </c>
      <c r="P2">
        <v>38.1128</v>
      </c>
      <c r="Q2">
        <v>-8.7860700000000005</v>
      </c>
      <c r="R2">
        <v>7.1215700000000002</v>
      </c>
      <c r="S2">
        <v>-7.1122399999999999</v>
      </c>
      <c r="T2">
        <v>-9.0705899999999993</v>
      </c>
      <c r="U2">
        <v>-64.300000000000026</v>
      </c>
      <c r="V2">
        <v>-41.597500000000167</v>
      </c>
      <c r="W2">
        <v>104.74374999999991</v>
      </c>
      <c r="X2">
        <v>153.25000000000011</v>
      </c>
      <c r="Y2">
        <v>-38.085000000000008</v>
      </c>
      <c r="Z2">
        <v>-116.3574999999999</v>
      </c>
      <c r="AA2">
        <v>-323.91249999999962</v>
      </c>
      <c r="AB2">
        <v>-4.1025000000000089</v>
      </c>
      <c r="AC2">
        <v>44.262500000000323</v>
      </c>
      <c r="AD2">
        <v>177.33750000000009</v>
      </c>
      <c r="AE2">
        <v>-99.101249999999922</v>
      </c>
      <c r="AF2">
        <v>522.30124999999998</v>
      </c>
      <c r="AG2">
        <v>792.76499999999987</v>
      </c>
      <c r="AH2">
        <v>107.19625000000011</v>
      </c>
      <c r="AI2">
        <v>6.3328800000000003</v>
      </c>
      <c r="AJ2">
        <v>2.72166</v>
      </c>
      <c r="AK2">
        <v>-0.17969599999999999</v>
      </c>
      <c r="AL2">
        <v>34.187100000000001</v>
      </c>
      <c r="AM2">
        <v>-1.89228</v>
      </c>
      <c r="AN2">
        <v>0.52572000000000008</v>
      </c>
      <c r="AO2">
        <v>8.9059399999999997E-2</v>
      </c>
      <c r="AP2">
        <v>5.4586300000000003</v>
      </c>
      <c r="AQ2">
        <v>0.439525</v>
      </c>
      <c r="AR2">
        <v>1.01322E-4</v>
      </c>
      <c r="AS2">
        <v>0.121268</v>
      </c>
      <c r="AT2">
        <v>-4.3920500000000002</v>
      </c>
    </row>
    <row r="3" spans="1:46" x14ac:dyDescent="0.25">
      <c r="A3">
        <v>1</v>
      </c>
      <c r="B3">
        <v>9.4631749999999979</v>
      </c>
      <c r="C3">
        <v>0.55633428571428567</v>
      </c>
      <c r="D3">
        <v>-1.0279993616663541E-2</v>
      </c>
      <c r="E3">
        <v>0.16020984070511071</v>
      </c>
      <c r="F3">
        <v>1.079057693879981</v>
      </c>
      <c r="G3">
        <v>13.155343999999999</v>
      </c>
      <c r="H3">
        <v>-10.0121012</v>
      </c>
      <c r="I3">
        <v>-9.2398049999999987</v>
      </c>
      <c r="J3">
        <v>12.995756</v>
      </c>
      <c r="K3">
        <v>1.5130466</v>
      </c>
      <c r="L3">
        <v>-8.8855354000000002</v>
      </c>
      <c r="M3">
        <v>46.430633999999998</v>
      </c>
      <c r="N3">
        <v>-2.2562964000000001</v>
      </c>
      <c r="O3">
        <v>-20.696145999999999</v>
      </c>
      <c r="P3">
        <v>38.307409999999997</v>
      </c>
      <c r="Q3">
        <v>-8.8821816000000009</v>
      </c>
      <c r="R3">
        <v>7.7160054000000002</v>
      </c>
      <c r="S3">
        <v>-6.1540724000000004</v>
      </c>
      <c r="T3">
        <v>-8.9955851999999989</v>
      </c>
      <c r="U3">
        <v>-64.439750000000046</v>
      </c>
      <c r="V3">
        <v>-37.682550000000127</v>
      </c>
      <c r="W3">
        <v>101.2009249999999</v>
      </c>
      <c r="X3">
        <v>150.71500000000009</v>
      </c>
      <c r="Y3">
        <v>-42.211525000000002</v>
      </c>
      <c r="Z3">
        <v>-122.8509999999999</v>
      </c>
      <c r="AA3">
        <v>-334.59524999999979</v>
      </c>
      <c r="AB3">
        <v>-4.6696250000000008</v>
      </c>
      <c r="AC3">
        <v>52.907500000000248</v>
      </c>
      <c r="AD3">
        <v>182.947</v>
      </c>
      <c r="AE3">
        <v>-96.053399999999897</v>
      </c>
      <c r="AF3">
        <v>540.92439999999999</v>
      </c>
      <c r="AG3">
        <v>849.15802499999984</v>
      </c>
      <c r="AH3">
        <v>89.67745000000005</v>
      </c>
      <c r="AI3">
        <v>5.5320410000000004</v>
      </c>
      <c r="AJ3">
        <v>2.2927094000000001</v>
      </c>
      <c r="AK3">
        <v>-8.5180539999999999E-2</v>
      </c>
      <c r="AL3">
        <v>30.279195999999999</v>
      </c>
      <c r="AM3">
        <v>-1.22489614</v>
      </c>
      <c r="AN3">
        <v>0.34607040000000011</v>
      </c>
      <c r="AO3">
        <v>9.6839016E-2</v>
      </c>
      <c r="AP3">
        <v>3.5468578000000002</v>
      </c>
      <c r="AQ3">
        <v>0.54781785999999999</v>
      </c>
      <c r="AR3">
        <v>-2.1985085719999999E-2</v>
      </c>
      <c r="AS3">
        <v>0.13108819999999999</v>
      </c>
      <c r="AT3">
        <v>-5.903963000000001</v>
      </c>
    </row>
    <row r="4" spans="1:46" x14ac:dyDescent="0.25">
      <c r="A4">
        <v>2</v>
      </c>
      <c r="B4">
        <v>9.4563499999999969</v>
      </c>
      <c r="C4">
        <v>0.55581142857142862</v>
      </c>
      <c r="D4">
        <v>-0.1056766793631306</v>
      </c>
      <c r="E4">
        <v>-4.3678225886027901E-3</v>
      </c>
      <c r="F4">
        <v>1.5905001616852541</v>
      </c>
      <c r="G4">
        <v>13.087588</v>
      </c>
      <c r="H4">
        <v>-10.0476224</v>
      </c>
      <c r="I4">
        <v>-9.1372999999999998</v>
      </c>
      <c r="J4">
        <v>13.151911999999999</v>
      </c>
      <c r="K4">
        <v>1.4649232000000001</v>
      </c>
      <c r="L4">
        <v>-9.0191207999999996</v>
      </c>
      <c r="M4">
        <v>46.072068000000002</v>
      </c>
      <c r="N4">
        <v>-2.2607528000000001</v>
      </c>
      <c r="O4">
        <v>-20.631692000000001</v>
      </c>
      <c r="P4">
        <v>38.502020000000002</v>
      </c>
      <c r="Q4">
        <v>-8.9782931999999995</v>
      </c>
      <c r="R4">
        <v>8.3104408000000003</v>
      </c>
      <c r="S4">
        <v>-5.1959048000000001</v>
      </c>
      <c r="T4">
        <v>-8.9205803999999986</v>
      </c>
      <c r="U4">
        <v>-64.579500000000067</v>
      </c>
      <c r="V4">
        <v>-33.767600000000087</v>
      </c>
      <c r="W4">
        <v>97.658099999999934</v>
      </c>
      <c r="X4">
        <v>148.18</v>
      </c>
      <c r="Y4">
        <v>-46.338050000000003</v>
      </c>
      <c r="Z4">
        <v>-129.3444999999999</v>
      </c>
      <c r="AA4">
        <v>-345.27800000000002</v>
      </c>
      <c r="AB4">
        <v>-5.2367499999999918</v>
      </c>
      <c r="AC4">
        <v>61.552500000000187</v>
      </c>
      <c r="AD4">
        <v>188.55649999999989</v>
      </c>
      <c r="AE4">
        <v>-93.005549999999886</v>
      </c>
      <c r="AF4">
        <v>559.54755</v>
      </c>
      <c r="AG4">
        <v>905.55104999999992</v>
      </c>
      <c r="AH4">
        <v>72.158649999999994</v>
      </c>
      <c r="AI4">
        <v>4.7312019999999997</v>
      </c>
      <c r="AJ4">
        <v>1.8637588</v>
      </c>
      <c r="AK4">
        <v>9.3349199999999966E-3</v>
      </c>
      <c r="AL4">
        <v>26.371292</v>
      </c>
      <c r="AM4">
        <v>-0.55751228000000008</v>
      </c>
      <c r="AN4">
        <v>0.16642080000000001</v>
      </c>
      <c r="AO4">
        <v>0.104618632</v>
      </c>
      <c r="AP4">
        <v>1.6350856</v>
      </c>
      <c r="AQ4">
        <v>0.65611072000000004</v>
      </c>
      <c r="AR4">
        <v>-4.4071493439999998E-2</v>
      </c>
      <c r="AS4">
        <v>0.14090839999999999</v>
      </c>
      <c r="AT4">
        <v>-7.4158760000000008</v>
      </c>
    </row>
    <row r="5" spans="1:46" x14ac:dyDescent="0.25">
      <c r="A5">
        <v>3</v>
      </c>
      <c r="B5">
        <v>9.449524999999996</v>
      </c>
      <c r="C5">
        <v>0.55528857142857146</v>
      </c>
      <c r="D5">
        <v>-0.4793096540431071</v>
      </c>
      <c r="E5">
        <v>9.0876581453438715E-2</v>
      </c>
      <c r="F5">
        <v>1.5950960507173311</v>
      </c>
      <c r="G5">
        <v>13.019831999999999</v>
      </c>
      <c r="H5">
        <v>-10.0831436</v>
      </c>
      <c r="I5">
        <v>-9.034794999999999</v>
      </c>
      <c r="J5">
        <v>13.308068</v>
      </c>
      <c r="K5">
        <v>1.4167997999999999</v>
      </c>
      <c r="L5">
        <v>-9.152706199999999</v>
      </c>
      <c r="M5">
        <v>45.713501999999998</v>
      </c>
      <c r="N5">
        <v>-2.2652092000000001</v>
      </c>
      <c r="O5">
        <v>-20.567238</v>
      </c>
      <c r="P5">
        <v>38.696629999999999</v>
      </c>
      <c r="Q5">
        <v>-9.0744047999999999</v>
      </c>
      <c r="R5">
        <v>8.9048762000000004</v>
      </c>
      <c r="S5">
        <v>-4.2377371999999998</v>
      </c>
      <c r="T5">
        <v>-8.8455756000000001</v>
      </c>
      <c r="U5">
        <v>-64.719250000000088</v>
      </c>
      <c r="V5">
        <v>-29.85265000000004</v>
      </c>
      <c r="W5">
        <v>94.115274999999954</v>
      </c>
      <c r="X5">
        <v>145.64500000000001</v>
      </c>
      <c r="Y5">
        <v>-50.464574999999989</v>
      </c>
      <c r="Z5">
        <v>-135.83799999999991</v>
      </c>
      <c r="AA5">
        <v>-355.96075000000008</v>
      </c>
      <c r="AB5">
        <v>-5.8038749999999837</v>
      </c>
      <c r="AC5">
        <v>70.197500000000133</v>
      </c>
      <c r="AD5">
        <v>194.16599999999971</v>
      </c>
      <c r="AE5">
        <v>-89.957699999999861</v>
      </c>
      <c r="AF5">
        <v>578.1706999999999</v>
      </c>
      <c r="AG5">
        <v>961.94407499999988</v>
      </c>
      <c r="AH5">
        <v>54.639849999999932</v>
      </c>
      <c r="AI5">
        <v>3.9303629999999998</v>
      </c>
      <c r="AJ5">
        <v>1.4348082</v>
      </c>
      <c r="AK5">
        <v>0.10385038000000001</v>
      </c>
      <c r="AL5">
        <v>22.463387999999998</v>
      </c>
      <c r="AM5">
        <v>0.10987157999999959</v>
      </c>
      <c r="AN5">
        <v>-1.322879999999993E-2</v>
      </c>
      <c r="AO5">
        <v>0.11239824800000001</v>
      </c>
      <c r="AP5">
        <v>-0.27668659999999973</v>
      </c>
      <c r="AQ5">
        <v>0.76440357999999997</v>
      </c>
      <c r="AR5">
        <v>-6.6157901160000004E-2</v>
      </c>
      <c r="AS5">
        <v>0.15072859999999999</v>
      </c>
      <c r="AT5">
        <v>-8.9277890000000006</v>
      </c>
    </row>
    <row r="6" spans="1:46" x14ac:dyDescent="0.25">
      <c r="A6">
        <v>4</v>
      </c>
      <c r="B6">
        <v>9.4428499999999946</v>
      </c>
      <c r="C6">
        <v>0.55476615384615391</v>
      </c>
      <c r="D6">
        <v>-0.71977047443284714</v>
      </c>
      <c r="E6">
        <v>0.1151171922118214</v>
      </c>
      <c r="F6">
        <v>1.639395526496451</v>
      </c>
      <c r="G6">
        <v>12.952176</v>
      </c>
      <c r="H6">
        <v>-10.116228</v>
      </c>
      <c r="I6">
        <v>-8.9346724000000002</v>
      </c>
      <c r="J6">
        <v>13.462096000000001</v>
      </c>
      <c r="K6">
        <v>1.3662175999999999</v>
      </c>
      <c r="L6">
        <v>-9.2904147999999989</v>
      </c>
      <c r="M6">
        <v>45.348464</v>
      </c>
      <c r="N6">
        <v>-2.2703052000000001</v>
      </c>
      <c r="O6">
        <v>-20.497812</v>
      </c>
      <c r="P6">
        <v>38.895012000000001</v>
      </c>
      <c r="Q6">
        <v>-9.1689048</v>
      </c>
      <c r="R6">
        <v>9.5064656000000003</v>
      </c>
      <c r="S6">
        <v>-3.2512987999999998</v>
      </c>
      <c r="T6">
        <v>-8.7809080000000002</v>
      </c>
      <c r="U6">
        <v>-64.775000000000105</v>
      </c>
      <c r="V6">
        <v>-25.9284</v>
      </c>
      <c r="W6">
        <v>90.488349999999954</v>
      </c>
      <c r="X6">
        <v>142.82400000000001</v>
      </c>
      <c r="Y6">
        <v>-54.526764999999983</v>
      </c>
      <c r="Z6">
        <v>-142.37399999999991</v>
      </c>
      <c r="AA6">
        <v>-366.54250000000019</v>
      </c>
      <c r="AB6">
        <v>-6.5367999999999782</v>
      </c>
      <c r="AC6">
        <v>78.454500000000081</v>
      </c>
      <c r="AD6">
        <v>199.7379999999996</v>
      </c>
      <c r="AE6">
        <v>-87.11789999999985</v>
      </c>
      <c r="AF6">
        <v>594.09129999999993</v>
      </c>
      <c r="AG6">
        <v>1014.69705</v>
      </c>
      <c r="AH6">
        <v>37.396349999999877</v>
      </c>
      <c r="AI6">
        <v>3.2494200000000002</v>
      </c>
      <c r="AJ6">
        <v>1.0753159999999999</v>
      </c>
      <c r="AK6">
        <v>0.18069940000000001</v>
      </c>
      <c r="AL6">
        <v>19.206123999999999</v>
      </c>
      <c r="AM6">
        <v>0.69442336000000005</v>
      </c>
      <c r="AN6">
        <v>-0.16067003999999999</v>
      </c>
      <c r="AO6">
        <v>0.117587836</v>
      </c>
      <c r="AP6">
        <v>-1.9444336</v>
      </c>
      <c r="AQ6">
        <v>0.8888989599999999</v>
      </c>
      <c r="AR6">
        <v>-8.8162904E-2</v>
      </c>
      <c r="AS6">
        <v>0.1584284</v>
      </c>
      <c r="AT6">
        <v>-10.696576</v>
      </c>
    </row>
    <row r="7" spans="1:46" x14ac:dyDescent="0.25">
      <c r="A7">
        <v>5</v>
      </c>
      <c r="B7">
        <v>9.4369999999999905</v>
      </c>
      <c r="C7">
        <v>0.55424615384615383</v>
      </c>
      <c r="D7">
        <v>-0.76815230187220662</v>
      </c>
      <c r="E7">
        <v>0.112113473752189</v>
      </c>
      <c r="F7">
        <v>1.506930245742564</v>
      </c>
      <c r="G7">
        <v>12.885070000000001</v>
      </c>
      <c r="H7">
        <v>-10.135910000000001</v>
      </c>
      <c r="I7">
        <v>-8.8476529999999993</v>
      </c>
      <c r="J7">
        <v>13.604419999999999</v>
      </c>
      <c r="K7">
        <v>1.3021119999999999</v>
      </c>
      <c r="L7">
        <v>-9.4508010000000002</v>
      </c>
      <c r="M7">
        <v>44.947830000000003</v>
      </c>
      <c r="N7">
        <v>-2.2789190000000001</v>
      </c>
      <c r="O7">
        <v>-20.401039999999998</v>
      </c>
      <c r="P7">
        <v>39.114139999999999</v>
      </c>
      <c r="Q7">
        <v>-9.2545409999999997</v>
      </c>
      <c r="R7">
        <v>10.147402</v>
      </c>
      <c r="S7">
        <v>-2.109370999999999</v>
      </c>
      <c r="T7">
        <v>-8.7730949999999996</v>
      </c>
      <c r="U7">
        <v>-64.368750000000063</v>
      </c>
      <c r="V7">
        <v>-21.952999999999999</v>
      </c>
      <c r="W7">
        <v>86.398874999999947</v>
      </c>
      <c r="X7">
        <v>138.42999999999989</v>
      </c>
      <c r="Y7">
        <v>-58.235112499999993</v>
      </c>
      <c r="Z7">
        <v>-149.1437499999999</v>
      </c>
      <c r="AA7">
        <v>-376.56875000000002</v>
      </c>
      <c r="AB7">
        <v>-8.1816249999999862</v>
      </c>
      <c r="AC7">
        <v>84.577500000000015</v>
      </c>
      <c r="AD7">
        <v>205.10374999999971</v>
      </c>
      <c r="AE7">
        <v>-85.422374999999903</v>
      </c>
      <c r="AF7">
        <v>595.147875</v>
      </c>
      <c r="AG7">
        <v>1047.42975</v>
      </c>
      <c r="AH7">
        <v>21.66699999999992</v>
      </c>
      <c r="AI7">
        <v>3.2279049999999998</v>
      </c>
      <c r="AJ7">
        <v>1.097845</v>
      </c>
      <c r="AK7">
        <v>0.160383</v>
      </c>
      <c r="AL7">
        <v>19.527380000000001</v>
      </c>
      <c r="AM7">
        <v>0.82339870000000004</v>
      </c>
      <c r="AN7">
        <v>-0.13096530000000001</v>
      </c>
      <c r="AO7">
        <v>0.10853227</v>
      </c>
      <c r="AP7">
        <v>-2.2700420000000001</v>
      </c>
      <c r="AQ7">
        <v>1.1025081999999999</v>
      </c>
      <c r="AR7">
        <v>-0.10972018</v>
      </c>
      <c r="AS7">
        <v>0.15446599999999999</v>
      </c>
      <c r="AT7">
        <v>-13.878170000000001</v>
      </c>
    </row>
    <row r="8" spans="1:46" x14ac:dyDescent="0.25">
      <c r="A8">
        <v>6</v>
      </c>
      <c r="B8">
        <v>9.4311499999999882</v>
      </c>
      <c r="C8">
        <v>0.55372615384615387</v>
      </c>
      <c r="D8">
        <v>-0.75448671480647478</v>
      </c>
      <c r="E8">
        <v>0.1746979019779531</v>
      </c>
      <c r="F8">
        <v>1.494174639844468</v>
      </c>
      <c r="G8">
        <v>12.817964</v>
      </c>
      <c r="H8">
        <v>-10.155592</v>
      </c>
      <c r="I8">
        <v>-8.7606336000000002</v>
      </c>
      <c r="J8">
        <v>13.746744</v>
      </c>
      <c r="K8">
        <v>1.2380064</v>
      </c>
      <c r="L8">
        <v>-9.6111871999999998</v>
      </c>
      <c r="M8">
        <v>44.547196</v>
      </c>
      <c r="N8">
        <v>-2.2875328000000001</v>
      </c>
      <c r="O8">
        <v>-20.304268</v>
      </c>
      <c r="P8">
        <v>39.333267999999997</v>
      </c>
      <c r="Q8">
        <v>-9.3401771999999994</v>
      </c>
      <c r="R8">
        <v>10.788338400000001</v>
      </c>
      <c r="S8">
        <v>-0.96744319999999995</v>
      </c>
      <c r="T8">
        <v>-8.7652819999999991</v>
      </c>
      <c r="U8">
        <v>-63.962500000000027</v>
      </c>
      <c r="V8">
        <v>-17.977599999999999</v>
      </c>
      <c r="W8">
        <v>82.309399999999926</v>
      </c>
      <c r="X8">
        <v>134.03599999999989</v>
      </c>
      <c r="Y8">
        <v>-61.943459999999988</v>
      </c>
      <c r="Z8">
        <v>-155.91349999999991</v>
      </c>
      <c r="AA8">
        <v>-386.59499999999991</v>
      </c>
      <c r="AB8">
        <v>-9.8264499999999941</v>
      </c>
      <c r="AC8">
        <v>90.700499999999948</v>
      </c>
      <c r="AD8">
        <v>210.46949999999981</v>
      </c>
      <c r="AE8">
        <v>-83.726849999999942</v>
      </c>
      <c r="AF8">
        <v>596.20445000000007</v>
      </c>
      <c r="AG8">
        <v>1080.16245</v>
      </c>
      <c r="AH8">
        <v>5.9376499999999623</v>
      </c>
      <c r="AI8">
        <v>3.2063899999999999</v>
      </c>
      <c r="AJ8">
        <v>1.120374</v>
      </c>
      <c r="AK8">
        <v>0.14006660000000001</v>
      </c>
      <c r="AL8">
        <v>19.848635999999999</v>
      </c>
      <c r="AM8">
        <v>0.95237404000000003</v>
      </c>
      <c r="AN8">
        <v>-0.10126056</v>
      </c>
      <c r="AO8">
        <v>9.9476703999999999E-2</v>
      </c>
      <c r="AP8">
        <v>-2.5956503999999998</v>
      </c>
      <c r="AQ8">
        <v>1.31611744</v>
      </c>
      <c r="AR8">
        <v>-0.13127745599999999</v>
      </c>
      <c r="AS8">
        <v>0.15050359999999999</v>
      </c>
      <c r="AT8">
        <v>-17.059764000000001</v>
      </c>
    </row>
    <row r="9" spans="1:46" x14ac:dyDescent="0.25">
      <c r="A9">
        <v>7</v>
      </c>
      <c r="B9">
        <v>9.4252999999999858</v>
      </c>
      <c r="C9">
        <v>0.55320615384615379</v>
      </c>
      <c r="D9">
        <v>-0.75139826157248479</v>
      </c>
      <c r="E9">
        <v>0.2236692885018946</v>
      </c>
      <c r="F9">
        <v>1.904193382734525</v>
      </c>
      <c r="G9">
        <v>12.750857999999999</v>
      </c>
      <c r="H9">
        <v>-10.175274</v>
      </c>
      <c r="I9">
        <v>-8.6736141999999994</v>
      </c>
      <c r="J9">
        <v>13.889068</v>
      </c>
      <c r="K9">
        <v>1.1739008</v>
      </c>
      <c r="L9">
        <v>-9.7715733999999994</v>
      </c>
      <c r="M9">
        <v>44.146562000000003</v>
      </c>
      <c r="N9">
        <v>-2.2961466000000001</v>
      </c>
      <c r="O9">
        <v>-20.207495999999999</v>
      </c>
      <c r="P9">
        <v>39.552395999999987</v>
      </c>
      <c r="Q9">
        <v>-9.4258133999999991</v>
      </c>
      <c r="R9">
        <v>11.4292748</v>
      </c>
      <c r="S9">
        <v>0.17448459999999999</v>
      </c>
      <c r="T9">
        <v>-8.7574690000000004</v>
      </c>
      <c r="U9">
        <v>-63.556249999999991</v>
      </c>
      <c r="V9">
        <v>-14.00219999999999</v>
      </c>
      <c r="W9">
        <v>78.219924999999904</v>
      </c>
      <c r="X9">
        <v>129.64199999999991</v>
      </c>
      <c r="Y9">
        <v>-65.65180749999999</v>
      </c>
      <c r="Z9">
        <v>-162.68324999999999</v>
      </c>
      <c r="AA9">
        <v>-396.62124999999969</v>
      </c>
      <c r="AB9">
        <v>-11.471275</v>
      </c>
      <c r="AC9">
        <v>96.823499999999882</v>
      </c>
      <c r="AD9">
        <v>215.83524999999989</v>
      </c>
      <c r="AE9">
        <v>-82.031324999999995</v>
      </c>
      <c r="AF9">
        <v>597.26102500000013</v>
      </c>
      <c r="AG9">
        <v>1112.8951500000001</v>
      </c>
      <c r="AH9">
        <v>-9.7917000000000129</v>
      </c>
      <c r="AI9">
        <v>3.1848749999999999</v>
      </c>
      <c r="AJ9">
        <v>1.142903</v>
      </c>
      <c r="AK9">
        <v>0.1197502</v>
      </c>
      <c r="AL9">
        <v>20.169892000000001</v>
      </c>
      <c r="AM9">
        <v>1.08134938</v>
      </c>
      <c r="AN9">
        <v>-7.1555820000000006E-2</v>
      </c>
      <c r="AO9">
        <v>9.0421137999999998E-2</v>
      </c>
      <c r="AP9">
        <v>-2.9212587999999999</v>
      </c>
      <c r="AQ9">
        <v>1.52972668</v>
      </c>
      <c r="AR9">
        <v>-0.152834732</v>
      </c>
      <c r="AS9">
        <v>0.14654120000000001</v>
      </c>
      <c r="AT9">
        <v>-20.241358000000002</v>
      </c>
    </row>
    <row r="10" spans="1:46" x14ac:dyDescent="0.25">
      <c r="A10">
        <v>8</v>
      </c>
      <c r="B10">
        <v>9.4200499999999856</v>
      </c>
      <c r="C10">
        <v>0.55268923076923071</v>
      </c>
      <c r="D10">
        <v>-0.76387444082173128</v>
      </c>
      <c r="E10">
        <v>0.24763614605756101</v>
      </c>
      <c r="F10">
        <v>2.2824746712932651</v>
      </c>
      <c r="G10">
        <v>12.684552</v>
      </c>
      <c r="H10">
        <v>-10.190044</v>
      </c>
      <c r="I10">
        <v>-8.5918963999999995</v>
      </c>
      <c r="J10">
        <v>14.024832</v>
      </c>
      <c r="K10">
        <v>1.10558456</v>
      </c>
      <c r="L10">
        <v>-9.9403772000000004</v>
      </c>
      <c r="M10">
        <v>43.734192</v>
      </c>
      <c r="N10">
        <v>-2.3075299999999999</v>
      </c>
      <c r="O10">
        <v>-20.105595999999998</v>
      </c>
      <c r="P10">
        <v>39.777188000000002</v>
      </c>
      <c r="Q10">
        <v>-9.5104991999999999</v>
      </c>
      <c r="R10">
        <v>12.058503999999999</v>
      </c>
      <c r="S10">
        <v>1.3404436</v>
      </c>
      <c r="T10">
        <v>-8.7676999999999996</v>
      </c>
      <c r="U10">
        <v>-63.026999999999958</v>
      </c>
      <c r="V10">
        <v>-10.02799999999999</v>
      </c>
      <c r="W10">
        <v>74.0423499999999</v>
      </c>
      <c r="X10">
        <v>124.6719999999998</v>
      </c>
      <c r="Y10">
        <v>-69.127555000000001</v>
      </c>
      <c r="Z10">
        <v>-169.44030000000001</v>
      </c>
      <c r="AA10">
        <v>-406.36549999999971</v>
      </c>
      <c r="AB10">
        <v>-13.518200000000011</v>
      </c>
      <c r="AC10">
        <v>101.4344999999999</v>
      </c>
      <c r="AD10">
        <v>220.35400000000001</v>
      </c>
      <c r="AE10">
        <v>-80.974900000000048</v>
      </c>
      <c r="AF10">
        <v>591.90110000000016</v>
      </c>
      <c r="AG10">
        <v>1137.6922500000001</v>
      </c>
      <c r="AH10">
        <v>-24.69874999999999</v>
      </c>
      <c r="AI10">
        <v>3.3483056000000002</v>
      </c>
      <c r="AJ10">
        <v>1.2167239999999999</v>
      </c>
      <c r="AK10">
        <v>9.1736423999999983E-2</v>
      </c>
      <c r="AL10">
        <v>21.790987999999999</v>
      </c>
      <c r="AM10">
        <v>1.05476104</v>
      </c>
      <c r="AN10">
        <v>-4.0926511999999991E-2</v>
      </c>
      <c r="AO10">
        <v>7.6398540000000001E-2</v>
      </c>
      <c r="AP10">
        <v>-2.83891224</v>
      </c>
      <c r="AQ10">
        <v>1.7111428</v>
      </c>
      <c r="AR10">
        <v>-0.16520396000000001</v>
      </c>
      <c r="AS10">
        <v>0.135808024</v>
      </c>
      <c r="AT10">
        <v>-23.033647999999999</v>
      </c>
    </row>
    <row r="11" spans="1:46" x14ac:dyDescent="0.25">
      <c r="A11">
        <v>9</v>
      </c>
      <c r="B11">
        <v>9.4161499999999894</v>
      </c>
      <c r="C11">
        <v>0.5521792307692307</v>
      </c>
      <c r="D11">
        <v>-0.64824158137534427</v>
      </c>
      <c r="E11">
        <v>0.19720782016163549</v>
      </c>
      <c r="F11">
        <v>2.3864351181905139</v>
      </c>
      <c r="G11">
        <v>12.620046</v>
      </c>
      <c r="H11">
        <v>-10.193762</v>
      </c>
      <c r="I11">
        <v>-8.5221072000000007</v>
      </c>
      <c r="J11">
        <v>14.145835999999999</v>
      </c>
      <c r="K11">
        <v>1.02779438</v>
      </c>
      <c r="L11">
        <v>-10.128120600000001</v>
      </c>
      <c r="M11">
        <v>43.295416000000003</v>
      </c>
      <c r="N11">
        <v>-2.325145</v>
      </c>
      <c r="O11">
        <v>-19.992158</v>
      </c>
      <c r="P11">
        <v>40.014724000000001</v>
      </c>
      <c r="Q11">
        <v>-9.5930465999999992</v>
      </c>
      <c r="R11">
        <v>12.661391999999999</v>
      </c>
      <c r="S11">
        <v>2.5604727999999999</v>
      </c>
      <c r="T11">
        <v>-8.8185299999999991</v>
      </c>
      <c r="U11">
        <v>-62.220999999999933</v>
      </c>
      <c r="V11">
        <v>-6.056500000000006</v>
      </c>
      <c r="W11">
        <v>69.666549999999916</v>
      </c>
      <c r="X11">
        <v>118.40599999999991</v>
      </c>
      <c r="Y11">
        <v>-72.079952500000005</v>
      </c>
      <c r="Z11">
        <v>-176.16877500000001</v>
      </c>
      <c r="AA11">
        <v>-415.47524999999979</v>
      </c>
      <c r="AB11">
        <v>-16.469850000000012</v>
      </c>
      <c r="AC11">
        <v>102.6434999999999</v>
      </c>
      <c r="AD11">
        <v>222.9670000000001</v>
      </c>
      <c r="AE11">
        <v>-81.356450000000095</v>
      </c>
      <c r="AF11">
        <v>572.10405000000003</v>
      </c>
      <c r="AG11">
        <v>1144.6342500000001</v>
      </c>
      <c r="AH11">
        <v>-37.755624999999981</v>
      </c>
      <c r="AI11">
        <v>3.9278637999999999</v>
      </c>
      <c r="AJ11">
        <v>1.4059520000000001</v>
      </c>
      <c r="AK11">
        <v>4.6403551999999987E-2</v>
      </c>
      <c r="AL11">
        <v>26.336724</v>
      </c>
      <c r="AM11">
        <v>0.67815442000000004</v>
      </c>
      <c r="AN11">
        <v>-8.2169259999999855E-3</v>
      </c>
      <c r="AO11">
        <v>5.1200119999999988E-2</v>
      </c>
      <c r="AP11">
        <v>-1.838667019999999</v>
      </c>
      <c r="AQ11">
        <v>1.8201244000000001</v>
      </c>
      <c r="AR11">
        <v>-0.15690008</v>
      </c>
      <c r="AS11">
        <v>0.109840602</v>
      </c>
      <c r="AT11">
        <v>-24.950004</v>
      </c>
    </row>
    <row r="12" spans="1:46" x14ac:dyDescent="0.25">
      <c r="A12">
        <v>10</v>
      </c>
      <c r="B12">
        <v>9.4122499999999931</v>
      </c>
      <c r="C12">
        <v>0.5516692307692308</v>
      </c>
      <c r="D12">
        <v>-0.41867929583090557</v>
      </c>
      <c r="E12">
        <v>0.1390245199156995</v>
      </c>
      <c r="F12">
        <v>2.3689381625261419</v>
      </c>
      <c r="G12">
        <v>12.555540000000001</v>
      </c>
      <c r="H12">
        <v>-10.197480000000001</v>
      </c>
      <c r="I12">
        <v>-8.452318</v>
      </c>
      <c r="J12">
        <v>14.26684</v>
      </c>
      <c r="K12">
        <v>0.95000419999999997</v>
      </c>
      <c r="L12">
        <v>-10.315863999999999</v>
      </c>
      <c r="M12">
        <v>42.856639999999999</v>
      </c>
      <c r="N12">
        <v>-2.3427600000000002</v>
      </c>
      <c r="O12">
        <v>-19.878720000000001</v>
      </c>
      <c r="P12">
        <v>40.25226</v>
      </c>
      <c r="Q12">
        <v>-9.6755940000000002</v>
      </c>
      <c r="R12">
        <v>13.264279999999999</v>
      </c>
      <c r="S12">
        <v>3.7805019999999998</v>
      </c>
      <c r="T12">
        <v>-8.8693600000000004</v>
      </c>
      <c r="U12">
        <v>-61.414999999999907</v>
      </c>
      <c r="V12">
        <v>-2.0850000000000239</v>
      </c>
      <c r="W12">
        <v>65.290749999999946</v>
      </c>
      <c r="X12">
        <v>112.1399999999999</v>
      </c>
      <c r="Y12">
        <v>-75.032350000000008</v>
      </c>
      <c r="Z12">
        <v>-182.89725000000001</v>
      </c>
      <c r="AA12">
        <v>-424.58499999999992</v>
      </c>
      <c r="AB12">
        <v>-19.421500000000009</v>
      </c>
      <c r="AC12">
        <v>103.85250000000001</v>
      </c>
      <c r="AD12">
        <v>225.58000000000021</v>
      </c>
      <c r="AE12">
        <v>-81.738000000000127</v>
      </c>
      <c r="AF12">
        <v>552.30700000000002</v>
      </c>
      <c r="AG12">
        <v>1151.5762500000001</v>
      </c>
      <c r="AH12">
        <v>-50.812499999999972</v>
      </c>
      <c r="AI12">
        <v>4.507422</v>
      </c>
      <c r="AJ12">
        <v>1.59518</v>
      </c>
      <c r="AK12">
        <v>1.070679999999991E-3</v>
      </c>
      <c r="AL12">
        <v>30.882459999999998</v>
      </c>
      <c r="AM12">
        <v>0.30154779999999992</v>
      </c>
      <c r="AN12">
        <v>2.449266000000002E-2</v>
      </c>
      <c r="AO12">
        <v>2.6001699999999999E-2</v>
      </c>
      <c r="AP12">
        <v>-0.83842179999999944</v>
      </c>
      <c r="AQ12">
        <v>1.929106</v>
      </c>
      <c r="AR12">
        <v>-0.14859620000000001</v>
      </c>
      <c r="AS12">
        <v>8.3873179999999992E-2</v>
      </c>
      <c r="AT12">
        <v>-26.86636</v>
      </c>
    </row>
    <row r="13" spans="1:46" x14ac:dyDescent="0.25">
      <c r="A13">
        <v>11</v>
      </c>
      <c r="B13">
        <v>9.4083499999999987</v>
      </c>
      <c r="C13">
        <v>0.55115923076923079</v>
      </c>
      <c r="D13">
        <v>-0.1797023020459218</v>
      </c>
      <c r="E13">
        <v>7.8850053265948128E-2</v>
      </c>
      <c r="F13">
        <v>2.3062030906729998</v>
      </c>
      <c r="G13">
        <v>12.491034000000001</v>
      </c>
      <c r="H13">
        <v>-10.201198</v>
      </c>
      <c r="I13">
        <v>-8.3825288000000011</v>
      </c>
      <c r="J13">
        <v>14.387843999999999</v>
      </c>
      <c r="K13">
        <v>0.87221402000000003</v>
      </c>
      <c r="L13">
        <v>-10.5036074</v>
      </c>
      <c r="M13">
        <v>42.417864000000002</v>
      </c>
      <c r="N13">
        <v>-2.3603749999999999</v>
      </c>
      <c r="O13">
        <v>-19.765281999999999</v>
      </c>
      <c r="P13">
        <v>40.489795999999998</v>
      </c>
      <c r="Q13">
        <v>-9.7581413999999995</v>
      </c>
      <c r="R13">
        <v>13.867167999999999</v>
      </c>
      <c r="S13">
        <v>5.0005312000000002</v>
      </c>
      <c r="T13">
        <v>-8.9201899999999998</v>
      </c>
      <c r="U13">
        <v>-60.608999999999881</v>
      </c>
      <c r="V13">
        <v>1.886499999999957</v>
      </c>
      <c r="W13">
        <v>60.914949999999983</v>
      </c>
      <c r="X13">
        <v>105.874</v>
      </c>
      <c r="Y13">
        <v>-77.984747500000012</v>
      </c>
      <c r="Z13">
        <v>-189.62572499999999</v>
      </c>
      <c r="AA13">
        <v>-433.69475</v>
      </c>
      <c r="AB13">
        <v>-22.373149999999999</v>
      </c>
      <c r="AC13">
        <v>105.06150000000009</v>
      </c>
      <c r="AD13">
        <v>228.19300000000041</v>
      </c>
      <c r="AE13">
        <v>-82.119550000000174</v>
      </c>
      <c r="AF13">
        <v>532.50994999999989</v>
      </c>
      <c r="AG13">
        <v>1158.5182500000001</v>
      </c>
      <c r="AH13">
        <v>-63.86937499999997</v>
      </c>
      <c r="AI13">
        <v>5.0869802000000002</v>
      </c>
      <c r="AJ13">
        <v>1.784408</v>
      </c>
      <c r="AK13">
        <v>-4.4262192000000013E-2</v>
      </c>
      <c r="AL13">
        <v>35.428196</v>
      </c>
      <c r="AM13">
        <v>-7.5058820000000193E-2</v>
      </c>
      <c r="AN13">
        <v>5.7202246000000019E-2</v>
      </c>
      <c r="AO13">
        <v>8.0327999999998956E-4</v>
      </c>
      <c r="AP13">
        <v>0.16182342000000061</v>
      </c>
      <c r="AQ13">
        <v>2.0380875999999999</v>
      </c>
      <c r="AR13">
        <v>-0.14029232</v>
      </c>
      <c r="AS13">
        <v>5.7905757999999988E-2</v>
      </c>
      <c r="AT13">
        <v>-28.782716000000001</v>
      </c>
    </row>
    <row r="14" spans="1:46" x14ac:dyDescent="0.25">
      <c r="A14">
        <v>12</v>
      </c>
      <c r="B14">
        <v>9.4053500000000003</v>
      </c>
      <c r="C14">
        <v>0.55065945054945054</v>
      </c>
      <c r="D14">
        <v>-3.2918747031445157E-2</v>
      </c>
      <c r="E14">
        <v>5.6564896076243688E-2</v>
      </c>
      <c r="F14">
        <v>2.2712028901145769</v>
      </c>
      <c r="G14">
        <v>12.428304000000001</v>
      </c>
      <c r="H14">
        <v>-10.197620000000001</v>
      </c>
      <c r="I14">
        <v>-8.3209440000000008</v>
      </c>
      <c r="J14">
        <v>14.495552</v>
      </c>
      <c r="K14">
        <v>0.78983864000000015</v>
      </c>
      <c r="L14">
        <v>-10.703568000000001</v>
      </c>
      <c r="M14">
        <v>41.963056000000002</v>
      </c>
      <c r="N14">
        <v>-2.3847339999999999</v>
      </c>
      <c r="O14">
        <v>-19.655072000000001</v>
      </c>
      <c r="P14">
        <v>40.728484000000002</v>
      </c>
      <c r="Q14">
        <v>-9.8435231999999999</v>
      </c>
      <c r="R14">
        <v>14.41452</v>
      </c>
      <c r="S14">
        <v>6.2101455999999988</v>
      </c>
      <c r="T14">
        <v>-8.9921639999999989</v>
      </c>
      <c r="U14">
        <v>-59.697999999999887</v>
      </c>
      <c r="V14">
        <v>5.8189999999999698</v>
      </c>
      <c r="W14">
        <v>56.558200000000006</v>
      </c>
      <c r="X14">
        <v>98.76650000000005</v>
      </c>
      <c r="Y14">
        <v>-80.419105000000016</v>
      </c>
      <c r="Z14">
        <v>-196.15289999999999</v>
      </c>
      <c r="AA14">
        <v>-442.60200000000009</v>
      </c>
      <c r="AB14">
        <v>-26.001899999999988</v>
      </c>
      <c r="AC14">
        <v>103.37100000000009</v>
      </c>
      <c r="AD14">
        <v>228.63400000000041</v>
      </c>
      <c r="AE14">
        <v>-83.576150000000183</v>
      </c>
      <c r="AF14">
        <v>505.37999999999988</v>
      </c>
      <c r="AG14">
        <v>1155.0499500000001</v>
      </c>
      <c r="AH14">
        <v>-75.192399999999964</v>
      </c>
      <c r="AI14">
        <v>5.3259256000000006</v>
      </c>
      <c r="AJ14">
        <v>1.8761648</v>
      </c>
      <c r="AK14">
        <v>-7.0957432000000001E-2</v>
      </c>
      <c r="AL14">
        <v>37.714103999999999</v>
      </c>
      <c r="AM14">
        <v>-0.20441960000000009</v>
      </c>
      <c r="AN14">
        <v>8.393388799999997E-2</v>
      </c>
      <c r="AO14">
        <v>-1.2052511199999999E-2</v>
      </c>
      <c r="AP14">
        <v>0.52484584000000045</v>
      </c>
      <c r="AQ14">
        <v>2.1559887999999998</v>
      </c>
      <c r="AR14">
        <v>-0.13633387999999999</v>
      </c>
      <c r="AS14">
        <v>4.5242243999999987E-2</v>
      </c>
      <c r="AT14">
        <v>-30.696179999999991</v>
      </c>
    </row>
    <row r="15" spans="1:46" x14ac:dyDescent="0.25">
      <c r="A15">
        <v>13</v>
      </c>
      <c r="B15">
        <v>9.4034000000000031</v>
      </c>
      <c r="C15">
        <v>0.5501715934065935</v>
      </c>
      <c r="D15">
        <v>5.1896905114196229E-2</v>
      </c>
      <c r="E15">
        <v>5.3087604393816337E-2</v>
      </c>
      <c r="F15">
        <v>2.2989291025876848</v>
      </c>
      <c r="G15">
        <v>12.367646000000001</v>
      </c>
      <c r="H15">
        <v>-10.18553</v>
      </c>
      <c r="I15">
        <v>-8.2689310000000003</v>
      </c>
      <c r="J15">
        <v>14.587747999999999</v>
      </c>
      <c r="K15">
        <v>0.70211386000000009</v>
      </c>
      <c r="L15">
        <v>-10.917782000000001</v>
      </c>
      <c r="M15">
        <v>41.489544000000002</v>
      </c>
      <c r="N15">
        <v>-2.4169610000000001</v>
      </c>
      <c r="O15">
        <v>-19.548628000000001</v>
      </c>
      <c r="P15">
        <v>40.968516000000001</v>
      </c>
      <c r="Q15">
        <v>-9.932211800000001</v>
      </c>
      <c r="R15">
        <v>14.897080000000001</v>
      </c>
      <c r="S15">
        <v>7.4076093999999992</v>
      </c>
      <c r="T15">
        <v>-9.0888059999999999</v>
      </c>
      <c r="U15">
        <v>-58.664499999999933</v>
      </c>
      <c r="V15">
        <v>9.706000000000035</v>
      </c>
      <c r="W15">
        <v>52.223675000000028</v>
      </c>
      <c r="X15">
        <v>90.677250000000086</v>
      </c>
      <c r="Y15">
        <v>-82.249082500000014</v>
      </c>
      <c r="Z15">
        <v>-202.44522499999999</v>
      </c>
      <c r="AA15">
        <v>-451.27300000000031</v>
      </c>
      <c r="AB15">
        <v>-30.42059999999999</v>
      </c>
      <c r="AC15">
        <v>98.297749999999994</v>
      </c>
      <c r="AD15">
        <v>226.5410000000002</v>
      </c>
      <c r="AE15">
        <v>-86.28697500000014</v>
      </c>
      <c r="AF15">
        <v>469.69499999999988</v>
      </c>
      <c r="AG15">
        <v>1139.4363000000001</v>
      </c>
      <c r="AH15">
        <v>-84.492599999999982</v>
      </c>
      <c r="AI15">
        <v>5.1674894</v>
      </c>
      <c r="AJ15">
        <v>1.8542052</v>
      </c>
      <c r="AK15">
        <v>-7.5908768000000001E-2</v>
      </c>
      <c r="AL15">
        <v>37.363545999999999</v>
      </c>
      <c r="AM15">
        <v>-4.5326900000000059E-2</v>
      </c>
      <c r="AN15">
        <v>0.10369126200000001</v>
      </c>
      <c r="AO15">
        <v>-1.05085688E-2</v>
      </c>
      <c r="AP15">
        <v>0.14444166000000019</v>
      </c>
      <c r="AQ15">
        <v>2.2842962</v>
      </c>
      <c r="AR15">
        <v>-0.13744512</v>
      </c>
      <c r="AS15">
        <v>4.8099955999999999E-2</v>
      </c>
      <c r="AT15">
        <v>-32.606269999999988</v>
      </c>
    </row>
    <row r="16" spans="1:46" x14ac:dyDescent="0.25">
      <c r="A16">
        <v>14</v>
      </c>
      <c r="B16">
        <v>9.4014500000000041</v>
      </c>
      <c r="C16">
        <v>0.54968373626373634</v>
      </c>
      <c r="D16">
        <v>0.11245933352573161</v>
      </c>
      <c r="E16">
        <v>5.3319270110965322E-2</v>
      </c>
      <c r="F16">
        <v>2.4150868210635248</v>
      </c>
      <c r="G16">
        <v>12.306988</v>
      </c>
      <c r="H16">
        <v>-10.173439999999999</v>
      </c>
      <c r="I16">
        <v>-8.2169179999999997</v>
      </c>
      <c r="J16">
        <v>14.679944000000001</v>
      </c>
      <c r="K16">
        <v>0.61438908000000003</v>
      </c>
      <c r="L16">
        <v>-11.131995999999999</v>
      </c>
      <c r="M16">
        <v>41.016032000000003</v>
      </c>
      <c r="N16">
        <v>-2.4491879999999999</v>
      </c>
      <c r="O16">
        <v>-19.442184000000001</v>
      </c>
      <c r="P16">
        <v>41.208548</v>
      </c>
      <c r="Q16">
        <v>-10.0209004</v>
      </c>
      <c r="R16">
        <v>15.37964</v>
      </c>
      <c r="S16">
        <v>8.6050731999999996</v>
      </c>
      <c r="T16">
        <v>-9.1854479999999992</v>
      </c>
      <c r="U16">
        <v>-57.630999999999972</v>
      </c>
      <c r="V16">
        <v>13.593000000000099</v>
      </c>
      <c r="W16">
        <v>47.889150000000043</v>
      </c>
      <c r="X16">
        <v>82.588000000000108</v>
      </c>
      <c r="Y16">
        <v>-84.079060000000013</v>
      </c>
      <c r="Z16">
        <v>-208.73755000000011</v>
      </c>
      <c r="AA16">
        <v>-459.94400000000041</v>
      </c>
      <c r="AB16">
        <v>-34.839299999999987</v>
      </c>
      <c r="AC16">
        <v>93.224499999999921</v>
      </c>
      <c r="AD16">
        <v>224.44800000000001</v>
      </c>
      <c r="AE16">
        <v>-88.997800000000112</v>
      </c>
      <c r="AF16">
        <v>434.00999999999988</v>
      </c>
      <c r="AG16">
        <v>1123.8226500000001</v>
      </c>
      <c r="AH16">
        <v>-93.792800000000014</v>
      </c>
      <c r="AI16">
        <v>5.0090532000000003</v>
      </c>
      <c r="AJ16">
        <v>1.8322456</v>
      </c>
      <c r="AK16">
        <v>-8.0860104000000002E-2</v>
      </c>
      <c r="AL16">
        <v>37.012988</v>
      </c>
      <c r="AM16">
        <v>0.1137658</v>
      </c>
      <c r="AN16">
        <v>0.123448636</v>
      </c>
      <c r="AO16">
        <v>-8.9646264E-3</v>
      </c>
      <c r="AP16">
        <v>-0.23596252000000001</v>
      </c>
      <c r="AQ16">
        <v>2.4126036000000002</v>
      </c>
      <c r="AR16">
        <v>-0.13855635999999999</v>
      </c>
      <c r="AS16">
        <v>5.0957667999999998E-2</v>
      </c>
      <c r="AT16">
        <v>-34.516359999999999</v>
      </c>
    </row>
    <row r="17" spans="1:46" x14ac:dyDescent="0.25">
      <c r="A17">
        <v>15</v>
      </c>
      <c r="B17">
        <v>9.3995000000000068</v>
      </c>
      <c r="C17">
        <v>0.54919587912087919</v>
      </c>
      <c r="D17">
        <v>0.14284296525390211</v>
      </c>
      <c r="E17">
        <v>5.6980861776711147E-2</v>
      </c>
      <c r="F17">
        <v>2.553931797873032</v>
      </c>
      <c r="G17">
        <v>12.24633</v>
      </c>
      <c r="H17">
        <v>-10.161350000000001</v>
      </c>
      <c r="I17">
        <v>-8.1649049999999992</v>
      </c>
      <c r="J17">
        <v>14.77214</v>
      </c>
      <c r="K17">
        <v>0.52666429999999997</v>
      </c>
      <c r="L17">
        <v>-11.346209999999999</v>
      </c>
      <c r="M17">
        <v>40.542520000000003</v>
      </c>
      <c r="N17">
        <v>-2.4814150000000001</v>
      </c>
      <c r="O17">
        <v>-19.335740000000001</v>
      </c>
      <c r="P17">
        <v>41.44858</v>
      </c>
      <c r="Q17">
        <v>-10.109589</v>
      </c>
      <c r="R17">
        <v>15.8622</v>
      </c>
      <c r="S17">
        <v>9.8025370000000009</v>
      </c>
      <c r="T17">
        <v>-9.2820900000000002</v>
      </c>
      <c r="U17">
        <v>-56.597500000000011</v>
      </c>
      <c r="V17">
        <v>17.48000000000016</v>
      </c>
      <c r="W17">
        <v>43.554625000000073</v>
      </c>
      <c r="X17">
        <v>74.498750000000143</v>
      </c>
      <c r="Y17">
        <v>-85.909037500000011</v>
      </c>
      <c r="Z17">
        <v>-215.02987500000009</v>
      </c>
      <c r="AA17">
        <v>-468.61500000000052</v>
      </c>
      <c r="AB17">
        <v>-39.257999999999981</v>
      </c>
      <c r="AC17">
        <v>88.151249999999862</v>
      </c>
      <c r="AD17">
        <v>222.35499999999979</v>
      </c>
      <c r="AE17">
        <v>-91.708625000000069</v>
      </c>
      <c r="AF17">
        <v>398.32499999999982</v>
      </c>
      <c r="AG17">
        <v>1108.2090000000001</v>
      </c>
      <c r="AH17">
        <v>-103.093</v>
      </c>
      <c r="AI17">
        <v>4.8506170000000006</v>
      </c>
      <c r="AJ17">
        <v>1.8102860000000001</v>
      </c>
      <c r="AK17">
        <v>-8.5811440000000003E-2</v>
      </c>
      <c r="AL17">
        <v>36.662430000000001</v>
      </c>
      <c r="AM17">
        <v>0.27285850000000011</v>
      </c>
      <c r="AN17">
        <v>0.14320600999999999</v>
      </c>
      <c r="AO17">
        <v>-7.4206839999999986E-3</v>
      </c>
      <c r="AP17">
        <v>-0.61636670000000027</v>
      </c>
      <c r="AQ17">
        <v>2.5409109999999999</v>
      </c>
      <c r="AR17">
        <v>-0.1396676</v>
      </c>
      <c r="AS17">
        <v>5.3815380000000003E-2</v>
      </c>
      <c r="AT17">
        <v>-36.426450000000003</v>
      </c>
    </row>
    <row r="18" spans="1:46" x14ac:dyDescent="0.25">
      <c r="A18">
        <v>16</v>
      </c>
      <c r="B18">
        <v>9.3985500000000073</v>
      </c>
      <c r="C18">
        <v>0.54872604395604396</v>
      </c>
      <c r="D18">
        <v>0.1311756436509903</v>
      </c>
      <c r="E18">
        <v>6.9460702951184866E-2</v>
      </c>
      <c r="F18">
        <v>2.6811325775935879</v>
      </c>
      <c r="G18">
        <v>12.188392</v>
      </c>
      <c r="H18">
        <v>-10.139851999999999</v>
      </c>
      <c r="I18">
        <v>-8.1232919999999993</v>
      </c>
      <c r="J18">
        <v>14.84224</v>
      </c>
      <c r="K18">
        <v>0.43604399999999988</v>
      </c>
      <c r="L18">
        <v>-11.575112000000001</v>
      </c>
      <c r="M18">
        <v>40.047695999999988</v>
      </c>
      <c r="N18">
        <v>-2.5264036000000001</v>
      </c>
      <c r="O18">
        <v>-19.249967999999999</v>
      </c>
      <c r="P18">
        <v>41.676772</v>
      </c>
      <c r="Q18">
        <v>-10.207844</v>
      </c>
      <c r="R18">
        <v>16.243127999999999</v>
      </c>
      <c r="S18">
        <v>10.93702</v>
      </c>
      <c r="T18">
        <v>-9.3963256000000008</v>
      </c>
      <c r="U18">
        <v>-55.546000000000021</v>
      </c>
      <c r="V18">
        <v>21.25820000000019</v>
      </c>
      <c r="W18">
        <v>39.474900000000048</v>
      </c>
      <c r="X18">
        <v>65.393500000000117</v>
      </c>
      <c r="Y18">
        <v>-86.844374999999999</v>
      </c>
      <c r="Z18">
        <v>-220.7580000000001</v>
      </c>
      <c r="AA18">
        <v>-477.59400000000039</v>
      </c>
      <c r="AB18">
        <v>-44.639699999999998</v>
      </c>
      <c r="AC18">
        <v>79.169999999999789</v>
      </c>
      <c r="AD18">
        <v>216.8519999999998</v>
      </c>
      <c r="AE18">
        <v>-95.757050000000021</v>
      </c>
      <c r="AF18">
        <v>359.8619999999998</v>
      </c>
      <c r="AG18">
        <v>1082.4191499999999</v>
      </c>
      <c r="AH18">
        <v>-109.57559999999999</v>
      </c>
      <c r="AI18">
        <v>4.4443359999999998</v>
      </c>
      <c r="AJ18">
        <v>1.66620112</v>
      </c>
      <c r="AK18">
        <v>-6.3771719999999962E-2</v>
      </c>
      <c r="AL18">
        <v>34.158655999999993</v>
      </c>
      <c r="AM18">
        <v>0.6200627200000004</v>
      </c>
      <c r="AN18">
        <v>0.14738372</v>
      </c>
      <c r="AO18">
        <v>-5.8056651199999976E-3</v>
      </c>
      <c r="AP18">
        <v>-1.295519840000001</v>
      </c>
      <c r="AQ18">
        <v>2.6767943999999999</v>
      </c>
      <c r="AR18">
        <v>-0.14834700000000001</v>
      </c>
      <c r="AS18">
        <v>6.0030260000000009E-2</v>
      </c>
      <c r="AT18">
        <v>-38.096075999999996</v>
      </c>
    </row>
    <row r="19" spans="1:46" x14ac:dyDescent="0.25">
      <c r="A19">
        <v>17</v>
      </c>
      <c r="B19">
        <v>9.3982250000000072</v>
      </c>
      <c r="C19">
        <v>0.54826747252747254</v>
      </c>
      <c r="D19">
        <v>8.7527315027758415E-2</v>
      </c>
      <c r="E19">
        <v>8.624997749779624E-2</v>
      </c>
      <c r="F19">
        <v>2.805109412846746</v>
      </c>
      <c r="G19">
        <v>12.132154</v>
      </c>
      <c r="H19">
        <v>-10.112474000000001</v>
      </c>
      <c r="I19">
        <v>-8.0881790000000002</v>
      </c>
      <c r="J19">
        <v>14.898529999999999</v>
      </c>
      <c r="K19">
        <v>0.34361399999999998</v>
      </c>
      <c r="L19">
        <v>-11.813193999999999</v>
      </c>
      <c r="M19">
        <v>39.539552</v>
      </c>
      <c r="N19">
        <v>-2.5793682000000002</v>
      </c>
      <c r="O19">
        <v>-19.177116000000002</v>
      </c>
      <c r="P19">
        <v>41.897564000000003</v>
      </c>
      <c r="Q19">
        <v>-10.312078</v>
      </c>
      <c r="R19">
        <v>16.560535999999999</v>
      </c>
      <c r="S19">
        <v>12.03214</v>
      </c>
      <c r="T19">
        <v>-9.5215572000000002</v>
      </c>
      <c r="U19">
        <v>-54.483250000000019</v>
      </c>
      <c r="V19">
        <v>24.968400000000191</v>
      </c>
      <c r="W19">
        <v>35.554425000000023</v>
      </c>
      <c r="X19">
        <v>55.653250000000092</v>
      </c>
      <c r="Y19">
        <v>-87.2205625</v>
      </c>
      <c r="Z19">
        <v>-226.13350000000011</v>
      </c>
      <c r="AA19">
        <v>-486.76550000000032</v>
      </c>
      <c r="AB19">
        <v>-50.623275</v>
      </c>
      <c r="AC19">
        <v>67.746249999999762</v>
      </c>
      <c r="AD19">
        <v>209.21774999999991</v>
      </c>
      <c r="AE19">
        <v>-100.641475</v>
      </c>
      <c r="AF19">
        <v>319.6627499999999</v>
      </c>
      <c r="AG19">
        <v>1050.2691749999999</v>
      </c>
      <c r="AH19">
        <v>-114.2972</v>
      </c>
      <c r="AI19">
        <v>3.8831520000000008</v>
      </c>
      <c r="AJ19">
        <v>1.44578794</v>
      </c>
      <c r="AK19">
        <v>-2.4862590000000021E-2</v>
      </c>
      <c r="AL19">
        <v>30.309121999999999</v>
      </c>
      <c r="AM19">
        <v>1.08483664</v>
      </c>
      <c r="AN19">
        <v>0.14182413999999999</v>
      </c>
      <c r="AO19">
        <v>-4.1462234400000009E-3</v>
      </c>
      <c r="AP19">
        <v>-2.16139108</v>
      </c>
      <c r="AQ19">
        <v>2.8174128000000001</v>
      </c>
      <c r="AR19">
        <v>-0.1617565</v>
      </c>
      <c r="AS19">
        <v>6.8343370000000001E-2</v>
      </c>
      <c r="AT19">
        <v>-39.615411999999999</v>
      </c>
    </row>
    <row r="20" spans="1:46" x14ac:dyDescent="0.25">
      <c r="A20">
        <v>18</v>
      </c>
      <c r="B20">
        <v>9.397900000000007</v>
      </c>
      <c r="C20">
        <v>0.54780890109890112</v>
      </c>
      <c r="D20">
        <v>2.7450154070332751E-2</v>
      </c>
      <c r="E20">
        <v>0.108861901690502</v>
      </c>
      <c r="F20">
        <v>2.9554144027832812</v>
      </c>
      <c r="G20">
        <v>12.075915999999999</v>
      </c>
      <c r="H20">
        <v>-10.085096</v>
      </c>
      <c r="I20">
        <v>-8.0530659999999994</v>
      </c>
      <c r="J20">
        <v>14.95482</v>
      </c>
      <c r="K20">
        <v>0.25118399999999991</v>
      </c>
      <c r="L20">
        <v>-12.051276</v>
      </c>
      <c r="M20">
        <v>39.031407999999999</v>
      </c>
      <c r="N20">
        <v>-2.6323327999999999</v>
      </c>
      <c r="O20">
        <v>-19.104264000000001</v>
      </c>
      <c r="P20">
        <v>42.118355999999999</v>
      </c>
      <c r="Q20">
        <v>-10.416312</v>
      </c>
      <c r="R20">
        <v>16.877943999999999</v>
      </c>
      <c r="S20">
        <v>13.12726</v>
      </c>
      <c r="T20">
        <v>-9.6467887999999995</v>
      </c>
      <c r="U20">
        <v>-53.420500000000011</v>
      </c>
      <c r="V20">
        <v>28.678600000000191</v>
      </c>
      <c r="W20">
        <v>31.63394999999997</v>
      </c>
      <c r="X20">
        <v>45.913000000000032</v>
      </c>
      <c r="Y20">
        <v>-87.59675</v>
      </c>
      <c r="Z20">
        <v>-231.50900000000021</v>
      </c>
      <c r="AA20">
        <v>-495.93700000000018</v>
      </c>
      <c r="AB20">
        <v>-56.60685000000003</v>
      </c>
      <c r="AC20">
        <v>56.322499999999678</v>
      </c>
      <c r="AD20">
        <v>201.58349999999999</v>
      </c>
      <c r="AE20">
        <v>-105.52589999999989</v>
      </c>
      <c r="AF20">
        <v>279.46349999999978</v>
      </c>
      <c r="AG20">
        <v>1018.1192</v>
      </c>
      <c r="AH20">
        <v>-119.0188</v>
      </c>
      <c r="AI20">
        <v>3.3219679999999991</v>
      </c>
      <c r="AJ20">
        <v>1.22537476</v>
      </c>
      <c r="AK20">
        <v>1.404654000000008E-2</v>
      </c>
      <c r="AL20">
        <v>26.459587999999989</v>
      </c>
      <c r="AM20">
        <v>1.549610560000001</v>
      </c>
      <c r="AN20">
        <v>0.13626456000000001</v>
      </c>
      <c r="AO20">
        <v>-2.4867817599999969E-3</v>
      </c>
      <c r="AP20">
        <v>-3.0272623200000019</v>
      </c>
      <c r="AQ20">
        <v>2.9580312000000002</v>
      </c>
      <c r="AR20">
        <v>-0.17516599999999999</v>
      </c>
      <c r="AS20">
        <v>7.6656480000000027E-2</v>
      </c>
      <c r="AT20">
        <v>-41.134748000000002</v>
      </c>
    </row>
    <row r="21" spans="1:46" x14ac:dyDescent="0.25">
      <c r="A21">
        <v>19</v>
      </c>
      <c r="B21">
        <v>9.3975750000000087</v>
      </c>
      <c r="C21">
        <v>0.5473503296703297</v>
      </c>
      <c r="D21">
        <v>-1.5423180650745201E-2</v>
      </c>
      <c r="E21">
        <v>0.12351679592589571</v>
      </c>
      <c r="F21">
        <v>3.107881741438165</v>
      </c>
      <c r="G21">
        <v>12.019678000000001</v>
      </c>
      <c r="H21">
        <v>-10.057717999999999</v>
      </c>
      <c r="I21">
        <v>-8.0179530000000003</v>
      </c>
      <c r="J21">
        <v>15.01111</v>
      </c>
      <c r="K21">
        <v>0.15875400000000001</v>
      </c>
      <c r="L21">
        <v>-12.289358</v>
      </c>
      <c r="M21">
        <v>38.523263999999998</v>
      </c>
      <c r="N21">
        <v>-2.6852974000000001</v>
      </c>
      <c r="O21">
        <v>-19.031412</v>
      </c>
      <c r="P21">
        <v>42.339147999999987</v>
      </c>
      <c r="Q21">
        <v>-10.520546</v>
      </c>
      <c r="R21">
        <v>17.195352</v>
      </c>
      <c r="S21">
        <v>14.222379999999999</v>
      </c>
      <c r="T21">
        <v>-9.7720204000000006</v>
      </c>
      <c r="U21">
        <v>-52.357750000000003</v>
      </c>
      <c r="V21">
        <v>32.388800000000188</v>
      </c>
      <c r="W21">
        <v>27.713474999999939</v>
      </c>
      <c r="X21">
        <v>36.172749999999994</v>
      </c>
      <c r="Y21">
        <v>-87.9729375</v>
      </c>
      <c r="Z21">
        <v>-236.88450000000009</v>
      </c>
      <c r="AA21">
        <v>-505.10849999999999</v>
      </c>
      <c r="AB21">
        <v>-62.590425000000032</v>
      </c>
      <c r="AC21">
        <v>44.898749999999652</v>
      </c>
      <c r="AD21">
        <v>193.94925000000009</v>
      </c>
      <c r="AE21">
        <v>-110.4103249999999</v>
      </c>
      <c r="AF21">
        <v>239.26425</v>
      </c>
      <c r="AG21">
        <v>985.96922499999994</v>
      </c>
      <c r="AH21">
        <v>-123.74039999999999</v>
      </c>
      <c r="AI21">
        <v>2.7607840000000001</v>
      </c>
      <c r="AJ21">
        <v>1.00496158</v>
      </c>
      <c r="AK21">
        <v>5.2955670000000017E-2</v>
      </c>
      <c r="AL21">
        <v>22.610054000000002</v>
      </c>
      <c r="AM21">
        <v>2.0143844799999999</v>
      </c>
      <c r="AN21">
        <v>0.13070498</v>
      </c>
      <c r="AO21">
        <v>-8.2734007999999901E-4</v>
      </c>
      <c r="AP21">
        <v>-3.8931335600000012</v>
      </c>
      <c r="AQ21">
        <v>3.0986495999999999</v>
      </c>
      <c r="AR21">
        <v>-0.18857550000000001</v>
      </c>
      <c r="AS21">
        <v>8.4969590000000011E-2</v>
      </c>
      <c r="AT21">
        <v>-42.654083999999997</v>
      </c>
    </row>
    <row r="22" spans="1:46" x14ac:dyDescent="0.25">
      <c r="A22">
        <v>20</v>
      </c>
      <c r="B22">
        <v>9.3987500000000068</v>
      </c>
      <c r="C22">
        <v>0.54692142857142856</v>
      </c>
      <c r="D22">
        <v>-3.6900459124621358E-2</v>
      </c>
      <c r="E22">
        <v>0.13692656307065301</v>
      </c>
      <c r="F22">
        <v>3.250672895888604</v>
      </c>
      <c r="G22">
        <v>11.96658</v>
      </c>
      <c r="H22">
        <v>-10.019268</v>
      </c>
      <c r="I22">
        <v>-7.9939660000000003</v>
      </c>
      <c r="J22">
        <v>15.035080000000001</v>
      </c>
      <c r="K22">
        <v>6.7628399999999797E-2</v>
      </c>
      <c r="L22">
        <v>-12.542160000000001</v>
      </c>
      <c r="M22">
        <v>37.985319999999987</v>
      </c>
      <c r="N22">
        <v>-2.7591320000000001</v>
      </c>
      <c r="O22">
        <v>-19.003019999999999</v>
      </c>
      <c r="P22">
        <v>42.527760000000001</v>
      </c>
      <c r="Q22">
        <v>-10.64288</v>
      </c>
      <c r="R22">
        <v>17.392420000000001</v>
      </c>
      <c r="S22">
        <v>15.19838</v>
      </c>
      <c r="T22">
        <v>-9.9043159999999997</v>
      </c>
      <c r="U22">
        <v>-51.427500000000002</v>
      </c>
      <c r="V22">
        <v>35.892000000000131</v>
      </c>
      <c r="W22">
        <v>24.415249999999951</v>
      </c>
      <c r="X22">
        <v>25.447499999999959</v>
      </c>
      <c r="Y22">
        <v>-87.065249999999992</v>
      </c>
      <c r="Z22">
        <v>-241.13250000000011</v>
      </c>
      <c r="AA22">
        <v>-515.39</v>
      </c>
      <c r="AB22">
        <v>-69.779500000000041</v>
      </c>
      <c r="AC22">
        <v>29.42249999999969</v>
      </c>
      <c r="AD22">
        <v>182.2750000000002</v>
      </c>
      <c r="AE22">
        <v>-116.50749999999989</v>
      </c>
      <c r="AF22">
        <v>204.67999999999989</v>
      </c>
      <c r="AG22">
        <v>946.43499999999983</v>
      </c>
      <c r="AH22">
        <v>-124.84099999999999</v>
      </c>
      <c r="AI22">
        <v>2.5267460000000002</v>
      </c>
      <c r="AJ22">
        <v>0.85535279999999969</v>
      </c>
      <c r="AK22">
        <v>8.8478760000000073E-2</v>
      </c>
      <c r="AL22">
        <v>21.124639999999999</v>
      </c>
      <c r="AM22">
        <v>2.2691680000000001</v>
      </c>
      <c r="AN22">
        <v>0.1010966999999999</v>
      </c>
      <c r="AO22">
        <v>-9.609593600000025E-3</v>
      </c>
      <c r="AP22">
        <v>-4.0780960000000004</v>
      </c>
      <c r="AQ22">
        <v>3.212272</v>
      </c>
      <c r="AR22">
        <v>-0.19820960000000001</v>
      </c>
      <c r="AS22">
        <v>8.2352459999999988E-2</v>
      </c>
      <c r="AT22">
        <v>-43.214280000000002</v>
      </c>
    </row>
    <row r="23" spans="1:46" x14ac:dyDescent="0.25">
      <c r="A23">
        <v>21</v>
      </c>
      <c r="B23">
        <v>9.4003750000000057</v>
      </c>
      <c r="C23">
        <v>0.54650142857142858</v>
      </c>
      <c r="D23">
        <v>-2.593564292511313E-2</v>
      </c>
      <c r="E23">
        <v>0.1363405607669107</v>
      </c>
      <c r="F23">
        <v>3.3581391617359611</v>
      </c>
      <c r="G23">
        <v>11.914424</v>
      </c>
      <c r="H23">
        <v>-9.9774963999999997</v>
      </c>
      <c r="I23">
        <v>-7.9733168000000001</v>
      </c>
      <c r="J23">
        <v>15.049353999999999</v>
      </c>
      <c r="K23">
        <v>-2.3105879999999999E-2</v>
      </c>
      <c r="L23">
        <v>-12.799378000000001</v>
      </c>
      <c r="M23">
        <v>37.438436000000003</v>
      </c>
      <c r="N23">
        <v>-2.8392276000000001</v>
      </c>
      <c r="O23">
        <v>-18.987966</v>
      </c>
      <c r="P23">
        <v>42.706718000000002</v>
      </c>
      <c r="Q23">
        <v>-10.770644000000001</v>
      </c>
      <c r="R23">
        <v>17.553386</v>
      </c>
      <c r="S23">
        <v>16.138643999999999</v>
      </c>
      <c r="T23">
        <v>-10.0387308</v>
      </c>
      <c r="U23">
        <v>-50.536999999999999</v>
      </c>
      <c r="V23">
        <v>39.333100000000037</v>
      </c>
      <c r="W23">
        <v>21.303699999999981</v>
      </c>
      <c r="X23">
        <v>14.42674999999997</v>
      </c>
      <c r="Y23">
        <v>-85.77239999999999</v>
      </c>
      <c r="Z23">
        <v>-245.04225000000011</v>
      </c>
      <c r="AA23">
        <v>-526.00450000000001</v>
      </c>
      <c r="AB23">
        <v>-77.330225000000013</v>
      </c>
      <c r="AC23">
        <v>12.730499999999839</v>
      </c>
      <c r="AD23">
        <v>169.38875000000041</v>
      </c>
      <c r="AE23">
        <v>-122.96849999999981</v>
      </c>
      <c r="AF23">
        <v>171.78025</v>
      </c>
      <c r="AG23">
        <v>904.68549999999993</v>
      </c>
      <c r="AH23">
        <v>-124.8553000000001</v>
      </c>
      <c r="AI23">
        <v>2.3908518000000001</v>
      </c>
      <c r="AJ23">
        <v>0.72698533999999992</v>
      </c>
      <c r="AK23">
        <v>0.12298603800000001</v>
      </c>
      <c r="AL23">
        <v>20.348462000000001</v>
      </c>
      <c r="AM23">
        <v>2.4609543999999999</v>
      </c>
      <c r="AN23">
        <v>6.4273810000000001E-2</v>
      </c>
      <c r="AO23">
        <v>-2.1524355679999999E-2</v>
      </c>
      <c r="AP23">
        <v>-4.0587857999999999</v>
      </c>
      <c r="AQ23">
        <v>3.3177956000000002</v>
      </c>
      <c r="AR23">
        <v>-0.20671107999999999</v>
      </c>
      <c r="AS23">
        <v>7.6456257999999999E-2</v>
      </c>
      <c r="AT23">
        <v>-43.486733999999998</v>
      </c>
    </row>
    <row r="24" spans="1:46" x14ac:dyDescent="0.25">
      <c r="A24">
        <v>22</v>
      </c>
      <c r="B24">
        <v>9.4020000000000046</v>
      </c>
      <c r="C24">
        <v>0.54608142857142861</v>
      </c>
      <c r="D24">
        <v>3.4455182086743832E-3</v>
      </c>
      <c r="E24">
        <v>0.1284246603935372</v>
      </c>
      <c r="F24">
        <v>3.4268209260576179</v>
      </c>
      <c r="G24">
        <v>11.862268</v>
      </c>
      <c r="H24">
        <v>-9.9357247999999991</v>
      </c>
      <c r="I24">
        <v>-7.9526675999999998</v>
      </c>
      <c r="J24">
        <v>15.063628</v>
      </c>
      <c r="K24">
        <v>-0.11384016000000011</v>
      </c>
      <c r="L24">
        <v>-13.056596000000001</v>
      </c>
      <c r="M24">
        <v>36.891551999999997</v>
      </c>
      <c r="N24">
        <v>-2.9193232</v>
      </c>
      <c r="O24">
        <v>-18.972912000000001</v>
      </c>
      <c r="P24">
        <v>42.885675999999997</v>
      </c>
      <c r="Q24">
        <v>-10.898408</v>
      </c>
      <c r="R24">
        <v>17.714352000000002</v>
      </c>
      <c r="S24">
        <v>17.078907999999998</v>
      </c>
      <c r="T24">
        <v>-10.1731456</v>
      </c>
      <c r="U24">
        <v>-49.646500000000003</v>
      </c>
      <c r="V24">
        <v>42.774199999999951</v>
      </c>
      <c r="W24">
        <v>18.192150000000002</v>
      </c>
      <c r="X24">
        <v>3.4059999999999491</v>
      </c>
      <c r="Y24">
        <v>-84.479549999999989</v>
      </c>
      <c r="Z24">
        <v>-248.952</v>
      </c>
      <c r="AA24">
        <v>-536.61900000000003</v>
      </c>
      <c r="AB24">
        <v>-84.880950000000013</v>
      </c>
      <c r="AC24">
        <v>-3.9615000000000791</v>
      </c>
      <c r="AD24">
        <v>156.50250000000051</v>
      </c>
      <c r="AE24">
        <v>-129.4294999999999</v>
      </c>
      <c r="AF24">
        <v>138.88050000000001</v>
      </c>
      <c r="AG24">
        <v>862.93599999999992</v>
      </c>
      <c r="AH24">
        <v>-124.8696000000001</v>
      </c>
      <c r="AI24">
        <v>2.2549576</v>
      </c>
      <c r="AJ24">
        <v>0.59861787999999982</v>
      </c>
      <c r="AK24">
        <v>0.15749331599999999</v>
      </c>
      <c r="AL24">
        <v>19.572284</v>
      </c>
      <c r="AM24">
        <v>2.6527408000000001</v>
      </c>
      <c r="AN24">
        <v>2.7450919999999952E-2</v>
      </c>
      <c r="AO24">
        <v>-3.3439117760000019E-2</v>
      </c>
      <c r="AP24">
        <v>-4.0394756000000003</v>
      </c>
      <c r="AQ24">
        <v>3.4233191999999999</v>
      </c>
      <c r="AR24">
        <v>-0.21521256</v>
      </c>
      <c r="AS24">
        <v>7.0560055999999996E-2</v>
      </c>
      <c r="AT24">
        <v>-43.759188000000002</v>
      </c>
    </row>
    <row r="25" spans="1:46" x14ac:dyDescent="0.25">
      <c r="A25">
        <v>23</v>
      </c>
      <c r="B25">
        <v>9.4036250000000017</v>
      </c>
      <c r="C25">
        <v>0.54566142857142852</v>
      </c>
      <c r="D25">
        <v>3.6708023141095072E-2</v>
      </c>
      <c r="E25">
        <v>0.1146789968123902</v>
      </c>
      <c r="F25">
        <v>3.492143871042122</v>
      </c>
      <c r="G25">
        <v>11.810112</v>
      </c>
      <c r="H25">
        <v>-9.8939531999999986</v>
      </c>
      <c r="I25">
        <v>-7.9320183999999996</v>
      </c>
      <c r="J25">
        <v>15.077902</v>
      </c>
      <c r="K25">
        <v>-0.20457443999999991</v>
      </c>
      <c r="L25">
        <v>-13.313814000000001</v>
      </c>
      <c r="M25">
        <v>36.344667999999999</v>
      </c>
      <c r="N25">
        <v>-2.9994187999999999</v>
      </c>
      <c r="O25">
        <v>-18.957858000000002</v>
      </c>
      <c r="P25">
        <v>43.064634000000012</v>
      </c>
      <c r="Q25">
        <v>-11.026172000000001</v>
      </c>
      <c r="R25">
        <v>17.875318</v>
      </c>
      <c r="S25">
        <v>18.019172000000001</v>
      </c>
      <c r="T25">
        <v>-10.3075604</v>
      </c>
      <c r="U25">
        <v>-48.755999999999993</v>
      </c>
      <c r="V25">
        <v>46.215299999999857</v>
      </c>
      <c r="W25">
        <v>15.080600000000031</v>
      </c>
      <c r="X25">
        <v>-7.6147500000000292</v>
      </c>
      <c r="Y25">
        <v>-83.186700000000002</v>
      </c>
      <c r="Z25">
        <v>-252.86175</v>
      </c>
      <c r="AA25">
        <v>-547.23349999999994</v>
      </c>
      <c r="AB25">
        <v>-92.431674999999998</v>
      </c>
      <c r="AC25">
        <v>-20.653499999999941</v>
      </c>
      <c r="AD25">
        <v>143.61625000000069</v>
      </c>
      <c r="AE25">
        <v>-135.89049999999989</v>
      </c>
      <c r="AF25">
        <v>105.9807500000001</v>
      </c>
      <c r="AG25">
        <v>821.18649999999991</v>
      </c>
      <c r="AH25">
        <v>-124.8839000000001</v>
      </c>
      <c r="AI25">
        <v>2.1190633999999999</v>
      </c>
      <c r="AJ25">
        <v>0.47025042000000011</v>
      </c>
      <c r="AK25">
        <v>0.192000594</v>
      </c>
      <c r="AL25">
        <v>18.796106000000002</v>
      </c>
      <c r="AM25">
        <v>2.8445271999999999</v>
      </c>
      <c r="AN25">
        <v>-9.3719699999999795E-3</v>
      </c>
      <c r="AO25">
        <v>-4.5353879839999993E-2</v>
      </c>
      <c r="AP25">
        <v>-4.0201653999999998</v>
      </c>
      <c r="AQ25">
        <v>3.5288428000000001</v>
      </c>
      <c r="AR25">
        <v>-0.22371404</v>
      </c>
      <c r="AS25">
        <v>6.4663854000000007E-2</v>
      </c>
      <c r="AT25">
        <v>-44.031641999999998</v>
      </c>
    </row>
    <row r="26" spans="1:46" x14ac:dyDescent="0.25">
      <c r="A26">
        <v>24</v>
      </c>
      <c r="B26">
        <v>9.4055499999999999</v>
      </c>
      <c r="C26">
        <v>0.54528336263736266</v>
      </c>
      <c r="D26">
        <v>6.366769677108855E-2</v>
      </c>
      <c r="E26">
        <v>9.9031452540939272E-2</v>
      </c>
      <c r="F26">
        <v>3.5641714022941828</v>
      </c>
      <c r="G26">
        <v>11.760764</v>
      </c>
      <c r="H26">
        <v>-9.8400567999999993</v>
      </c>
      <c r="I26">
        <v>-7.9209956000000004</v>
      </c>
      <c r="J26">
        <v>15.049576</v>
      </c>
      <c r="K26">
        <v>-0.28732679999999983</v>
      </c>
      <c r="L26">
        <v>-13.582240000000001</v>
      </c>
      <c r="M26">
        <v>35.755159999999997</v>
      </c>
      <c r="N26">
        <v>-3.1102295999999998</v>
      </c>
      <c r="O26">
        <v>-19.012716000000001</v>
      </c>
      <c r="P26">
        <v>43.187047999999997</v>
      </c>
      <c r="Q26">
        <v>-11.179928</v>
      </c>
      <c r="R26">
        <v>17.937740000000002</v>
      </c>
      <c r="S26">
        <v>18.794076</v>
      </c>
      <c r="T26">
        <v>-10.433604000000001</v>
      </c>
      <c r="U26">
        <v>-48.213500000000032</v>
      </c>
      <c r="V26">
        <v>49.31979999999988</v>
      </c>
      <c r="W26">
        <v>13.07065000000002</v>
      </c>
      <c r="X26">
        <v>-19.241500000000041</v>
      </c>
      <c r="Y26">
        <v>-80.356920000000002</v>
      </c>
      <c r="Z26">
        <v>-254.9114999999999</v>
      </c>
      <c r="AA26">
        <v>-559.65399999999988</v>
      </c>
      <c r="AB26">
        <v>-101.3027</v>
      </c>
      <c r="AC26">
        <v>-40.489499999999822</v>
      </c>
      <c r="AD26">
        <v>126.8870000000005</v>
      </c>
      <c r="AE26">
        <v>-142.7924999999999</v>
      </c>
      <c r="AF26">
        <v>85.68400000000014</v>
      </c>
      <c r="AG26">
        <v>776.56299999999999</v>
      </c>
      <c r="AH26">
        <v>-121.02760000000011</v>
      </c>
      <c r="AI26">
        <v>1.938531600000001</v>
      </c>
      <c r="AJ26">
        <v>0.29801264000000038</v>
      </c>
      <c r="AK26">
        <v>0.2405890799999999</v>
      </c>
      <c r="AL26">
        <v>17.429144000000001</v>
      </c>
      <c r="AM26">
        <v>3.0564832000000002</v>
      </c>
      <c r="AN26">
        <v>-6.3463339999999868E-2</v>
      </c>
      <c r="AO26">
        <v>-5.1350671999999993E-2</v>
      </c>
      <c r="AP26">
        <v>-3.6516768000000011</v>
      </c>
      <c r="AQ26">
        <v>3.6115184</v>
      </c>
      <c r="AR26">
        <v>-0.2310604</v>
      </c>
      <c r="AS26">
        <v>6.2674516E-2</v>
      </c>
      <c r="AT26">
        <v>-43.331448000000002</v>
      </c>
    </row>
    <row r="27" spans="1:46" x14ac:dyDescent="0.25">
      <c r="A27">
        <v>25</v>
      </c>
      <c r="B27">
        <v>9.4074999999999989</v>
      </c>
      <c r="C27">
        <v>0.54490879120879121</v>
      </c>
      <c r="D27">
        <v>8.0522255105464222E-2</v>
      </c>
      <c r="E27">
        <v>8.8287675731677437E-2</v>
      </c>
      <c r="F27">
        <v>3.633173675714938</v>
      </c>
      <c r="G27">
        <v>11.711650000000001</v>
      </c>
      <c r="H27">
        <v>-9.7851499999999998</v>
      </c>
      <c r="I27">
        <v>-7.9107750000000001</v>
      </c>
      <c r="J27">
        <v>15.0177</v>
      </c>
      <c r="K27">
        <v>-0.36941400000000002</v>
      </c>
      <c r="L27">
        <v>-13.851599999999999</v>
      </c>
      <c r="M27">
        <v>35.162100000000002</v>
      </c>
      <c r="N27">
        <v>-3.2235999999999998</v>
      </c>
      <c r="O27">
        <v>-19.073399999999999</v>
      </c>
      <c r="P27">
        <v>43.304749999999999</v>
      </c>
      <c r="Q27">
        <v>-11.335850000000001</v>
      </c>
      <c r="R27">
        <v>17.991949999999999</v>
      </c>
      <c r="S27">
        <v>19.555199999999999</v>
      </c>
      <c r="T27">
        <v>-10.558949999999999</v>
      </c>
      <c r="U27">
        <v>-47.700000000000067</v>
      </c>
      <c r="V27">
        <v>52.396249999999917</v>
      </c>
      <c r="W27">
        <v>11.152500000000011</v>
      </c>
      <c r="X27">
        <v>-30.918750000000099</v>
      </c>
      <c r="Y27">
        <v>-77.399062499999985</v>
      </c>
      <c r="Z27">
        <v>-256.80624999999992</v>
      </c>
      <c r="AA27">
        <v>-572.2249999999998</v>
      </c>
      <c r="AB27">
        <v>-110.28375</v>
      </c>
      <c r="AC27">
        <v>-60.587499999999793</v>
      </c>
      <c r="AD27">
        <v>109.8375000000002</v>
      </c>
      <c r="AE27">
        <v>-149.73124999999999</v>
      </c>
      <c r="AF27">
        <v>66.437500000000142</v>
      </c>
      <c r="AG27">
        <v>731.69999999999993</v>
      </c>
      <c r="AH27">
        <v>-116.84875000000009</v>
      </c>
      <c r="AI27">
        <v>1.7542800000000001</v>
      </c>
      <c r="AJ27">
        <v>0.12211900000000001</v>
      </c>
      <c r="AK27">
        <v>0.29035100000000003</v>
      </c>
      <c r="AL27">
        <v>16.01295</v>
      </c>
      <c r="AM27">
        <v>3.2701199999999999</v>
      </c>
      <c r="AN27">
        <v>-0.11899375</v>
      </c>
      <c r="AO27">
        <v>-5.6854300000000003E-2</v>
      </c>
      <c r="AP27">
        <v>-3.2540900000000001</v>
      </c>
      <c r="AQ27">
        <v>3.6922899999999998</v>
      </c>
      <c r="AR27">
        <v>-0.23831050000000001</v>
      </c>
      <c r="AS27">
        <v>6.1010750000000002E-2</v>
      </c>
      <c r="AT27">
        <v>-42.550199999999997</v>
      </c>
    </row>
    <row r="28" spans="1:46" x14ac:dyDescent="0.25">
      <c r="A28">
        <v>26</v>
      </c>
      <c r="B28">
        <v>9.4094499999999961</v>
      </c>
      <c r="C28">
        <v>0.54453421978021976</v>
      </c>
      <c r="D28">
        <v>8.5951969297668823E-2</v>
      </c>
      <c r="E28">
        <v>8.3149835108427508E-2</v>
      </c>
      <c r="F28">
        <v>3.7013246421620711</v>
      </c>
      <c r="G28">
        <v>11.662535999999999</v>
      </c>
      <c r="H28">
        <v>-9.7302432000000003</v>
      </c>
      <c r="I28">
        <v>-7.9005543999999999</v>
      </c>
      <c r="J28">
        <v>14.985823999999999</v>
      </c>
      <c r="K28">
        <v>-0.45150119999999988</v>
      </c>
      <c r="L28">
        <v>-14.12096</v>
      </c>
      <c r="M28">
        <v>34.569040000000001</v>
      </c>
      <c r="N28">
        <v>-3.3369703999999998</v>
      </c>
      <c r="O28">
        <v>-19.134084000000001</v>
      </c>
      <c r="P28">
        <v>43.422452</v>
      </c>
      <c r="Q28">
        <v>-11.491771999999999</v>
      </c>
      <c r="R28">
        <v>18.04616</v>
      </c>
      <c r="S28">
        <v>20.316324000000002</v>
      </c>
      <c r="T28">
        <v>-10.684296</v>
      </c>
      <c r="U28">
        <v>-47.186500000000123</v>
      </c>
      <c r="V28">
        <v>55.472699999999953</v>
      </c>
      <c r="W28">
        <v>9.2343500000000027</v>
      </c>
      <c r="X28">
        <v>-42.596000000000117</v>
      </c>
      <c r="Y28">
        <v>-74.441204999999997</v>
      </c>
      <c r="Z28">
        <v>-258.70099999999991</v>
      </c>
      <c r="AA28">
        <v>-584.79599999999971</v>
      </c>
      <c r="AB28">
        <v>-119.26479999999999</v>
      </c>
      <c r="AC28">
        <v>-80.685499999999692</v>
      </c>
      <c r="AD28">
        <v>92.788000000000054</v>
      </c>
      <c r="AE28">
        <v>-156.66999999999999</v>
      </c>
      <c r="AF28">
        <v>47.19100000000023</v>
      </c>
      <c r="AG28">
        <v>686.83699999999999</v>
      </c>
      <c r="AH28">
        <v>-112.6699</v>
      </c>
      <c r="AI28">
        <v>1.5700284</v>
      </c>
      <c r="AJ28">
        <v>-5.3774639999999707E-2</v>
      </c>
      <c r="AK28">
        <v>0.34011291999999987</v>
      </c>
      <c r="AL28">
        <v>14.596755999999999</v>
      </c>
      <c r="AM28">
        <v>3.4837568000000001</v>
      </c>
      <c r="AN28">
        <v>-0.1745241599999999</v>
      </c>
      <c r="AO28">
        <v>-6.2357927999999993E-2</v>
      </c>
      <c r="AP28">
        <v>-2.856503200000001</v>
      </c>
      <c r="AQ28">
        <v>3.7730616000000001</v>
      </c>
      <c r="AR28">
        <v>-0.24556059999999999</v>
      </c>
      <c r="AS28">
        <v>5.9346984000000012E-2</v>
      </c>
      <c r="AT28">
        <v>-41.768951999999999</v>
      </c>
    </row>
    <row r="29" spans="1:46" x14ac:dyDescent="0.25">
      <c r="A29">
        <v>27</v>
      </c>
      <c r="B29">
        <v>9.411474999999994</v>
      </c>
      <c r="C29">
        <v>0.54416353846153853</v>
      </c>
      <c r="D29">
        <v>7.6732039222528275E-2</v>
      </c>
      <c r="E29">
        <v>8.2859593090316666E-2</v>
      </c>
      <c r="F29">
        <v>3.7680528962733888</v>
      </c>
      <c r="G29">
        <v>11.613504000000001</v>
      </c>
      <c r="H29">
        <v>-9.6744535999999997</v>
      </c>
      <c r="I29">
        <v>-7.8907119999999997</v>
      </c>
      <c r="J29">
        <v>14.950312</v>
      </c>
      <c r="K29">
        <v>-0.53243334000000009</v>
      </c>
      <c r="L29">
        <v>-14.390552</v>
      </c>
      <c r="M29">
        <v>33.971795999999998</v>
      </c>
      <c r="N29">
        <v>-3.4533079999999998</v>
      </c>
      <c r="O29">
        <v>-19.201309999999999</v>
      </c>
      <c r="P29">
        <v>43.534374</v>
      </c>
      <c r="Q29">
        <v>-11.649798000000001</v>
      </c>
      <c r="R29">
        <v>18.096737999999998</v>
      </c>
      <c r="S29">
        <v>21.06362</v>
      </c>
      <c r="T29">
        <v>-10.807767999999999</v>
      </c>
      <c r="U29">
        <v>-46.716750000000147</v>
      </c>
      <c r="V29">
        <v>58.514149999999987</v>
      </c>
      <c r="W29">
        <v>7.4338749999999916</v>
      </c>
      <c r="X29">
        <v>-54.255500000000183</v>
      </c>
      <c r="Y29">
        <v>-71.378804999999986</v>
      </c>
      <c r="Z29">
        <v>-260.40049999999979</v>
      </c>
      <c r="AA29">
        <v>-597.50274999999965</v>
      </c>
      <c r="AB29">
        <v>-128.33105</v>
      </c>
      <c r="AC29">
        <v>-100.87349999999969</v>
      </c>
      <c r="AD29">
        <v>75.529749999999822</v>
      </c>
      <c r="AE29">
        <v>-163.52975000000009</v>
      </c>
      <c r="AF29">
        <v>28.90500000000025</v>
      </c>
      <c r="AG29">
        <v>642.12099999999987</v>
      </c>
      <c r="AH29">
        <v>-108.224</v>
      </c>
      <c r="AI29">
        <v>1.3870959</v>
      </c>
      <c r="AJ29">
        <v>-0.22980528000000019</v>
      </c>
      <c r="AK29">
        <v>0.38939156000000008</v>
      </c>
      <c r="AL29">
        <v>13.175800799999999</v>
      </c>
      <c r="AM29">
        <v>3.693585000000001</v>
      </c>
      <c r="AN29">
        <v>-0.23000925999999999</v>
      </c>
      <c r="AO29">
        <v>-6.7449785999999984E-2</v>
      </c>
      <c r="AP29">
        <v>-2.417662599999999</v>
      </c>
      <c r="AQ29">
        <v>3.8519977999999999</v>
      </c>
      <c r="AR29">
        <v>-0.25248058000000001</v>
      </c>
      <c r="AS29">
        <v>5.7694415999999998E-2</v>
      </c>
      <c r="AT29">
        <v>-40.924522000000003</v>
      </c>
    </row>
    <row r="30" spans="1:46" x14ac:dyDescent="0.25">
      <c r="A30">
        <v>28</v>
      </c>
      <c r="B30">
        <v>9.4143999999999917</v>
      </c>
      <c r="C30">
        <v>0.54383953846153843</v>
      </c>
      <c r="D30">
        <v>5.9589921864762758E-2</v>
      </c>
      <c r="E30">
        <v>8.4443705686940318E-2</v>
      </c>
      <c r="F30">
        <v>3.83223593106834</v>
      </c>
      <c r="G30">
        <v>11.565455999999999</v>
      </c>
      <c r="H30">
        <v>-9.6080704000000008</v>
      </c>
      <c r="I30">
        <v>-7.885408</v>
      </c>
      <c r="J30">
        <v>14.871168000000001</v>
      </c>
      <c r="K30">
        <v>-0.59950475999999997</v>
      </c>
      <c r="L30">
        <v>-14.662928000000001</v>
      </c>
      <c r="M30">
        <v>33.324344000000004</v>
      </c>
      <c r="N30">
        <v>-3.6052520000000001</v>
      </c>
      <c r="O30">
        <v>-19.34704</v>
      </c>
      <c r="P30">
        <v>43.576936000000003</v>
      </c>
      <c r="Q30">
        <v>-11.833072</v>
      </c>
      <c r="R30">
        <v>18.103732000000001</v>
      </c>
      <c r="S30">
        <v>21.64498</v>
      </c>
      <c r="T30">
        <v>-10.908752</v>
      </c>
      <c r="U30">
        <v>-46.772000000000141</v>
      </c>
      <c r="V30">
        <v>61.135599999999982</v>
      </c>
      <c r="W30">
        <v>7.0455000000000023</v>
      </c>
      <c r="X30">
        <v>-65.702000000000155</v>
      </c>
      <c r="Y30">
        <v>-67.061894999999993</v>
      </c>
      <c r="Z30">
        <v>-259.75699999999978</v>
      </c>
      <c r="AA30">
        <v>-611.83849999999973</v>
      </c>
      <c r="AB30">
        <v>-138.41970000000001</v>
      </c>
      <c r="AC30">
        <v>-122.1414999999997</v>
      </c>
      <c r="AD30">
        <v>55.766499999999837</v>
      </c>
      <c r="AE30">
        <v>-169.44149999999999</v>
      </c>
      <c r="AF30">
        <v>22.145000000000191</v>
      </c>
      <c r="AG30">
        <v>599.1690000000001</v>
      </c>
      <c r="AH30">
        <v>-100.5735</v>
      </c>
      <c r="AI30">
        <v>1.2199926000000001</v>
      </c>
      <c r="AJ30">
        <v>-0.40747991999999988</v>
      </c>
      <c r="AK30">
        <v>0.43287083999999998</v>
      </c>
      <c r="AL30">
        <v>11.697711200000001</v>
      </c>
      <c r="AM30">
        <v>3.85771</v>
      </c>
      <c r="AN30">
        <v>-0.28495063999999998</v>
      </c>
      <c r="AO30">
        <v>-6.7600403999999989E-2</v>
      </c>
      <c r="AP30">
        <v>-1.4837764</v>
      </c>
      <c r="AQ30">
        <v>3.9089092000000001</v>
      </c>
      <c r="AR30">
        <v>-0.25543912000000002</v>
      </c>
      <c r="AS30">
        <v>5.6176223999999997E-2</v>
      </c>
      <c r="AT30">
        <v>-39.321908000000001</v>
      </c>
    </row>
    <row r="31" spans="1:46" x14ac:dyDescent="0.25">
      <c r="A31">
        <v>29</v>
      </c>
      <c r="B31">
        <v>9.4173249999999893</v>
      </c>
      <c r="C31">
        <v>0.54351553846153844</v>
      </c>
      <c r="D31">
        <v>4.5026568508713241E-2</v>
      </c>
      <c r="E31">
        <v>8.6732162408511768E-2</v>
      </c>
      <c r="F31">
        <v>3.8873453677704979</v>
      </c>
      <c r="G31">
        <v>11.517408</v>
      </c>
      <c r="H31">
        <v>-9.5416872000000001</v>
      </c>
      <c r="I31">
        <v>-7.8801040000000002</v>
      </c>
      <c r="J31">
        <v>14.792024</v>
      </c>
      <c r="K31">
        <v>-0.66657618000000007</v>
      </c>
      <c r="L31">
        <v>-14.935304</v>
      </c>
      <c r="M31">
        <v>32.676892000000002</v>
      </c>
      <c r="N31">
        <v>-3.757196</v>
      </c>
      <c r="O31">
        <v>-19.49277</v>
      </c>
      <c r="P31">
        <v>43.619498</v>
      </c>
      <c r="Q31">
        <v>-12.016346</v>
      </c>
      <c r="R31">
        <v>18.110726</v>
      </c>
      <c r="S31">
        <v>22.22634</v>
      </c>
      <c r="T31">
        <v>-11.009736</v>
      </c>
      <c r="U31">
        <v>-46.827250000000127</v>
      </c>
      <c r="V31">
        <v>63.757049999999992</v>
      </c>
      <c r="W31">
        <v>6.6571250000000122</v>
      </c>
      <c r="X31">
        <v>-77.148500000000183</v>
      </c>
      <c r="Y31">
        <v>-62.744984999999993</v>
      </c>
      <c r="Z31">
        <v>-259.11349999999982</v>
      </c>
      <c r="AA31">
        <v>-626.1742499999998</v>
      </c>
      <c r="AB31">
        <v>-148.50835000000001</v>
      </c>
      <c r="AC31">
        <v>-143.40949999999989</v>
      </c>
      <c r="AD31">
        <v>36.003249999999781</v>
      </c>
      <c r="AE31">
        <v>-175.35325</v>
      </c>
      <c r="AF31">
        <v>15.38500000000011</v>
      </c>
      <c r="AG31">
        <v>556.2170000000001</v>
      </c>
      <c r="AH31">
        <v>-92.922999999999945</v>
      </c>
      <c r="AI31">
        <v>1.0528892999999999</v>
      </c>
      <c r="AJ31">
        <v>-0.58515456000000032</v>
      </c>
      <c r="AK31">
        <v>0.4763501200000001</v>
      </c>
      <c r="AL31">
        <v>10.2196216</v>
      </c>
      <c r="AM31">
        <v>4.0218350000000003</v>
      </c>
      <c r="AN31">
        <v>-0.33989202000000007</v>
      </c>
      <c r="AO31">
        <v>-6.7751021999999994E-2</v>
      </c>
      <c r="AP31">
        <v>-0.54989019999999811</v>
      </c>
      <c r="AQ31">
        <v>3.9658205999999998</v>
      </c>
      <c r="AR31">
        <v>-0.25839765999999997</v>
      </c>
      <c r="AS31">
        <v>5.4658032000000002E-2</v>
      </c>
      <c r="AT31">
        <v>-37.719293999999998</v>
      </c>
    </row>
    <row r="32" spans="1:46" x14ac:dyDescent="0.25">
      <c r="A32">
        <v>30</v>
      </c>
      <c r="B32">
        <v>9.4202499999999869</v>
      </c>
      <c r="C32">
        <v>0.54319153846153845</v>
      </c>
      <c r="D32">
        <v>4.2277833165756069E-2</v>
      </c>
      <c r="E32">
        <v>8.7311246936676315E-2</v>
      </c>
      <c r="F32">
        <v>3.9224222606453192</v>
      </c>
      <c r="G32">
        <v>11.46936</v>
      </c>
      <c r="H32">
        <v>-9.4753039999999995</v>
      </c>
      <c r="I32">
        <v>-7.8747999999999996</v>
      </c>
      <c r="J32">
        <v>14.71288</v>
      </c>
      <c r="K32">
        <v>-0.73364760000000007</v>
      </c>
      <c r="L32">
        <v>-15.20768</v>
      </c>
      <c r="M32">
        <v>32.029440000000001</v>
      </c>
      <c r="N32">
        <v>-3.9091399999999998</v>
      </c>
      <c r="O32">
        <v>-19.638500000000001</v>
      </c>
      <c r="P32">
        <v>43.662059999999997</v>
      </c>
      <c r="Q32">
        <v>-12.199619999999999</v>
      </c>
      <c r="R32">
        <v>18.117719999999998</v>
      </c>
      <c r="S32">
        <v>22.807700000000001</v>
      </c>
      <c r="T32">
        <v>-11.110720000000001</v>
      </c>
      <c r="U32">
        <v>-46.882500000000107</v>
      </c>
      <c r="V32">
        <v>66.378499999999988</v>
      </c>
      <c r="W32">
        <v>6.2687500000000229</v>
      </c>
      <c r="X32">
        <v>-88.595000000000169</v>
      </c>
      <c r="Y32">
        <v>-58.428074999999993</v>
      </c>
      <c r="Z32">
        <v>-258.46999999999991</v>
      </c>
      <c r="AA32">
        <v>-640.50999999999988</v>
      </c>
      <c r="AB32">
        <v>-158.59700000000001</v>
      </c>
      <c r="AC32">
        <v>-164.6774999999999</v>
      </c>
      <c r="AD32">
        <v>16.239999999999799</v>
      </c>
      <c r="AE32">
        <v>-181.26499999999999</v>
      </c>
      <c r="AF32">
        <v>8.6250000000000568</v>
      </c>
      <c r="AG32">
        <v>513.26500000000021</v>
      </c>
      <c r="AH32">
        <v>-85.272499999999951</v>
      </c>
      <c r="AI32">
        <v>0.88578599999999985</v>
      </c>
      <c r="AJ32">
        <v>-0.7628292000000001</v>
      </c>
      <c r="AK32">
        <v>0.5198294</v>
      </c>
      <c r="AL32">
        <v>8.7415319999999994</v>
      </c>
      <c r="AM32">
        <v>4.1859600000000006</v>
      </c>
      <c r="AN32">
        <v>-0.3948334</v>
      </c>
      <c r="AO32">
        <v>-6.7901639999999999E-2</v>
      </c>
      <c r="AP32">
        <v>0.38399600000000073</v>
      </c>
      <c r="AQ32">
        <v>4.0227320000000004</v>
      </c>
      <c r="AR32">
        <v>-0.26135619999999998</v>
      </c>
      <c r="AS32">
        <v>5.3139840000000001E-2</v>
      </c>
      <c r="AT32">
        <v>-36.116680000000002</v>
      </c>
    </row>
    <row r="33" spans="1:46" x14ac:dyDescent="0.25">
      <c r="A33">
        <v>31</v>
      </c>
      <c r="B33">
        <v>9.4233999999999867</v>
      </c>
      <c r="C33">
        <v>0.54287986813186806</v>
      </c>
      <c r="D33">
        <v>5.5391586228083961E-2</v>
      </c>
      <c r="E33">
        <v>8.4300201726054541E-2</v>
      </c>
      <c r="F33">
        <v>3.940525223674693</v>
      </c>
      <c r="G33">
        <v>11.420964</v>
      </c>
      <c r="H33">
        <v>-9.4067295999999985</v>
      </c>
      <c r="I33">
        <v>-7.8690784000000003</v>
      </c>
      <c r="J33">
        <v>14.623512</v>
      </c>
      <c r="K33">
        <v>-0.79621452000000015</v>
      </c>
      <c r="L33">
        <v>-15.478172000000001</v>
      </c>
      <c r="M33">
        <v>31.368074</v>
      </c>
      <c r="N33">
        <v>-4.0708076000000002</v>
      </c>
      <c r="O33">
        <v>-19.803868000000001</v>
      </c>
      <c r="P33">
        <v>43.685476000000001</v>
      </c>
      <c r="Q33">
        <v>-12.387496000000001</v>
      </c>
      <c r="R33">
        <v>18.12313</v>
      </c>
      <c r="S33">
        <v>23.351247999999998</v>
      </c>
      <c r="T33">
        <v>-11.203201999999999</v>
      </c>
      <c r="U33">
        <v>-47.1042500000001</v>
      </c>
      <c r="V33">
        <v>68.878149999999991</v>
      </c>
      <c r="W33">
        <v>6.2913000000000352</v>
      </c>
      <c r="X33">
        <v>-99.741500000000158</v>
      </c>
      <c r="Y33">
        <v>-53.944724999999977</v>
      </c>
      <c r="Z33">
        <v>-257.14174999999989</v>
      </c>
      <c r="AA33">
        <v>-655.04750000000001</v>
      </c>
      <c r="AB33">
        <v>-168.82245</v>
      </c>
      <c r="AC33">
        <v>-185.6875</v>
      </c>
      <c r="AD33">
        <v>-3.809750000000236</v>
      </c>
      <c r="AE33">
        <v>-186.55725000000001</v>
      </c>
      <c r="AF33">
        <v>3.2202500000000058</v>
      </c>
      <c r="AG33">
        <v>471.48300000000017</v>
      </c>
      <c r="AH33">
        <v>-76.958249999999907</v>
      </c>
      <c r="AI33">
        <v>0.78647730000000049</v>
      </c>
      <c r="AJ33">
        <v>-0.91663608000000019</v>
      </c>
      <c r="AK33">
        <v>0.55765295999999998</v>
      </c>
      <c r="AL33">
        <v>7.9317656000000039</v>
      </c>
      <c r="AM33">
        <v>4.2992302000000002</v>
      </c>
      <c r="AN33">
        <v>-0.44823986000000021</v>
      </c>
      <c r="AO33">
        <v>-6.8222567999999997E-2</v>
      </c>
      <c r="AP33">
        <v>1.367465000000003</v>
      </c>
      <c r="AQ33">
        <v>4.0714402000000014</v>
      </c>
      <c r="AR33">
        <v>-0.26232364000000002</v>
      </c>
      <c r="AS33">
        <v>4.9529981999999972E-2</v>
      </c>
      <c r="AT33">
        <v>-34.373941999999992</v>
      </c>
    </row>
    <row r="34" spans="1:46" x14ac:dyDescent="0.25">
      <c r="A34">
        <v>32</v>
      </c>
      <c r="B34">
        <v>9.42729999999999</v>
      </c>
      <c r="C34">
        <v>0.54260929670329672</v>
      </c>
      <c r="D34">
        <v>8.5539121672147347E-2</v>
      </c>
      <c r="E34">
        <v>7.7373419987578629E-2</v>
      </c>
      <c r="F34">
        <v>3.9475669971166409</v>
      </c>
      <c r="G34">
        <v>11.371408000000001</v>
      </c>
      <c r="H34">
        <v>-9.3308511999999997</v>
      </c>
      <c r="I34">
        <v>-7.8619648</v>
      </c>
      <c r="J34">
        <v>14.500064</v>
      </c>
      <c r="K34">
        <v>-0.84376644000000001</v>
      </c>
      <c r="L34">
        <v>-15.742383999999999</v>
      </c>
      <c r="M34">
        <v>30.660328</v>
      </c>
      <c r="N34">
        <v>-4.2648872000000004</v>
      </c>
      <c r="O34">
        <v>-20.034696</v>
      </c>
      <c r="P34">
        <v>43.645071999999999</v>
      </c>
      <c r="Q34">
        <v>-12.590712</v>
      </c>
      <c r="R34">
        <v>18.123259999999998</v>
      </c>
      <c r="S34">
        <v>23.768756</v>
      </c>
      <c r="T34">
        <v>-11.267344</v>
      </c>
      <c r="U34">
        <v>-47.881000000000078</v>
      </c>
      <c r="V34">
        <v>70.971799999999988</v>
      </c>
      <c r="W34">
        <v>7.6836000000000331</v>
      </c>
      <c r="X34">
        <v>-109.88800000000001</v>
      </c>
      <c r="Y34">
        <v>-48.906574999999989</v>
      </c>
      <c r="Z34">
        <v>-253.53100000000001</v>
      </c>
      <c r="AA34">
        <v>-670.25750000000005</v>
      </c>
      <c r="AB34">
        <v>-179.50389999999999</v>
      </c>
      <c r="AC34">
        <v>-205.83750000000001</v>
      </c>
      <c r="AD34">
        <v>-24.814500000000098</v>
      </c>
      <c r="AE34">
        <v>-189.78449999999989</v>
      </c>
      <c r="AF34">
        <v>2.3329999999999971</v>
      </c>
      <c r="AG34">
        <v>433.60100000000023</v>
      </c>
      <c r="AH34">
        <v>-66.431499999999929</v>
      </c>
      <c r="AI34">
        <v>0.91315060000000026</v>
      </c>
      <c r="AJ34">
        <v>-0.99088376</v>
      </c>
      <c r="AK34">
        <v>0.57662411999999996</v>
      </c>
      <c r="AL34">
        <v>9.3497432000000025</v>
      </c>
      <c r="AM34">
        <v>4.2429844000000001</v>
      </c>
      <c r="AN34">
        <v>-0.49652992000000012</v>
      </c>
      <c r="AO34">
        <v>-6.9111196E-2</v>
      </c>
      <c r="AP34">
        <v>2.5162100000000018</v>
      </c>
      <c r="AQ34">
        <v>4.0928044000000003</v>
      </c>
      <c r="AR34">
        <v>-0.25665408000000001</v>
      </c>
      <c r="AS34">
        <v>3.8947903999999978E-2</v>
      </c>
      <c r="AT34">
        <v>-32.164123999999987</v>
      </c>
    </row>
    <row r="35" spans="1:46" x14ac:dyDescent="0.25">
      <c r="A35">
        <v>33</v>
      </c>
      <c r="B35">
        <v>9.4311999999999934</v>
      </c>
      <c r="C35">
        <v>0.54233872527472526</v>
      </c>
      <c r="D35">
        <v>0.12862733526502571</v>
      </c>
      <c r="E35">
        <v>6.7677446884232453E-2</v>
      </c>
      <c r="F35">
        <v>3.9381721647910428</v>
      </c>
      <c r="G35">
        <v>11.321852</v>
      </c>
      <c r="H35">
        <v>-9.2549727999999991</v>
      </c>
      <c r="I35">
        <v>-7.8548511999999997</v>
      </c>
      <c r="J35">
        <v>14.376616</v>
      </c>
      <c r="K35">
        <v>-0.8913183600000002</v>
      </c>
      <c r="L35">
        <v>-16.006595999999998</v>
      </c>
      <c r="M35">
        <v>29.952582</v>
      </c>
      <c r="N35">
        <v>-4.4589668000000007</v>
      </c>
      <c r="O35">
        <v>-20.265523999999999</v>
      </c>
      <c r="P35">
        <v>43.604667999999997</v>
      </c>
      <c r="Q35">
        <v>-12.793927999999999</v>
      </c>
      <c r="R35">
        <v>18.123390000000001</v>
      </c>
      <c r="S35">
        <v>24.186264000000001</v>
      </c>
      <c r="T35">
        <v>-11.331486</v>
      </c>
      <c r="U35">
        <v>-48.657750000000057</v>
      </c>
      <c r="V35">
        <v>73.065449999999998</v>
      </c>
      <c r="W35">
        <v>9.0759000000000363</v>
      </c>
      <c r="X35">
        <v>-120.03449999999999</v>
      </c>
      <c r="Y35">
        <v>-43.868424999999988</v>
      </c>
      <c r="Z35">
        <v>-249.9202500000001</v>
      </c>
      <c r="AA35">
        <v>-685.4675000000002</v>
      </c>
      <c r="AB35">
        <v>-190.18535</v>
      </c>
      <c r="AC35">
        <v>-225.9875000000001</v>
      </c>
      <c r="AD35">
        <v>-45.819250000000032</v>
      </c>
      <c r="AE35">
        <v>-193.01174999999989</v>
      </c>
      <c r="AF35">
        <v>1.4457499999999841</v>
      </c>
      <c r="AG35">
        <v>395.71900000000011</v>
      </c>
      <c r="AH35">
        <v>-55.904749999999893</v>
      </c>
      <c r="AI35">
        <v>1.0398239</v>
      </c>
      <c r="AJ35">
        <v>-1.06513144</v>
      </c>
      <c r="AK35">
        <v>0.59559528000000006</v>
      </c>
      <c r="AL35">
        <v>10.76772080000001</v>
      </c>
      <c r="AM35">
        <v>4.1867386</v>
      </c>
      <c r="AN35">
        <v>-0.5448199800000002</v>
      </c>
      <c r="AO35">
        <v>-6.9999824000000002E-2</v>
      </c>
      <c r="AP35">
        <v>3.6649550000000048</v>
      </c>
      <c r="AQ35">
        <v>4.1141686000000002</v>
      </c>
      <c r="AR35">
        <v>-0.25098451999999988</v>
      </c>
      <c r="AS35">
        <v>2.8365825999999959E-2</v>
      </c>
      <c r="AT35">
        <v>-29.954305999999988</v>
      </c>
    </row>
    <row r="36" spans="1:46" x14ac:dyDescent="0.25">
      <c r="A36">
        <v>34</v>
      </c>
      <c r="B36">
        <v>9.4350999999999985</v>
      </c>
      <c r="C36">
        <v>0.54206815384615381</v>
      </c>
      <c r="D36">
        <v>0.17698293461815351</v>
      </c>
      <c r="E36">
        <v>5.6456938169742107E-2</v>
      </c>
      <c r="F36">
        <v>3.9186501150943962</v>
      </c>
      <c r="G36">
        <v>11.272296000000001</v>
      </c>
      <c r="H36">
        <v>-9.1790944000000003</v>
      </c>
      <c r="I36">
        <v>-7.8477375999999994</v>
      </c>
      <c r="J36">
        <v>14.253168000000001</v>
      </c>
      <c r="K36">
        <v>-0.93887027999999995</v>
      </c>
      <c r="L36">
        <v>-16.270807999999999</v>
      </c>
      <c r="M36">
        <v>29.244835999999999</v>
      </c>
      <c r="N36">
        <v>-4.6530464</v>
      </c>
      <c r="O36">
        <v>-20.496352000000002</v>
      </c>
      <c r="P36">
        <v>43.564264000000001</v>
      </c>
      <c r="Q36">
        <v>-12.997144</v>
      </c>
      <c r="R36">
        <v>18.123519999999999</v>
      </c>
      <c r="S36">
        <v>24.603771999999999</v>
      </c>
      <c r="T36">
        <v>-11.395628</v>
      </c>
      <c r="U36">
        <v>-49.434500000000043</v>
      </c>
      <c r="V36">
        <v>75.159099999999995</v>
      </c>
      <c r="W36">
        <v>10.46820000000003</v>
      </c>
      <c r="X36">
        <v>-130.18099999999981</v>
      </c>
      <c r="Y36">
        <v>-38.830275000000007</v>
      </c>
      <c r="Z36">
        <v>-246.30950000000021</v>
      </c>
      <c r="AA36">
        <v>-700.67750000000024</v>
      </c>
      <c r="AB36">
        <v>-200.86680000000001</v>
      </c>
      <c r="AC36">
        <v>-246.13749999999999</v>
      </c>
      <c r="AD36">
        <v>-66.823999999999813</v>
      </c>
      <c r="AE36">
        <v>-196.23899999999989</v>
      </c>
      <c r="AF36">
        <v>0.55849999999997824</v>
      </c>
      <c r="AG36">
        <v>357.83700000000027</v>
      </c>
      <c r="AH36">
        <v>-45.377999999999943</v>
      </c>
      <c r="AI36">
        <v>1.1664972</v>
      </c>
      <c r="AJ36">
        <v>-1.1393791200000001</v>
      </c>
      <c r="AK36">
        <v>0.61456643999999994</v>
      </c>
      <c r="AL36">
        <v>12.1856984</v>
      </c>
      <c r="AM36">
        <v>4.1304927999999999</v>
      </c>
      <c r="AN36">
        <v>-0.59311004000000001</v>
      </c>
      <c r="AO36">
        <v>-7.0888451999999991E-2</v>
      </c>
      <c r="AP36">
        <v>4.813699999999999</v>
      </c>
      <c r="AQ36">
        <v>4.1355328000000009</v>
      </c>
      <c r="AR36">
        <v>-0.24531496</v>
      </c>
      <c r="AS36">
        <v>1.7783747999999999E-2</v>
      </c>
      <c r="AT36">
        <v>-27.744488</v>
      </c>
    </row>
    <row r="37" spans="1:46" x14ac:dyDescent="0.25">
      <c r="A37">
        <v>35</v>
      </c>
      <c r="B37">
        <v>9.4392500000000013</v>
      </c>
      <c r="C37">
        <v>0.54181846153846147</v>
      </c>
      <c r="D37">
        <v>0.2261133683440196</v>
      </c>
      <c r="E37">
        <v>4.5202478695025951E-2</v>
      </c>
      <c r="F37">
        <v>3.892575757208947</v>
      </c>
      <c r="G37">
        <v>11.220929999999999</v>
      </c>
      <c r="H37">
        <v>-9.1004260000000006</v>
      </c>
      <c r="I37">
        <v>-7.8370359999999986</v>
      </c>
      <c r="J37">
        <v>14.115539999999999</v>
      </c>
      <c r="K37">
        <v>-0.97842770000000001</v>
      </c>
      <c r="L37">
        <v>-16.527049999999999</v>
      </c>
      <c r="M37">
        <v>28.513480000000001</v>
      </c>
      <c r="N37">
        <v>-4.8637860000000002</v>
      </c>
      <c r="O37">
        <v>-20.756450000000001</v>
      </c>
      <c r="P37">
        <v>43.491140000000001</v>
      </c>
      <c r="Q37">
        <v>-13.20262</v>
      </c>
      <c r="R37">
        <v>18.123560000000001</v>
      </c>
      <c r="S37">
        <v>24.967739999999999</v>
      </c>
      <c r="T37">
        <v>-11.441549999999999</v>
      </c>
      <c r="U37">
        <v>-50.532500000000027</v>
      </c>
      <c r="V37">
        <v>77.033750000000012</v>
      </c>
      <c r="W37">
        <v>12.597625000000029</v>
      </c>
      <c r="X37">
        <v>-139.4049999999998</v>
      </c>
      <c r="Y37">
        <v>-33.869225</v>
      </c>
      <c r="Z37">
        <v>-241.4725000000002</v>
      </c>
      <c r="AA37">
        <v>-715.69000000000028</v>
      </c>
      <c r="AB37">
        <v>-211.52612500000001</v>
      </c>
      <c r="AC37">
        <v>-265.02375000000012</v>
      </c>
      <c r="AD37">
        <v>-87.811249999999788</v>
      </c>
      <c r="AE37">
        <v>-197.8287499999999</v>
      </c>
      <c r="AF37">
        <v>-1.1487500000000359</v>
      </c>
      <c r="AG37">
        <v>322.3850000000001</v>
      </c>
      <c r="AH37">
        <v>-33.932499999999933</v>
      </c>
      <c r="AI37">
        <v>1.2528440000000001</v>
      </c>
      <c r="AJ37">
        <v>-1.2394670000000001</v>
      </c>
      <c r="AK37">
        <v>0.63586319999999996</v>
      </c>
      <c r="AL37">
        <v>13.18764</v>
      </c>
      <c r="AM37">
        <v>4.0922210000000003</v>
      </c>
      <c r="AN37">
        <v>-0.64216100000000009</v>
      </c>
      <c r="AO37">
        <v>-6.9281519999999985E-2</v>
      </c>
      <c r="AP37">
        <v>5.9986380000000006</v>
      </c>
      <c r="AQ37">
        <v>4.1503810000000003</v>
      </c>
      <c r="AR37">
        <v>-0.23985110000000001</v>
      </c>
      <c r="AS37">
        <v>8.5736799999999898E-3</v>
      </c>
      <c r="AT37">
        <v>-25.456900000000001</v>
      </c>
    </row>
    <row r="38" spans="1:46" x14ac:dyDescent="0.25">
      <c r="A38">
        <v>36</v>
      </c>
      <c r="B38">
        <v>9.4438000000000049</v>
      </c>
      <c r="C38">
        <v>0.5416021758241758</v>
      </c>
      <c r="D38">
        <v>0.2724431761587579</v>
      </c>
      <c r="E38">
        <v>3.5893683483925083E-2</v>
      </c>
      <c r="F38">
        <v>3.8681590549808251</v>
      </c>
      <c r="G38">
        <v>11.166668</v>
      </c>
      <c r="H38">
        <v>-9.0172936000000004</v>
      </c>
      <c r="I38">
        <v>-7.8205935999999996</v>
      </c>
      <c r="J38">
        <v>13.955223999999999</v>
      </c>
      <c r="K38">
        <v>-1.00519392</v>
      </c>
      <c r="L38">
        <v>-16.77054</v>
      </c>
      <c r="M38">
        <v>27.744347999999999</v>
      </c>
      <c r="N38">
        <v>-5.1011816000000003</v>
      </c>
      <c r="O38">
        <v>-21.063379999999999</v>
      </c>
      <c r="P38">
        <v>43.365664000000002</v>
      </c>
      <c r="Q38">
        <v>-13.411712</v>
      </c>
      <c r="R38">
        <v>18.123456000000001</v>
      </c>
      <c r="S38">
        <v>25.246044000000001</v>
      </c>
      <c r="T38">
        <v>-11.458320000000001</v>
      </c>
      <c r="U38">
        <v>-52.144500000000022</v>
      </c>
      <c r="V38">
        <v>78.55800000000005</v>
      </c>
      <c r="W38">
        <v>15.906450000000021</v>
      </c>
      <c r="X38">
        <v>-147.15299999999979</v>
      </c>
      <c r="Y38">
        <v>-29.031534999999991</v>
      </c>
      <c r="Z38">
        <v>-234.67350000000019</v>
      </c>
      <c r="AA38">
        <v>-730.38650000000018</v>
      </c>
      <c r="AB38">
        <v>-222.15004999999999</v>
      </c>
      <c r="AC38">
        <v>-281.88800000000009</v>
      </c>
      <c r="AD38">
        <v>-108.7704999999998</v>
      </c>
      <c r="AE38">
        <v>-196.7984999999999</v>
      </c>
      <c r="AF38">
        <v>-4.168000000000049</v>
      </c>
      <c r="AG38">
        <v>290.82099999999991</v>
      </c>
      <c r="AH38">
        <v>-21.016999999999921</v>
      </c>
      <c r="AI38">
        <v>1.2746683999999999</v>
      </c>
      <c r="AJ38">
        <v>-1.3808992</v>
      </c>
      <c r="AK38">
        <v>0.66088092000000009</v>
      </c>
      <c r="AL38">
        <v>13.523923999999999</v>
      </c>
      <c r="AM38">
        <v>4.0827076</v>
      </c>
      <c r="AN38">
        <v>-0.69242940000000019</v>
      </c>
      <c r="AO38">
        <v>-6.368169199999997E-2</v>
      </c>
      <c r="AP38">
        <v>7.2414848000000047</v>
      </c>
      <c r="AQ38">
        <v>4.1548036000000002</v>
      </c>
      <c r="AR38">
        <v>-0.23471636000000001</v>
      </c>
      <c r="AS38">
        <v>1.5588279999999739E-3</v>
      </c>
      <c r="AT38">
        <v>-23.044879999999988</v>
      </c>
    </row>
    <row r="39" spans="1:46" x14ac:dyDescent="0.25">
      <c r="A39">
        <v>37</v>
      </c>
      <c r="B39">
        <v>9.4483500000000085</v>
      </c>
      <c r="C39">
        <v>0.54138589010989013</v>
      </c>
      <c r="D39">
        <v>0.30798081899187502</v>
      </c>
      <c r="E39">
        <v>2.891667173347057E-2</v>
      </c>
      <c r="F39">
        <v>3.847260701505697</v>
      </c>
      <c r="G39">
        <v>11.112406</v>
      </c>
      <c r="H39">
        <v>-8.9341611999999984</v>
      </c>
      <c r="I39">
        <v>-7.8041511999999997</v>
      </c>
      <c r="J39">
        <v>13.794908</v>
      </c>
      <c r="K39">
        <v>-1.03196014</v>
      </c>
      <c r="L39">
        <v>-17.014030000000002</v>
      </c>
      <c r="M39">
        <v>26.975216</v>
      </c>
      <c r="N39">
        <v>-5.3385772000000014</v>
      </c>
      <c r="O39">
        <v>-21.37031</v>
      </c>
      <c r="P39">
        <v>43.240188000000003</v>
      </c>
      <c r="Q39">
        <v>-13.620804</v>
      </c>
      <c r="R39">
        <v>18.123352000000001</v>
      </c>
      <c r="S39">
        <v>25.524348</v>
      </c>
      <c r="T39">
        <v>-11.47509</v>
      </c>
      <c r="U39">
        <v>-53.756500000000017</v>
      </c>
      <c r="V39">
        <v>80.082250000000073</v>
      </c>
      <c r="W39">
        <v>19.215275000000009</v>
      </c>
      <c r="X39">
        <v>-154.9009999999999</v>
      </c>
      <c r="Y39">
        <v>-24.193844999999978</v>
      </c>
      <c r="Z39">
        <v>-227.8745000000001</v>
      </c>
      <c r="AA39">
        <v>-745.0830000000002</v>
      </c>
      <c r="AB39">
        <v>-232.77397500000001</v>
      </c>
      <c r="AC39">
        <v>-298.75225000000012</v>
      </c>
      <c r="AD39">
        <v>-129.72974999999991</v>
      </c>
      <c r="AE39">
        <v>-195.76824999999991</v>
      </c>
      <c r="AF39">
        <v>-7.1872500000000628</v>
      </c>
      <c r="AG39">
        <v>259.25699999999972</v>
      </c>
      <c r="AH39">
        <v>-8.1014999999999127</v>
      </c>
      <c r="AI39">
        <v>1.2964928</v>
      </c>
      <c r="AJ39">
        <v>-1.522331400000001</v>
      </c>
      <c r="AK39">
        <v>0.68589864000000011</v>
      </c>
      <c r="AL39">
        <v>13.860208</v>
      </c>
      <c r="AM39">
        <v>4.0731941999999997</v>
      </c>
      <c r="AN39">
        <v>-0.7426978000000003</v>
      </c>
      <c r="AO39">
        <v>-5.8081863999999962E-2</v>
      </c>
      <c r="AP39">
        <v>8.484331600000008</v>
      </c>
      <c r="AQ39">
        <v>4.1592262</v>
      </c>
      <c r="AR39">
        <v>-0.22958161999999999</v>
      </c>
      <c r="AS39">
        <v>-5.4560240000000419E-3</v>
      </c>
      <c r="AT39">
        <v>-20.63285999999999</v>
      </c>
    </row>
    <row r="40" spans="1:46" x14ac:dyDescent="0.25">
      <c r="A40">
        <v>38</v>
      </c>
      <c r="B40">
        <v>9.4529000000000103</v>
      </c>
      <c r="C40">
        <v>0.54116960439560446</v>
      </c>
      <c r="D40">
        <v>0.33042443239953162</v>
      </c>
      <c r="E40">
        <v>2.8066633743837759E-2</v>
      </c>
      <c r="F40">
        <v>3.8312497492249609</v>
      </c>
      <c r="G40">
        <v>11.058144</v>
      </c>
      <c r="H40">
        <v>-8.8510287999999999</v>
      </c>
      <c r="I40">
        <v>-7.7877087999999999</v>
      </c>
      <c r="J40">
        <v>13.634592</v>
      </c>
      <c r="K40">
        <v>-1.0587263600000001</v>
      </c>
      <c r="L40">
        <v>-17.25752</v>
      </c>
      <c r="M40">
        <v>26.206084000000001</v>
      </c>
      <c r="N40">
        <v>-5.5759727999999997</v>
      </c>
      <c r="O40">
        <v>-21.677240000000001</v>
      </c>
      <c r="P40">
        <v>43.114711999999997</v>
      </c>
      <c r="Q40">
        <v>-13.829896</v>
      </c>
      <c r="R40">
        <v>18.123248</v>
      </c>
      <c r="S40">
        <v>25.802651999999998</v>
      </c>
      <c r="T40">
        <v>-11.491860000000001</v>
      </c>
      <c r="U40">
        <v>-55.368500000000012</v>
      </c>
      <c r="V40">
        <v>81.606500000000096</v>
      </c>
      <c r="W40">
        <v>22.524099999999979</v>
      </c>
      <c r="X40">
        <v>-162.64899999999989</v>
      </c>
      <c r="Y40">
        <v>-19.356155000000001</v>
      </c>
      <c r="Z40">
        <v>-221.07550000000009</v>
      </c>
      <c r="AA40">
        <v>-759.7795000000001</v>
      </c>
      <c r="AB40">
        <v>-243.39789999999999</v>
      </c>
      <c r="AC40">
        <v>-315.61649999999997</v>
      </c>
      <c r="AD40">
        <v>-150.68899999999971</v>
      </c>
      <c r="AE40">
        <v>-194.738</v>
      </c>
      <c r="AF40">
        <v>-10.206500000000061</v>
      </c>
      <c r="AG40">
        <v>227.69299999999981</v>
      </c>
      <c r="AH40">
        <v>4.8140000000000001</v>
      </c>
      <c r="AI40">
        <v>1.3183172000000001</v>
      </c>
      <c r="AJ40">
        <v>-1.6637636</v>
      </c>
      <c r="AK40">
        <v>0.71091636000000002</v>
      </c>
      <c r="AL40">
        <v>14.196491999999999</v>
      </c>
      <c r="AM40">
        <v>4.0636808000000002</v>
      </c>
      <c r="AN40">
        <v>-0.79296620000000007</v>
      </c>
      <c r="AO40">
        <v>-5.2482035999999989E-2</v>
      </c>
      <c r="AP40">
        <v>9.7271784000000032</v>
      </c>
      <c r="AQ40">
        <v>4.1636487999999998</v>
      </c>
      <c r="AR40">
        <v>-0.22444687999999999</v>
      </c>
      <c r="AS40">
        <v>-1.2470876000000009E-2</v>
      </c>
      <c r="AT40">
        <v>-18.220839999999999</v>
      </c>
    </row>
    <row r="41" spans="1:46" x14ac:dyDescent="0.25">
      <c r="A41">
        <v>39</v>
      </c>
      <c r="B41">
        <v>9.4578000000000131</v>
      </c>
      <c r="C41">
        <v>0.54098239560439565</v>
      </c>
      <c r="D41">
        <v>0.34493559063125301</v>
      </c>
      <c r="E41">
        <v>3.3480141197660372E-2</v>
      </c>
      <c r="F41">
        <v>3.8199014066890231</v>
      </c>
      <c r="G41">
        <v>10.999472000000001</v>
      </c>
      <c r="H41">
        <v>-8.7652363999999992</v>
      </c>
      <c r="I41">
        <v>-7.7620361999999998</v>
      </c>
      <c r="J41">
        <v>13.460751999999999</v>
      </c>
      <c r="K41">
        <v>-1.0758456000000001</v>
      </c>
      <c r="L41">
        <v>-17.482880000000002</v>
      </c>
      <c r="M41">
        <v>25.406697999999999</v>
      </c>
      <c r="N41">
        <v>-5.8358090000000002</v>
      </c>
      <c r="O41">
        <v>-22.015837999999999</v>
      </c>
      <c r="P41">
        <v>42.944758</v>
      </c>
      <c r="Q41">
        <v>-14.031385999999999</v>
      </c>
      <c r="R41">
        <v>18.110264000000001</v>
      </c>
      <c r="S41">
        <v>26.019943999999999</v>
      </c>
      <c r="T41">
        <v>-11.478502000000001</v>
      </c>
      <c r="U41">
        <v>-57.453000000000003</v>
      </c>
      <c r="V41">
        <v>82.824150000000074</v>
      </c>
      <c r="W41">
        <v>26.870149999999992</v>
      </c>
      <c r="X41">
        <v>-168.58399999999989</v>
      </c>
      <c r="Y41">
        <v>-15.192127499999989</v>
      </c>
      <c r="Z41">
        <v>-212.58775000000011</v>
      </c>
      <c r="AA41">
        <v>-773.37</v>
      </c>
      <c r="AB41">
        <v>-253.61722499999999</v>
      </c>
      <c r="AC41">
        <v>-329.70350000000002</v>
      </c>
      <c r="AD41">
        <v>-171.07074999999989</v>
      </c>
      <c r="AE41">
        <v>-190.72225</v>
      </c>
      <c r="AF41">
        <v>-17.401250000000129</v>
      </c>
      <c r="AG41">
        <v>199.18624999999969</v>
      </c>
      <c r="AH41">
        <v>18.648250000000019</v>
      </c>
      <c r="AI41">
        <v>1.2583531800000001</v>
      </c>
      <c r="AJ41">
        <v>-1.8613932000000011</v>
      </c>
      <c r="AK41">
        <v>0.74208540000000012</v>
      </c>
      <c r="AL41">
        <v>13.61064919999999</v>
      </c>
      <c r="AM41">
        <v>4.0967960000000003</v>
      </c>
      <c r="AN41">
        <v>-0.85063682000000018</v>
      </c>
      <c r="AO41">
        <v>-4.4367555999999961E-2</v>
      </c>
      <c r="AP41">
        <v>11.137090000000009</v>
      </c>
      <c r="AQ41">
        <v>4.1610784000000001</v>
      </c>
      <c r="AR41">
        <v>-0.21869865999999999</v>
      </c>
      <c r="AS41">
        <v>-1.8460578000000019E-2</v>
      </c>
      <c r="AT41">
        <v>-15.76739679999999</v>
      </c>
    </row>
    <row r="42" spans="1:46" x14ac:dyDescent="0.25">
      <c r="A42">
        <v>40</v>
      </c>
      <c r="B42">
        <v>9.4630000000000152</v>
      </c>
      <c r="C42">
        <v>0.54082010989010987</v>
      </c>
      <c r="D42">
        <v>0.35414515129436391</v>
      </c>
      <c r="E42">
        <v>3.9157945385508472E-2</v>
      </c>
      <c r="F42">
        <v>3.800730321707225</v>
      </c>
      <c r="G42">
        <v>10.93702</v>
      </c>
      <c r="H42">
        <v>-8.6771639999999994</v>
      </c>
      <c r="I42">
        <v>-7.7284519999999999</v>
      </c>
      <c r="J42">
        <v>13.275320000000001</v>
      </c>
      <c r="K42">
        <v>-1.0846960000000001</v>
      </c>
      <c r="L42">
        <v>-17.692699999999999</v>
      </c>
      <c r="M42">
        <v>24.581379999999999</v>
      </c>
      <c r="N42">
        <v>-6.1148800000000012</v>
      </c>
      <c r="O42">
        <v>-22.38158</v>
      </c>
      <c r="P42">
        <v>42.73668</v>
      </c>
      <c r="Q42">
        <v>-14.22636</v>
      </c>
      <c r="R42">
        <v>18.08624</v>
      </c>
      <c r="S42">
        <v>26.184940000000001</v>
      </c>
      <c r="T42">
        <v>-11.43932</v>
      </c>
      <c r="U42">
        <v>-59.942499999999981</v>
      </c>
      <c r="V42">
        <v>83.779000000000011</v>
      </c>
      <c r="W42">
        <v>32.105250000000012</v>
      </c>
      <c r="X42">
        <v>-172.965</v>
      </c>
      <c r="Y42">
        <v>-11.605524999999981</v>
      </c>
      <c r="Z42">
        <v>-202.6525</v>
      </c>
      <c r="AA42">
        <v>-786.01250000000005</v>
      </c>
      <c r="AB42">
        <v>-263.48975000000007</v>
      </c>
      <c r="AC42">
        <v>-341.41000000000008</v>
      </c>
      <c r="AD42">
        <v>-190.9575000000001</v>
      </c>
      <c r="AE42">
        <v>-184.14750000000001</v>
      </c>
      <c r="AF42">
        <v>-28.17500000000021</v>
      </c>
      <c r="AG42">
        <v>173.2999999999997</v>
      </c>
      <c r="AH42">
        <v>33.270000000000039</v>
      </c>
      <c r="AI42">
        <v>1.128284799999999</v>
      </c>
      <c r="AJ42">
        <v>-2.1071920000000008</v>
      </c>
      <c r="AK42">
        <v>0.77852700000000019</v>
      </c>
      <c r="AL42">
        <v>12.23441199999999</v>
      </c>
      <c r="AM42">
        <v>4.1664500000000002</v>
      </c>
      <c r="AN42">
        <v>-0.91465220000000036</v>
      </c>
      <c r="AO42">
        <v>-3.4097659999999939E-2</v>
      </c>
      <c r="AP42">
        <v>12.69020000000001</v>
      </c>
      <c r="AQ42">
        <v>4.152514</v>
      </c>
      <c r="AR42">
        <v>-0.21242459999999999</v>
      </c>
      <c r="AS42">
        <v>-2.3571580000000029E-2</v>
      </c>
      <c r="AT42">
        <v>-13.27844799999999</v>
      </c>
    </row>
    <row r="43" spans="1:46" x14ac:dyDescent="0.25">
      <c r="A43">
        <v>41</v>
      </c>
      <c r="B43">
        <v>9.4682000000000173</v>
      </c>
      <c r="C43">
        <v>0.5406578241758242</v>
      </c>
      <c r="D43">
        <v>0.35810713685013768</v>
      </c>
      <c r="E43">
        <v>4.3851047002742963E-2</v>
      </c>
      <c r="F43">
        <v>3.7824206955709658</v>
      </c>
      <c r="G43">
        <v>10.874568</v>
      </c>
      <c r="H43">
        <v>-8.5890915999999997</v>
      </c>
      <c r="I43">
        <v>-7.6948677999999999</v>
      </c>
      <c r="J43">
        <v>13.089888</v>
      </c>
      <c r="K43">
        <v>-1.0935463999999999</v>
      </c>
      <c r="L43">
        <v>-17.902519999999999</v>
      </c>
      <c r="M43">
        <v>23.756062</v>
      </c>
      <c r="N43">
        <v>-6.3939510000000004</v>
      </c>
      <c r="O43">
        <v>-22.747322</v>
      </c>
      <c r="P43">
        <v>42.528601999999999</v>
      </c>
      <c r="Q43">
        <v>-14.421334</v>
      </c>
      <c r="R43">
        <v>18.062215999999999</v>
      </c>
      <c r="S43">
        <v>26.349936</v>
      </c>
      <c r="T43">
        <v>-11.400138</v>
      </c>
      <c r="U43">
        <v>-62.431999999999938</v>
      </c>
      <c r="V43">
        <v>84.733849999999933</v>
      </c>
      <c r="W43">
        <v>37.34034999999998</v>
      </c>
      <c r="X43">
        <v>-177.346</v>
      </c>
      <c r="Y43">
        <v>-8.0189224999999951</v>
      </c>
      <c r="Z43">
        <v>-192.71725000000001</v>
      </c>
      <c r="AA43">
        <v>-798.65499999999997</v>
      </c>
      <c r="AB43">
        <v>-273.36227500000012</v>
      </c>
      <c r="AC43">
        <v>-353.11650000000009</v>
      </c>
      <c r="AD43">
        <v>-210.84425000000019</v>
      </c>
      <c r="AE43">
        <v>-177.5727500000001</v>
      </c>
      <c r="AF43">
        <v>-38.948750000000217</v>
      </c>
      <c r="AG43">
        <v>147.41374999999991</v>
      </c>
      <c r="AH43">
        <v>47.891749999999952</v>
      </c>
      <c r="AI43">
        <v>0.99821641999999988</v>
      </c>
      <c r="AJ43">
        <v>-2.3529908000000002</v>
      </c>
      <c r="AK43">
        <v>0.81496860000000004</v>
      </c>
      <c r="AL43">
        <v>10.8581748</v>
      </c>
      <c r="AM43">
        <v>4.2361040000000001</v>
      </c>
      <c r="AN43">
        <v>-0.97866758000000009</v>
      </c>
      <c r="AO43">
        <v>-2.3827763999999991E-2</v>
      </c>
      <c r="AP43">
        <v>14.243309999999999</v>
      </c>
      <c r="AQ43">
        <v>4.1439496</v>
      </c>
      <c r="AR43">
        <v>-0.20615053999999999</v>
      </c>
      <c r="AS43">
        <v>-2.8682582000000009E-2</v>
      </c>
      <c r="AT43">
        <v>-10.7894992</v>
      </c>
    </row>
    <row r="44" spans="1:46" x14ac:dyDescent="0.25">
      <c r="A44">
        <v>42</v>
      </c>
      <c r="B44">
        <v>9.4734000000000211</v>
      </c>
      <c r="C44">
        <v>0.54049553846153853</v>
      </c>
      <c r="D44">
        <v>0.36162548560313268</v>
      </c>
      <c r="E44">
        <v>4.7253671667219797E-2</v>
      </c>
      <c r="F44">
        <v>3.7698758824162231</v>
      </c>
      <c r="G44">
        <v>10.812116</v>
      </c>
      <c r="H44">
        <v>-8.5010192</v>
      </c>
      <c r="I44">
        <v>-7.6612836</v>
      </c>
      <c r="J44">
        <v>12.904456</v>
      </c>
      <c r="K44">
        <v>-1.1023968</v>
      </c>
      <c r="L44">
        <v>-18.11234</v>
      </c>
      <c r="M44">
        <v>22.930744000000001</v>
      </c>
      <c r="N44">
        <v>-6.6730220000000013</v>
      </c>
      <c r="O44">
        <v>-23.113064000000001</v>
      </c>
      <c r="P44">
        <v>42.320523999999999</v>
      </c>
      <c r="Q44">
        <v>-14.616308</v>
      </c>
      <c r="R44">
        <v>18.038191999999999</v>
      </c>
      <c r="S44">
        <v>26.514932000000002</v>
      </c>
      <c r="T44">
        <v>-11.360956</v>
      </c>
      <c r="U44">
        <v>-64.921499999999924</v>
      </c>
      <c r="V44">
        <v>85.688699999999869</v>
      </c>
      <c r="W44">
        <v>42.575449999999996</v>
      </c>
      <c r="X44">
        <v>-181.72700000000009</v>
      </c>
      <c r="Y44">
        <v>-4.4323199999999829</v>
      </c>
      <c r="Z44">
        <v>-182.7819999999999</v>
      </c>
      <c r="AA44">
        <v>-811.2974999999999</v>
      </c>
      <c r="AB44">
        <v>-283.23480000000012</v>
      </c>
      <c r="AC44">
        <v>-364.82300000000032</v>
      </c>
      <c r="AD44">
        <v>-230.73100000000039</v>
      </c>
      <c r="AE44">
        <v>-170.9980000000001</v>
      </c>
      <c r="AF44">
        <v>-49.722500000000309</v>
      </c>
      <c r="AG44">
        <v>121.5274999999999</v>
      </c>
      <c r="AH44">
        <v>62.513499999999972</v>
      </c>
      <c r="AI44">
        <v>0.86814803999999957</v>
      </c>
      <c r="AJ44">
        <v>-2.5987896000000008</v>
      </c>
      <c r="AK44">
        <v>0.85141020000000012</v>
      </c>
      <c r="AL44">
        <v>9.4819375999999949</v>
      </c>
      <c r="AM44">
        <v>4.305758</v>
      </c>
      <c r="AN44">
        <v>-1.04268296</v>
      </c>
      <c r="AO44">
        <v>-1.3557867999999969E-2</v>
      </c>
      <c r="AP44">
        <v>15.796419999999999</v>
      </c>
      <c r="AQ44">
        <v>4.1353852</v>
      </c>
      <c r="AR44">
        <v>-0.19987648</v>
      </c>
      <c r="AS44">
        <v>-3.3793584000000022E-2</v>
      </c>
      <c r="AT44">
        <v>-8.3005503999999917</v>
      </c>
    </row>
    <row r="45" spans="1:46" x14ac:dyDescent="0.25">
      <c r="A45">
        <v>43</v>
      </c>
      <c r="B45">
        <v>9.4792750000000172</v>
      </c>
      <c r="C45">
        <v>0.54036994505494507</v>
      </c>
      <c r="D45">
        <v>0.37148853676422361</v>
      </c>
      <c r="E45">
        <v>5.0993860575615488E-2</v>
      </c>
      <c r="F45">
        <v>3.7552941686746779</v>
      </c>
      <c r="G45">
        <v>10.741546</v>
      </c>
      <c r="H45">
        <v>-8.4110783999999992</v>
      </c>
      <c r="I45">
        <v>-7.6105723999999997</v>
      </c>
      <c r="J45">
        <v>12.712147999999999</v>
      </c>
      <c r="K45">
        <v>-1.1037862000000001</v>
      </c>
      <c r="L45">
        <v>-18.290444000000001</v>
      </c>
      <c r="M45">
        <v>22.074304000000001</v>
      </c>
      <c r="N45">
        <v>-6.9779194000000011</v>
      </c>
      <c r="O45">
        <v>-23.502925999999999</v>
      </c>
      <c r="P45">
        <v>42.059489999999997</v>
      </c>
      <c r="Q45">
        <v>-14.784642</v>
      </c>
      <c r="R45">
        <v>17.971057999999999</v>
      </c>
      <c r="S45">
        <v>26.615002</v>
      </c>
      <c r="T45">
        <v>-11.279528000000001</v>
      </c>
      <c r="U45">
        <v>-68.013999999999925</v>
      </c>
      <c r="V45">
        <v>86.282199999999875</v>
      </c>
      <c r="W45">
        <v>49.054350000000007</v>
      </c>
      <c r="X45">
        <v>-183.3202500000001</v>
      </c>
      <c r="Y45">
        <v>-2.3747499999999859</v>
      </c>
      <c r="Z45">
        <v>-170.90724999999989</v>
      </c>
      <c r="AA45">
        <v>-821.63599999999997</v>
      </c>
      <c r="AB45">
        <v>-292.1454500000001</v>
      </c>
      <c r="AC45">
        <v>-372.07450000000023</v>
      </c>
      <c r="AD45">
        <v>-249.38250000000059</v>
      </c>
      <c r="AE45">
        <v>-160.04925</v>
      </c>
      <c r="AF45">
        <v>-66.791750000000292</v>
      </c>
      <c r="AG45">
        <v>97.758499999999898</v>
      </c>
      <c r="AH45">
        <v>77.506500000000017</v>
      </c>
      <c r="AI45">
        <v>0.78997185999999975</v>
      </c>
      <c r="AJ45">
        <v>-2.8073428000000011</v>
      </c>
      <c r="AK45">
        <v>0.87567282000000013</v>
      </c>
      <c r="AL45">
        <v>8.6341047999999976</v>
      </c>
      <c r="AM45">
        <v>4.3243982000000001</v>
      </c>
      <c r="AN45">
        <v>-1.0974044000000001</v>
      </c>
      <c r="AO45">
        <v>-2.7614179999999539E-3</v>
      </c>
      <c r="AP45">
        <v>17.190122000000009</v>
      </c>
      <c r="AQ45">
        <v>4.1137689999999996</v>
      </c>
      <c r="AR45">
        <v>-0.19041011999999999</v>
      </c>
      <c r="AS45">
        <v>-4.0704730000000029E-2</v>
      </c>
      <c r="AT45">
        <v>-5.7757617999999891</v>
      </c>
    </row>
    <row r="46" spans="1:46" x14ac:dyDescent="0.25">
      <c r="A46">
        <v>44</v>
      </c>
      <c r="B46">
        <v>9.4854500000000126</v>
      </c>
      <c r="C46">
        <v>0.54026065934065937</v>
      </c>
      <c r="D46">
        <v>0.38613195938435102</v>
      </c>
      <c r="E46">
        <v>5.432028819001717E-2</v>
      </c>
      <c r="F46">
        <v>3.7224303838777919</v>
      </c>
      <c r="G46">
        <v>10.667368</v>
      </c>
      <c r="H46">
        <v>-8.3203072000000002</v>
      </c>
      <c r="I46">
        <v>-7.5522491999999994</v>
      </c>
      <c r="J46">
        <v>12.516783999999999</v>
      </c>
      <c r="K46">
        <v>-1.1018596000000001</v>
      </c>
      <c r="L46">
        <v>-18.454452</v>
      </c>
      <c r="M46">
        <v>21.204031999999991</v>
      </c>
      <c r="N46">
        <v>-7.2942952000000014</v>
      </c>
      <c r="O46">
        <v>-23.903507999999999</v>
      </c>
      <c r="P46">
        <v>41.774920000000002</v>
      </c>
      <c r="Q46">
        <v>-14.941136</v>
      </c>
      <c r="R46">
        <v>17.884764000000001</v>
      </c>
      <c r="S46">
        <v>26.686216000000002</v>
      </c>
      <c r="T46">
        <v>-11.179323999999999</v>
      </c>
      <c r="U46">
        <v>-71.374499999999941</v>
      </c>
      <c r="V46">
        <v>86.715099999999907</v>
      </c>
      <c r="W46">
        <v>56.08605</v>
      </c>
      <c r="X46">
        <v>-183.67450000000011</v>
      </c>
      <c r="Y46">
        <v>-0.99674999999998581</v>
      </c>
      <c r="Z46">
        <v>-158.17049999999989</v>
      </c>
      <c r="AA46">
        <v>-830.95049999999992</v>
      </c>
      <c r="AB46">
        <v>-300.62860000000012</v>
      </c>
      <c r="AC46">
        <v>-377.34600000000017</v>
      </c>
      <c r="AD46">
        <v>-267.48500000000058</v>
      </c>
      <c r="AE46">
        <v>-147.15649999999999</v>
      </c>
      <c r="AF46">
        <v>-86.659000000000191</v>
      </c>
      <c r="AG46">
        <v>74.930499999999867</v>
      </c>
      <c r="AH46">
        <v>92.664500000000089</v>
      </c>
      <c r="AI46">
        <v>0.73485887999999966</v>
      </c>
      <c r="AJ46">
        <v>-2.9993424000000011</v>
      </c>
      <c r="AK46">
        <v>0.89452256000000008</v>
      </c>
      <c r="AL46">
        <v>8.0211183999999971</v>
      </c>
      <c r="AM46">
        <v>4.3203655999999997</v>
      </c>
      <c r="AN46">
        <v>-1.1479952</v>
      </c>
      <c r="AO46">
        <v>8.2690560000000506E-3</v>
      </c>
      <c r="AP46">
        <v>18.512976000000009</v>
      </c>
      <c r="AQ46">
        <v>4.0863519999999998</v>
      </c>
      <c r="AR46">
        <v>-0.17952496000000001</v>
      </c>
      <c r="AS46">
        <v>-4.8415940000000032E-2</v>
      </c>
      <c r="AT46">
        <v>-3.2350443999999881</v>
      </c>
    </row>
    <row r="47" spans="1:46" x14ac:dyDescent="0.25">
      <c r="A47">
        <v>45</v>
      </c>
      <c r="B47">
        <v>9.4916250000000062</v>
      </c>
      <c r="C47">
        <v>0.54015137362637367</v>
      </c>
      <c r="D47">
        <v>0.4054567001989518</v>
      </c>
      <c r="E47">
        <v>5.820851314497591E-2</v>
      </c>
      <c r="F47">
        <v>3.6868589498138649</v>
      </c>
      <c r="G47">
        <v>10.59319</v>
      </c>
      <c r="H47">
        <v>-8.2295360000000013</v>
      </c>
      <c r="I47">
        <v>-7.4939260000000001</v>
      </c>
      <c r="J47">
        <v>12.32142</v>
      </c>
      <c r="K47">
        <v>-1.099933</v>
      </c>
      <c r="L47">
        <v>-18.618459999999999</v>
      </c>
      <c r="M47">
        <v>20.333760000000002</v>
      </c>
      <c r="N47">
        <v>-7.6106709999999991</v>
      </c>
      <c r="O47">
        <v>-24.304089999999999</v>
      </c>
      <c r="P47">
        <v>41.490349999999999</v>
      </c>
      <c r="Q47">
        <v>-15.097630000000001</v>
      </c>
      <c r="R47">
        <v>17.798469999999998</v>
      </c>
      <c r="S47">
        <v>26.757429999999999</v>
      </c>
      <c r="T47">
        <v>-11.07912</v>
      </c>
      <c r="U47">
        <v>-74.734999999999943</v>
      </c>
      <c r="V47">
        <v>87.147999999999954</v>
      </c>
      <c r="W47">
        <v>63.117749999999951</v>
      </c>
      <c r="X47">
        <v>-184.02875000000009</v>
      </c>
      <c r="Y47">
        <v>0.38125000000000447</v>
      </c>
      <c r="Z47">
        <v>-145.43375</v>
      </c>
      <c r="AA47">
        <v>-840.26499999999987</v>
      </c>
      <c r="AB47">
        <v>-309.11174999999997</v>
      </c>
      <c r="AC47">
        <v>-382.61750000000012</v>
      </c>
      <c r="AD47">
        <v>-285.5875000000006</v>
      </c>
      <c r="AE47">
        <v>-134.26374999999999</v>
      </c>
      <c r="AF47">
        <v>-106.52624999999991</v>
      </c>
      <c r="AG47">
        <v>52.102499999999999</v>
      </c>
      <c r="AH47">
        <v>107.82250000000001</v>
      </c>
      <c r="AI47">
        <v>0.67974590000000013</v>
      </c>
      <c r="AJ47">
        <v>-3.1913420000000001</v>
      </c>
      <c r="AK47">
        <v>0.91337230000000003</v>
      </c>
      <c r="AL47">
        <v>7.408132000000001</v>
      </c>
      <c r="AM47">
        <v>4.3163330000000002</v>
      </c>
      <c r="AN47">
        <v>-1.1985859999999999</v>
      </c>
      <c r="AO47">
        <v>1.9299529999999971E-2</v>
      </c>
      <c r="AP47">
        <v>19.835830000000001</v>
      </c>
      <c r="AQ47">
        <v>4.058935</v>
      </c>
      <c r="AR47">
        <v>-0.16863980000000001</v>
      </c>
      <c r="AS47">
        <v>-5.6127149999999973E-2</v>
      </c>
      <c r="AT47">
        <v>-0.6943270000000048</v>
      </c>
    </row>
    <row r="48" spans="1:46" x14ac:dyDescent="0.25">
      <c r="A48">
        <v>46</v>
      </c>
      <c r="B48">
        <v>9.4978000000000016</v>
      </c>
      <c r="C48">
        <v>0.54004208791208796</v>
      </c>
      <c r="D48">
        <v>0.42969480199470372</v>
      </c>
      <c r="E48">
        <v>6.1815023654234233E-2</v>
      </c>
      <c r="F48">
        <v>3.6514978045253641</v>
      </c>
      <c r="G48">
        <v>10.519012</v>
      </c>
      <c r="H48">
        <v>-8.1387648000000006</v>
      </c>
      <c r="I48">
        <v>-7.4356028000000007</v>
      </c>
      <c r="J48">
        <v>12.126056</v>
      </c>
      <c r="K48">
        <v>-1.0980064</v>
      </c>
      <c r="L48">
        <v>-18.782468000000001</v>
      </c>
      <c r="M48">
        <v>19.463488000000002</v>
      </c>
      <c r="N48">
        <v>-7.9270467999999994</v>
      </c>
      <c r="O48">
        <v>-24.704671999999999</v>
      </c>
      <c r="P48">
        <v>41.205779999999997</v>
      </c>
      <c r="Q48">
        <v>-15.254123999999999</v>
      </c>
      <c r="R48">
        <v>17.712175999999999</v>
      </c>
      <c r="S48">
        <v>26.828644000000001</v>
      </c>
      <c r="T48">
        <v>-10.978916</v>
      </c>
      <c r="U48">
        <v>-78.095499999999959</v>
      </c>
      <c r="V48">
        <v>87.580899999999986</v>
      </c>
      <c r="W48">
        <v>70.149449999999945</v>
      </c>
      <c r="X48">
        <v>-184.38300000000001</v>
      </c>
      <c r="Y48">
        <v>1.7592500000000051</v>
      </c>
      <c r="Z48">
        <v>-132.697</v>
      </c>
      <c r="AA48">
        <v>-849.57949999999994</v>
      </c>
      <c r="AB48">
        <v>-317.59490000000011</v>
      </c>
      <c r="AC48">
        <v>-387.88900000000012</v>
      </c>
      <c r="AD48">
        <v>-303.69000000000062</v>
      </c>
      <c r="AE48">
        <v>-121.371</v>
      </c>
      <c r="AF48">
        <v>-126.3934999999998</v>
      </c>
      <c r="AG48">
        <v>29.274499999999961</v>
      </c>
      <c r="AH48">
        <v>122.98050000000011</v>
      </c>
      <c r="AI48">
        <v>0.62463292000000004</v>
      </c>
      <c r="AJ48">
        <v>-3.3833416000000001</v>
      </c>
      <c r="AK48">
        <v>0.93222203999999997</v>
      </c>
      <c r="AL48">
        <v>6.7951456000000006</v>
      </c>
      <c r="AM48">
        <v>4.3123003999999998</v>
      </c>
      <c r="AN48">
        <v>-1.2491768000000001</v>
      </c>
      <c r="AO48">
        <v>3.033000399999998E-2</v>
      </c>
      <c r="AP48">
        <v>21.158684000000001</v>
      </c>
      <c r="AQ48">
        <v>4.0315180000000002</v>
      </c>
      <c r="AR48">
        <v>-0.15775464000000011</v>
      </c>
      <c r="AS48">
        <v>-6.3838359999999983E-2</v>
      </c>
      <c r="AT48">
        <v>1.8463903999999971</v>
      </c>
    </row>
    <row r="49" spans="1:46" x14ac:dyDescent="0.25">
      <c r="A49">
        <v>47</v>
      </c>
      <c r="B49">
        <v>9.5047999999999959</v>
      </c>
      <c r="C49">
        <v>0.53997631868131868</v>
      </c>
      <c r="D49">
        <v>0.45564907773804691</v>
      </c>
      <c r="E49">
        <v>6.587166091296115E-2</v>
      </c>
      <c r="F49">
        <v>3.613910498752178</v>
      </c>
      <c r="G49">
        <v>10.432008</v>
      </c>
      <c r="H49">
        <v>-8.0473467999999997</v>
      </c>
      <c r="I49">
        <v>-7.3506134000000003</v>
      </c>
      <c r="J49">
        <v>11.936698</v>
      </c>
      <c r="K49">
        <v>-1.0958707999999999</v>
      </c>
      <c r="L49">
        <v>-18.899021999999999</v>
      </c>
      <c r="M49">
        <v>18.568201999999999</v>
      </c>
      <c r="N49">
        <v>-8.2692814000000006</v>
      </c>
      <c r="O49">
        <v>-25.111457999999999</v>
      </c>
      <c r="P49">
        <v>40.863394</v>
      </c>
      <c r="Q49">
        <v>-15.355904000000001</v>
      </c>
      <c r="R49">
        <v>17.544086</v>
      </c>
      <c r="S49">
        <v>26.824684000000001</v>
      </c>
      <c r="T49">
        <v>-10.827738</v>
      </c>
      <c r="U49">
        <v>-82.118749999999963</v>
      </c>
      <c r="V49">
        <v>87.65355000000001</v>
      </c>
      <c r="W49">
        <v>78.481624999999966</v>
      </c>
      <c r="X49">
        <v>-181.12100000000001</v>
      </c>
      <c r="Y49">
        <v>0.73842500000000322</v>
      </c>
      <c r="Z49">
        <v>-118.0929999999999</v>
      </c>
      <c r="AA49">
        <v>-855.46199999999988</v>
      </c>
      <c r="AB49">
        <v>-324.43520000000012</v>
      </c>
      <c r="AC49">
        <v>-387.35525000000013</v>
      </c>
      <c r="AD49">
        <v>-319.98025000000058</v>
      </c>
      <c r="AE49">
        <v>-103.09099999999999</v>
      </c>
      <c r="AF49">
        <v>-151.6232499999999</v>
      </c>
      <c r="AG49">
        <v>5.016499999999894</v>
      </c>
      <c r="AH49">
        <v>137.0363000000001</v>
      </c>
      <c r="AI49">
        <v>0.60080966000000002</v>
      </c>
      <c r="AJ49">
        <v>-3.5392282000000002</v>
      </c>
      <c r="AK49">
        <v>0.94277052000000006</v>
      </c>
      <c r="AL49">
        <v>6.5019885999999998</v>
      </c>
      <c r="AM49">
        <v>4.2667032000000003</v>
      </c>
      <c r="AN49">
        <v>-1.2941685999999999</v>
      </c>
      <c r="AO49">
        <v>4.1354428000000013E-2</v>
      </c>
      <c r="AP49">
        <v>22.126854000000002</v>
      </c>
      <c r="AQ49">
        <v>3.9902058</v>
      </c>
      <c r="AR49">
        <v>-0.144596</v>
      </c>
      <c r="AS49">
        <v>-7.1726229999999988E-2</v>
      </c>
      <c r="AT49">
        <v>4.3969286000000007</v>
      </c>
    </row>
    <row r="50" spans="1:46" x14ac:dyDescent="0.25">
      <c r="A50">
        <v>48</v>
      </c>
      <c r="B50">
        <v>9.5119499999999899</v>
      </c>
      <c r="C50">
        <v>0.53991846153846157</v>
      </c>
      <c r="D50">
        <v>0.48240332098846012</v>
      </c>
      <c r="E50">
        <v>6.9152405103735687E-2</v>
      </c>
      <c r="F50">
        <v>3.570738213157151</v>
      </c>
      <c r="G50">
        <v>10.342672</v>
      </c>
      <c r="H50">
        <v>-7.9558112000000003</v>
      </c>
      <c r="I50">
        <v>-7.2607756000000014</v>
      </c>
      <c r="J50">
        <v>11.748431999999999</v>
      </c>
      <c r="K50">
        <v>-1.0936972</v>
      </c>
      <c r="L50">
        <v>-19.006948000000001</v>
      </c>
      <c r="M50">
        <v>17.668368000000001</v>
      </c>
      <c r="N50">
        <v>-8.6162175999999988</v>
      </c>
      <c r="O50">
        <v>-25.519372000000001</v>
      </c>
      <c r="P50">
        <v>40.510496000000003</v>
      </c>
      <c r="Q50">
        <v>-15.447736000000001</v>
      </c>
      <c r="R50">
        <v>17.361124</v>
      </c>
      <c r="S50">
        <v>26.807055999999999</v>
      </c>
      <c r="T50">
        <v>-10.667292</v>
      </c>
      <c r="U50">
        <v>-86.262499999999918</v>
      </c>
      <c r="V50">
        <v>87.66070000000002</v>
      </c>
      <c r="W50">
        <v>87.050249999999934</v>
      </c>
      <c r="X50">
        <v>-177.2015000000001</v>
      </c>
      <c r="Y50">
        <v>-0.71854999999999447</v>
      </c>
      <c r="Z50">
        <v>-103.1494999999999</v>
      </c>
      <c r="AA50">
        <v>-860.7204999999999</v>
      </c>
      <c r="AB50">
        <v>-330.97680000000003</v>
      </c>
      <c r="AC50">
        <v>-385.76600000000008</v>
      </c>
      <c r="AD50">
        <v>-335.94100000000037</v>
      </c>
      <c r="AE50">
        <v>-83.831500000000119</v>
      </c>
      <c r="AF50">
        <v>-177.82799999999969</v>
      </c>
      <c r="AG50">
        <v>-19.5015</v>
      </c>
      <c r="AH50">
        <v>150.89169999999999</v>
      </c>
      <c r="AI50">
        <v>0.58267544000000016</v>
      </c>
      <c r="AJ50">
        <v>-3.6885488</v>
      </c>
      <c r="AK50">
        <v>0.95180967999999999</v>
      </c>
      <c r="AL50">
        <v>6.2669824000000016</v>
      </c>
      <c r="AM50">
        <v>4.2135487999999999</v>
      </c>
      <c r="AN50">
        <v>-1.3381424</v>
      </c>
      <c r="AO50">
        <v>5.2377751999999951E-2</v>
      </c>
      <c r="AP50">
        <v>23.030536000000001</v>
      </c>
      <c r="AQ50">
        <v>3.946367200000001</v>
      </c>
      <c r="AR50">
        <v>-0.13102400000000011</v>
      </c>
      <c r="AS50">
        <v>-7.9646219999999962E-2</v>
      </c>
      <c r="AT50">
        <v>6.9492523999999882</v>
      </c>
    </row>
    <row r="51" spans="1:46" x14ac:dyDescent="0.25">
      <c r="A51">
        <v>49</v>
      </c>
      <c r="B51">
        <v>9.5190999999999821</v>
      </c>
      <c r="C51">
        <v>0.53986060439560435</v>
      </c>
      <c r="D51">
        <v>0.50689050621303577</v>
      </c>
      <c r="E51">
        <v>7.0399714846834285E-2</v>
      </c>
      <c r="F51">
        <v>3.5255921136079511</v>
      </c>
      <c r="G51">
        <v>10.253335999999999</v>
      </c>
      <c r="H51">
        <v>-7.8642756</v>
      </c>
      <c r="I51">
        <v>-7.1709378000000008</v>
      </c>
      <c r="J51">
        <v>11.560166000000001</v>
      </c>
      <c r="K51">
        <v>-1.0915235999999999</v>
      </c>
      <c r="L51">
        <v>-19.114874</v>
      </c>
      <c r="M51">
        <v>16.768533999999999</v>
      </c>
      <c r="N51">
        <v>-8.9631537999999988</v>
      </c>
      <c r="O51">
        <v>-25.927285999999999</v>
      </c>
      <c r="P51">
        <v>40.157598</v>
      </c>
      <c r="Q51">
        <v>-15.539567999999999</v>
      </c>
      <c r="R51">
        <v>17.178162</v>
      </c>
      <c r="S51">
        <v>26.789428000000001</v>
      </c>
      <c r="T51">
        <v>-10.506845999999999</v>
      </c>
      <c r="U51">
        <v>-90.406249999999915</v>
      </c>
      <c r="V51">
        <v>87.667850000000044</v>
      </c>
      <c r="W51">
        <v>95.61887499999996</v>
      </c>
      <c r="X51">
        <v>-173.2820000000001</v>
      </c>
      <c r="Y51">
        <v>-2.175525000000003</v>
      </c>
      <c r="Z51">
        <v>-88.205999999999861</v>
      </c>
      <c r="AA51">
        <v>-865.97899999999981</v>
      </c>
      <c r="AB51">
        <v>-337.51839999999987</v>
      </c>
      <c r="AC51">
        <v>-384.17675000000008</v>
      </c>
      <c r="AD51">
        <v>-351.90175000000028</v>
      </c>
      <c r="AE51">
        <v>-64.572000000000102</v>
      </c>
      <c r="AF51">
        <v>-204.03274999999979</v>
      </c>
      <c r="AG51">
        <v>-44.019500000000072</v>
      </c>
      <c r="AH51">
        <v>164.74709999999999</v>
      </c>
      <c r="AI51">
        <v>0.56454122000000007</v>
      </c>
      <c r="AJ51">
        <v>-3.8378694000000002</v>
      </c>
      <c r="AK51">
        <v>0.96084884000000004</v>
      </c>
      <c r="AL51">
        <v>6.0319762000000008</v>
      </c>
      <c r="AM51">
        <v>4.1603944000000004</v>
      </c>
      <c r="AN51">
        <v>-1.3821162</v>
      </c>
      <c r="AO51">
        <v>6.3401075999999973E-2</v>
      </c>
      <c r="AP51">
        <v>23.934218000000001</v>
      </c>
      <c r="AQ51">
        <v>3.9025286000000001</v>
      </c>
      <c r="AR51">
        <v>-0.117452</v>
      </c>
      <c r="AS51">
        <v>-8.7566209999999978E-2</v>
      </c>
      <c r="AT51">
        <v>9.5015761999999935</v>
      </c>
    </row>
    <row r="52" spans="1:46" x14ac:dyDescent="0.25">
      <c r="A52">
        <v>50</v>
      </c>
      <c r="B52">
        <v>9.5262499999999761</v>
      </c>
      <c r="C52">
        <v>0.53980274725274724</v>
      </c>
      <c r="D52">
        <v>0.52793142097522816</v>
      </c>
      <c r="E52">
        <v>7.1087540425905482E-2</v>
      </c>
      <c r="F52">
        <v>3.4833102922067991</v>
      </c>
      <c r="G52">
        <v>10.164</v>
      </c>
      <c r="H52">
        <v>-7.7727399999999998</v>
      </c>
      <c r="I52">
        <v>-7.0811000000000002</v>
      </c>
      <c r="J52">
        <v>11.3719</v>
      </c>
      <c r="K52">
        <v>-1.08935</v>
      </c>
      <c r="L52">
        <v>-19.222799999999999</v>
      </c>
      <c r="M52">
        <v>15.8687</v>
      </c>
      <c r="N52">
        <v>-9.3100900000000006</v>
      </c>
      <c r="O52">
        <v>-26.3352</v>
      </c>
      <c r="P52">
        <v>39.804699999999997</v>
      </c>
      <c r="Q52">
        <v>-15.631399999999999</v>
      </c>
      <c r="R52">
        <v>16.995200000000001</v>
      </c>
      <c r="S52">
        <v>26.771799999999999</v>
      </c>
      <c r="T52">
        <v>-10.346399999999999</v>
      </c>
      <c r="U52">
        <v>-94.549999999999912</v>
      </c>
      <c r="V52">
        <v>87.675000000000054</v>
      </c>
      <c r="W52">
        <v>104.1875</v>
      </c>
      <c r="X52">
        <v>-169.3625000000001</v>
      </c>
      <c r="Y52">
        <v>-3.6325000000000101</v>
      </c>
      <c r="Z52">
        <v>-73.26249999999979</v>
      </c>
      <c r="AA52">
        <v>-871.23749999999984</v>
      </c>
      <c r="AB52">
        <v>-344.05999999999989</v>
      </c>
      <c r="AC52">
        <v>-382.58750000000009</v>
      </c>
      <c r="AD52">
        <v>-367.86250000000018</v>
      </c>
      <c r="AE52">
        <v>-45.312500000000092</v>
      </c>
      <c r="AF52">
        <v>-230.2374999999999</v>
      </c>
      <c r="AG52">
        <v>-68.537500000000136</v>
      </c>
      <c r="AH52">
        <v>178.60249999999999</v>
      </c>
      <c r="AI52">
        <v>0.54640700000000009</v>
      </c>
      <c r="AJ52">
        <v>-3.98719</v>
      </c>
      <c r="AK52">
        <v>0.96988800000000008</v>
      </c>
      <c r="AL52">
        <v>5.79697</v>
      </c>
      <c r="AM52">
        <v>4.10724</v>
      </c>
      <c r="AN52">
        <v>-1.4260900000000001</v>
      </c>
      <c r="AO52">
        <v>7.4424400000000002E-2</v>
      </c>
      <c r="AP52">
        <v>24.837900000000001</v>
      </c>
      <c r="AQ52">
        <v>3.8586900000000002</v>
      </c>
      <c r="AR52">
        <v>-0.10388</v>
      </c>
      <c r="AS52">
        <v>-9.5486199999999993E-2</v>
      </c>
      <c r="AT52">
        <v>12.053900000000001</v>
      </c>
    </row>
    <row r="53" spans="1:46" x14ac:dyDescent="0.25">
      <c r="A53">
        <v>51</v>
      </c>
      <c r="B53">
        <v>9.5330749999999771</v>
      </c>
      <c r="C53">
        <v>0.53979474725274723</v>
      </c>
      <c r="D53">
        <v>0.54709946039545099</v>
      </c>
      <c r="E53">
        <v>7.1421769054765855E-2</v>
      </c>
      <c r="F53">
        <v>3.433825717680441</v>
      </c>
      <c r="G53">
        <v>10.056672000000001</v>
      </c>
      <c r="H53">
        <v>-7.6819115999999994</v>
      </c>
      <c r="I53">
        <v>-6.9542278</v>
      </c>
      <c r="J53">
        <v>11.207891999999999</v>
      </c>
      <c r="K53">
        <v>-1.0990792</v>
      </c>
      <c r="L53">
        <v>-19.26726</v>
      </c>
      <c r="M53">
        <v>14.95636</v>
      </c>
      <c r="N53">
        <v>-9.6787986000000004</v>
      </c>
      <c r="O53">
        <v>-26.723068000000001</v>
      </c>
      <c r="P53">
        <v>39.392443999999998</v>
      </c>
      <c r="Q53">
        <v>-15.633818</v>
      </c>
      <c r="R53">
        <v>16.699268</v>
      </c>
      <c r="S53">
        <v>26.64687</v>
      </c>
      <c r="T53">
        <v>-10.1353528</v>
      </c>
      <c r="U53">
        <v>-99.318074999999936</v>
      </c>
      <c r="V53">
        <v>87.385425000000012</v>
      </c>
      <c r="W53">
        <v>113.92189999999999</v>
      </c>
      <c r="X53">
        <v>-161.30250000000001</v>
      </c>
      <c r="Y53">
        <v>-8.0606250000000195</v>
      </c>
      <c r="Z53">
        <v>-56.892249999999798</v>
      </c>
      <c r="AA53">
        <v>-872.33729999999991</v>
      </c>
      <c r="AB53">
        <v>-348.1559749999999</v>
      </c>
      <c r="AC53">
        <v>-374.63475</v>
      </c>
      <c r="AD53">
        <v>-381.73025000000013</v>
      </c>
      <c r="AE53">
        <v>-20.485750000000039</v>
      </c>
      <c r="AF53">
        <v>-257.74225000000001</v>
      </c>
      <c r="AG53">
        <v>-101.6550000000002</v>
      </c>
      <c r="AH53">
        <v>188.64207500000001</v>
      </c>
      <c r="AI53">
        <v>0.50854865999999999</v>
      </c>
      <c r="AJ53">
        <v>-4.1425582000000007</v>
      </c>
      <c r="AK53">
        <v>0.97914972000000011</v>
      </c>
      <c r="AL53">
        <v>5.3478953999999987</v>
      </c>
      <c r="AM53">
        <v>4.0453834000000004</v>
      </c>
      <c r="AN53">
        <v>-1.4793536</v>
      </c>
      <c r="AO53">
        <v>8.0777370000000015E-2</v>
      </c>
      <c r="AP53">
        <v>25.384706000000001</v>
      </c>
      <c r="AQ53">
        <v>3.8022491999999999</v>
      </c>
      <c r="AR53">
        <v>-9.1278917999999973E-2</v>
      </c>
      <c r="AS53">
        <v>-0.103693308</v>
      </c>
      <c r="AT53">
        <v>14.554268000000009</v>
      </c>
    </row>
    <row r="54" spans="1:46" x14ac:dyDescent="0.25">
      <c r="A54">
        <v>52</v>
      </c>
      <c r="B54">
        <v>9.5398999999999781</v>
      </c>
      <c r="C54">
        <v>0.53978674725274722</v>
      </c>
      <c r="D54">
        <v>0.56488379967336844</v>
      </c>
      <c r="E54">
        <v>7.0285731079216124E-2</v>
      </c>
      <c r="F54">
        <v>3.384831333540939</v>
      </c>
      <c r="G54">
        <v>9.949344</v>
      </c>
      <c r="H54">
        <v>-7.5910831999999999</v>
      </c>
      <c r="I54">
        <v>-6.8273556000000006</v>
      </c>
      <c r="J54">
        <v>11.043884</v>
      </c>
      <c r="K54">
        <v>-1.1088084</v>
      </c>
      <c r="L54">
        <v>-19.311720000000001</v>
      </c>
      <c r="M54">
        <v>14.04402</v>
      </c>
      <c r="N54">
        <v>-10.0475072</v>
      </c>
      <c r="O54">
        <v>-27.110935999999999</v>
      </c>
      <c r="P54">
        <v>38.980187999999998</v>
      </c>
      <c r="Q54">
        <v>-15.636236</v>
      </c>
      <c r="R54">
        <v>16.403335999999999</v>
      </c>
      <c r="S54">
        <v>26.521940000000001</v>
      </c>
      <c r="T54">
        <v>-9.9243056000000003</v>
      </c>
      <c r="U54">
        <v>-104.0861499999999</v>
      </c>
      <c r="V54">
        <v>87.095849999999984</v>
      </c>
      <c r="W54">
        <v>123.6563</v>
      </c>
      <c r="X54">
        <v>-153.24250000000001</v>
      </c>
      <c r="Y54">
        <v>-12.48875</v>
      </c>
      <c r="Z54">
        <v>-40.521999999999927</v>
      </c>
      <c r="AA54">
        <v>-873.43709999999999</v>
      </c>
      <c r="AB54">
        <v>-352.25194999999991</v>
      </c>
      <c r="AC54">
        <v>-366.68200000000002</v>
      </c>
      <c r="AD54">
        <v>-395.59800000000001</v>
      </c>
      <c r="AE54">
        <v>4.3409999999998226</v>
      </c>
      <c r="AF54">
        <v>-285.2469999999999</v>
      </c>
      <c r="AG54">
        <v>-134.77250000000001</v>
      </c>
      <c r="AH54">
        <v>198.68164999999991</v>
      </c>
      <c r="AI54">
        <v>0.47069032000000011</v>
      </c>
      <c r="AJ54">
        <v>-4.2979263999999997</v>
      </c>
      <c r="AK54">
        <v>0.98841143999999992</v>
      </c>
      <c r="AL54">
        <v>4.8988208000000011</v>
      </c>
      <c r="AM54">
        <v>3.9835267999999999</v>
      </c>
      <c r="AN54">
        <v>-1.5326172</v>
      </c>
      <c r="AO54">
        <v>8.7130339999999987E-2</v>
      </c>
      <c r="AP54">
        <v>25.931512000000001</v>
      </c>
      <c r="AQ54">
        <v>3.7458084</v>
      </c>
      <c r="AR54">
        <v>-7.8677836000000029E-2</v>
      </c>
      <c r="AS54">
        <v>-0.111900416</v>
      </c>
      <c r="AT54">
        <v>17.054635999999999</v>
      </c>
    </row>
    <row r="55" spans="1:46" x14ac:dyDescent="0.25">
      <c r="A55">
        <v>53</v>
      </c>
      <c r="B55">
        <v>9.546724999999979</v>
      </c>
      <c r="C55">
        <v>0.53977874725274733</v>
      </c>
      <c r="D55">
        <v>0.5822729410802262</v>
      </c>
      <c r="E55">
        <v>6.8621186651660435E-2</v>
      </c>
      <c r="F55">
        <v>3.338657719526982</v>
      </c>
      <c r="G55">
        <v>9.842016000000001</v>
      </c>
      <c r="H55">
        <v>-7.5002548000000004</v>
      </c>
      <c r="I55">
        <v>-6.7004834000000004</v>
      </c>
      <c r="J55">
        <v>10.879875999999999</v>
      </c>
      <c r="K55">
        <v>-1.1185376</v>
      </c>
      <c r="L55">
        <v>-19.356179999999998</v>
      </c>
      <c r="M55">
        <v>13.131679999999999</v>
      </c>
      <c r="N55">
        <v>-10.4162158</v>
      </c>
      <c r="O55">
        <v>-27.498804</v>
      </c>
      <c r="P55">
        <v>38.567931999999999</v>
      </c>
      <c r="Q55">
        <v>-15.638654000000001</v>
      </c>
      <c r="R55">
        <v>16.107403999999999</v>
      </c>
      <c r="S55">
        <v>26.397010000000002</v>
      </c>
      <c r="T55">
        <v>-9.7132583999999991</v>
      </c>
      <c r="U55">
        <v>-108.854225</v>
      </c>
      <c r="V55">
        <v>86.806274999999943</v>
      </c>
      <c r="W55">
        <v>133.39070000000001</v>
      </c>
      <c r="X55">
        <v>-145.1825</v>
      </c>
      <c r="Y55">
        <v>-16.916875000000001</v>
      </c>
      <c r="Z55">
        <v>-24.151749999999939</v>
      </c>
      <c r="AA55">
        <v>-874.53690000000006</v>
      </c>
      <c r="AB55">
        <v>-356.3479249999998</v>
      </c>
      <c r="AC55">
        <v>-358.72924999999992</v>
      </c>
      <c r="AD55">
        <v>-409.46574999999979</v>
      </c>
      <c r="AE55">
        <v>29.16774999999987</v>
      </c>
      <c r="AF55">
        <v>-312.75175000000002</v>
      </c>
      <c r="AG55">
        <v>-167.89</v>
      </c>
      <c r="AH55">
        <v>208.72122499999989</v>
      </c>
      <c r="AI55">
        <v>0.43283198000000001</v>
      </c>
      <c r="AJ55">
        <v>-4.4532946000000004</v>
      </c>
      <c r="AK55">
        <v>0.99767315999999995</v>
      </c>
      <c r="AL55">
        <v>4.4497461999999999</v>
      </c>
      <c r="AM55">
        <v>3.9216701999999999</v>
      </c>
      <c r="AN55">
        <v>-1.5858808</v>
      </c>
      <c r="AO55">
        <v>9.348331E-2</v>
      </c>
      <c r="AP55">
        <v>26.478318000000002</v>
      </c>
      <c r="AQ55">
        <v>3.6893676000000002</v>
      </c>
      <c r="AR55">
        <v>-6.6076754000000015E-2</v>
      </c>
      <c r="AS55">
        <v>-0.12010752399999999</v>
      </c>
      <c r="AT55">
        <v>19.555004</v>
      </c>
    </row>
    <row r="56" spans="1:46" x14ac:dyDescent="0.25">
      <c r="A56">
        <v>54</v>
      </c>
      <c r="B56">
        <v>9.5536499999999815</v>
      </c>
      <c r="C56">
        <v>0.53977808791208792</v>
      </c>
      <c r="D56">
        <v>0.59837584031518309</v>
      </c>
      <c r="E56">
        <v>6.6739029598223906E-2</v>
      </c>
      <c r="F56">
        <v>3.2945173804312859</v>
      </c>
      <c r="G56">
        <v>9.731587600000001</v>
      </c>
      <c r="H56">
        <v>-7.4096739999999999</v>
      </c>
      <c r="I56">
        <v>-6.5673279999999998</v>
      </c>
      <c r="J56">
        <v>10.722056</v>
      </c>
      <c r="K56">
        <v>-1.1318855999999999</v>
      </c>
      <c r="L56">
        <v>-19.390256000000001</v>
      </c>
      <c r="M56">
        <v>12.2199104</v>
      </c>
      <c r="N56">
        <v>-10.786616</v>
      </c>
      <c r="O56">
        <v>-27.879968000000002</v>
      </c>
      <c r="P56">
        <v>38.147739999999999</v>
      </c>
      <c r="Q56">
        <v>-15.624271999999999</v>
      </c>
      <c r="R56">
        <v>15.795</v>
      </c>
      <c r="S56">
        <v>26.247827999999998</v>
      </c>
      <c r="T56">
        <v>-9.4976395999999994</v>
      </c>
      <c r="U56">
        <v>-113.68389999999999</v>
      </c>
      <c r="V56">
        <v>86.494499999999917</v>
      </c>
      <c r="W56">
        <v>143.23335000000009</v>
      </c>
      <c r="X56">
        <v>-136.55204999999989</v>
      </c>
      <c r="Y56">
        <v>-21.741850000000021</v>
      </c>
      <c r="Z56">
        <v>-7.6904999999999486</v>
      </c>
      <c r="AA56">
        <v>-875.05270000000007</v>
      </c>
      <c r="AB56">
        <v>-359.98519999999979</v>
      </c>
      <c r="AC56">
        <v>-349.98799999999989</v>
      </c>
      <c r="AD56">
        <v>-423.09149999999983</v>
      </c>
      <c r="AE56">
        <v>54.585499999999918</v>
      </c>
      <c r="AF56">
        <v>-339.7435000000001</v>
      </c>
      <c r="AG56">
        <v>-203.65350000000001</v>
      </c>
      <c r="AH56">
        <v>217.7242499999999</v>
      </c>
      <c r="AI56">
        <v>0.39113943999999978</v>
      </c>
      <c r="AJ56">
        <v>-4.6029220000000004</v>
      </c>
      <c r="AK56">
        <v>1.00515344</v>
      </c>
      <c r="AL56">
        <v>3.9677755999999982</v>
      </c>
      <c r="AM56">
        <v>3.857643599999999</v>
      </c>
      <c r="AN56">
        <v>-1.6369176000000001</v>
      </c>
      <c r="AO56">
        <v>9.9373944000000006E-2</v>
      </c>
      <c r="AP56">
        <v>26.956084000000001</v>
      </c>
      <c r="AQ56">
        <v>3.6314167999999998</v>
      </c>
      <c r="AR56">
        <v>-5.363621599999998E-2</v>
      </c>
      <c r="AS56">
        <v>-0.12741812</v>
      </c>
      <c r="AT56">
        <v>22.02414000000001</v>
      </c>
    </row>
    <row r="57" spans="1:46" x14ac:dyDescent="0.25">
      <c r="A57">
        <v>55</v>
      </c>
      <c r="B57">
        <v>9.5611249999999899</v>
      </c>
      <c r="C57">
        <v>0.53981780219780218</v>
      </c>
      <c r="D57">
        <v>0.61438875045693186</v>
      </c>
      <c r="E57">
        <v>6.5394153114664566E-2</v>
      </c>
      <c r="F57">
        <v>3.2404521362691758</v>
      </c>
      <c r="G57">
        <v>9.6041069999999991</v>
      </c>
      <c r="H57">
        <v>-7.3204549999999999</v>
      </c>
      <c r="I57">
        <v>-6.3996149999999998</v>
      </c>
      <c r="J57">
        <v>10.598269999999999</v>
      </c>
      <c r="K57">
        <v>-1.1651370000000001</v>
      </c>
      <c r="L57">
        <v>-19.36722</v>
      </c>
      <c r="M57">
        <v>11.311278</v>
      </c>
      <c r="N57">
        <v>-11.166320000000001</v>
      </c>
      <c r="O57">
        <v>-28.224260000000001</v>
      </c>
      <c r="P57">
        <v>37.683899999999987</v>
      </c>
      <c r="Q57">
        <v>-15.51749</v>
      </c>
      <c r="R57">
        <v>15.391999999999999</v>
      </c>
      <c r="S57">
        <v>25.965260000000001</v>
      </c>
      <c r="T57">
        <v>-9.2568769999999994</v>
      </c>
      <c r="U57">
        <v>-118.85237500000009</v>
      </c>
      <c r="V57">
        <v>86.060624999999945</v>
      </c>
      <c r="W57">
        <v>153.6713750000001</v>
      </c>
      <c r="X57">
        <v>-124.7841249999999</v>
      </c>
      <c r="Y57">
        <v>-28.74950000000003</v>
      </c>
      <c r="Z57">
        <v>9.2712500000000482</v>
      </c>
      <c r="AA57">
        <v>-872.35649999999998</v>
      </c>
      <c r="AB57">
        <v>-361.09962499999989</v>
      </c>
      <c r="AC57">
        <v>-336.90999999999991</v>
      </c>
      <c r="AD57">
        <v>-435.38624999999968</v>
      </c>
      <c r="AE57">
        <v>83.253750000000025</v>
      </c>
      <c r="AF57">
        <v>-363.91375000000011</v>
      </c>
      <c r="AG57">
        <v>-253.9700000000002</v>
      </c>
      <c r="AH57">
        <v>221.02624999999989</v>
      </c>
      <c r="AI57">
        <v>0.32835879999999967</v>
      </c>
      <c r="AJ57">
        <v>-4.720975000000001</v>
      </c>
      <c r="AK57">
        <v>1.0028357999999999</v>
      </c>
      <c r="AL57">
        <v>3.3048769999999972</v>
      </c>
      <c r="AM57">
        <v>3.781682</v>
      </c>
      <c r="AN57">
        <v>-1.6757070000000001</v>
      </c>
      <c r="AO57">
        <v>0.10272173</v>
      </c>
      <c r="AP57">
        <v>27.054130000000001</v>
      </c>
      <c r="AQ57">
        <v>3.5651609999999998</v>
      </c>
      <c r="AR57">
        <v>-4.207866999999995E-2</v>
      </c>
      <c r="AS57">
        <v>-0.12979789999999999</v>
      </c>
      <c r="AT57">
        <v>24.321500000000011</v>
      </c>
    </row>
    <row r="58" spans="1:46" x14ac:dyDescent="0.25">
      <c r="A58">
        <v>56</v>
      </c>
      <c r="B58">
        <v>9.5685999999999982</v>
      </c>
      <c r="C58">
        <v>0.53985751648351643</v>
      </c>
      <c r="D58">
        <v>0.62964404090017889</v>
      </c>
      <c r="E58">
        <v>6.448277606464102E-2</v>
      </c>
      <c r="F58">
        <v>3.1839083850918688</v>
      </c>
      <c r="G58">
        <v>9.4766264000000007</v>
      </c>
      <c r="H58">
        <v>-7.231236</v>
      </c>
      <c r="I58">
        <v>-6.2319019999999998</v>
      </c>
      <c r="J58">
        <v>10.474484</v>
      </c>
      <c r="K58">
        <v>-1.1983884</v>
      </c>
      <c r="L58">
        <v>-19.344183999999998</v>
      </c>
      <c r="M58">
        <v>10.4026456</v>
      </c>
      <c r="N58">
        <v>-11.546023999999999</v>
      </c>
      <c r="O58">
        <v>-28.568552</v>
      </c>
      <c r="P58">
        <v>37.220059999999997</v>
      </c>
      <c r="Q58">
        <v>-15.410708</v>
      </c>
      <c r="R58">
        <v>14.989000000000001</v>
      </c>
      <c r="S58">
        <v>25.682691999999999</v>
      </c>
      <c r="T58">
        <v>-9.0161143999999993</v>
      </c>
      <c r="U58">
        <v>-124.0208500000001</v>
      </c>
      <c r="V58">
        <v>85.626749999999987</v>
      </c>
      <c r="W58">
        <v>164.10940000000011</v>
      </c>
      <c r="X58">
        <v>-113.0161999999999</v>
      </c>
      <c r="Y58">
        <v>-35.757150000000003</v>
      </c>
      <c r="Z58">
        <v>26.232999999999929</v>
      </c>
      <c r="AA58">
        <v>-869.66030000000001</v>
      </c>
      <c r="AB58">
        <v>-362.21404999999987</v>
      </c>
      <c r="AC58">
        <v>-323.83199999999988</v>
      </c>
      <c r="AD58">
        <v>-447.68099999999947</v>
      </c>
      <c r="AE58">
        <v>111.9219999999999</v>
      </c>
      <c r="AF58">
        <v>-388.08399999999989</v>
      </c>
      <c r="AG58">
        <v>-304.28649999999999</v>
      </c>
      <c r="AH58">
        <v>224.32824999999991</v>
      </c>
      <c r="AI58">
        <v>0.26557816000000001</v>
      </c>
      <c r="AJ58">
        <v>-4.8390280000000008</v>
      </c>
      <c r="AK58">
        <v>1.0005181599999999</v>
      </c>
      <c r="AL58">
        <v>2.6419784000000002</v>
      </c>
      <c r="AM58">
        <v>3.7057204000000001</v>
      </c>
      <c r="AN58">
        <v>-1.7144964</v>
      </c>
      <c r="AO58">
        <v>0.106069516</v>
      </c>
      <c r="AP58">
        <v>27.152176000000001</v>
      </c>
      <c r="AQ58">
        <v>3.4989051999999998</v>
      </c>
      <c r="AR58">
        <v>-3.0521124E-2</v>
      </c>
      <c r="AS58">
        <v>-0.13217767999999999</v>
      </c>
      <c r="AT58">
        <v>26.618860000000002</v>
      </c>
    </row>
    <row r="59" spans="1:46" x14ac:dyDescent="0.25">
      <c r="A59">
        <v>57</v>
      </c>
      <c r="B59">
        <v>9.5760750000000066</v>
      </c>
      <c r="C59">
        <v>0.5398972307692308</v>
      </c>
      <c r="D59">
        <v>0.64460383935726673</v>
      </c>
      <c r="E59">
        <v>6.4061908460305003E-2</v>
      </c>
      <c r="F59">
        <v>3.1344513656464281</v>
      </c>
      <c r="G59">
        <v>9.3491458000000005</v>
      </c>
      <c r="H59">
        <v>-7.1420170000000001</v>
      </c>
      <c r="I59">
        <v>-6.0641889999999998</v>
      </c>
      <c r="J59">
        <v>10.350698</v>
      </c>
      <c r="K59">
        <v>-1.2316398</v>
      </c>
      <c r="L59">
        <v>-19.321148000000001</v>
      </c>
      <c r="M59">
        <v>9.4940131999999977</v>
      </c>
      <c r="N59">
        <v>-11.925727999999999</v>
      </c>
      <c r="O59">
        <v>-28.912844</v>
      </c>
      <c r="P59">
        <v>36.756219999999999</v>
      </c>
      <c r="Q59">
        <v>-15.303926000000001</v>
      </c>
      <c r="R59">
        <v>14.586</v>
      </c>
      <c r="S59">
        <v>25.400124000000002</v>
      </c>
      <c r="T59">
        <v>-8.7753517999999993</v>
      </c>
      <c r="U59">
        <v>-129.18932500000011</v>
      </c>
      <c r="V59">
        <v>85.192875000000015</v>
      </c>
      <c r="W59">
        <v>174.54742500000009</v>
      </c>
      <c r="X59">
        <v>-101.24827499999989</v>
      </c>
      <c r="Y59">
        <v>-42.764800000000022</v>
      </c>
      <c r="Z59">
        <v>43.194749999999921</v>
      </c>
      <c r="AA59">
        <v>-866.96410000000003</v>
      </c>
      <c r="AB59">
        <v>-363.32847500000003</v>
      </c>
      <c r="AC59">
        <v>-310.75399999999979</v>
      </c>
      <c r="AD59">
        <v>-459.97574999999938</v>
      </c>
      <c r="AE59">
        <v>140.59025</v>
      </c>
      <c r="AF59">
        <v>-412.2542499999999</v>
      </c>
      <c r="AG59">
        <v>-354.60300000000018</v>
      </c>
      <c r="AH59">
        <v>227.6302499999999</v>
      </c>
      <c r="AI59">
        <v>0.2027975199999999</v>
      </c>
      <c r="AJ59">
        <v>-4.9570810000000014</v>
      </c>
      <c r="AK59">
        <v>0.99820052000000004</v>
      </c>
      <c r="AL59">
        <v>1.9790797999999989</v>
      </c>
      <c r="AM59">
        <v>3.6297587999999998</v>
      </c>
      <c r="AN59">
        <v>-1.7532858</v>
      </c>
      <c r="AO59">
        <v>0.10941730199999999</v>
      </c>
      <c r="AP59">
        <v>27.250222000000001</v>
      </c>
      <c r="AQ59">
        <v>3.4326493999999999</v>
      </c>
      <c r="AR59">
        <v>-1.8963577999999981E-2</v>
      </c>
      <c r="AS59">
        <v>-0.13455745999999999</v>
      </c>
      <c r="AT59">
        <v>28.916219999999999</v>
      </c>
    </row>
    <row r="60" spans="1:46" x14ac:dyDescent="0.25">
      <c r="A60">
        <v>58</v>
      </c>
      <c r="B60">
        <v>9.5837500000000109</v>
      </c>
      <c r="C60">
        <v>0.53995070329670325</v>
      </c>
      <c r="D60">
        <v>0.65975159247156301</v>
      </c>
      <c r="E60">
        <v>6.2749706501644686E-2</v>
      </c>
      <c r="F60">
        <v>3.081750097989755</v>
      </c>
      <c r="G60">
        <v>9.2151435999999993</v>
      </c>
      <c r="H60">
        <v>-7.0533707999999997</v>
      </c>
      <c r="I60">
        <v>-5.8833487999999994</v>
      </c>
      <c r="J60">
        <v>10.243503199999999</v>
      </c>
      <c r="K60">
        <v>-1.2749032</v>
      </c>
      <c r="L60">
        <v>-19.277128000000001</v>
      </c>
      <c r="M60">
        <v>8.5908767999999966</v>
      </c>
      <c r="N60">
        <v>-12.304792000000001</v>
      </c>
      <c r="O60">
        <v>-29.238351999999999</v>
      </c>
      <c r="P60">
        <v>36.277987999999993</v>
      </c>
      <c r="Q60">
        <v>-15.160176</v>
      </c>
      <c r="R60">
        <v>14.156447999999999</v>
      </c>
      <c r="S60">
        <v>25.042204000000002</v>
      </c>
      <c r="T60">
        <v>-8.5356043999999986</v>
      </c>
      <c r="U60">
        <v>-134.3886000000002</v>
      </c>
      <c r="V60">
        <v>84.761000000000038</v>
      </c>
      <c r="W60">
        <v>185.04155000000009</v>
      </c>
      <c r="X60">
        <v>-88.534849999999864</v>
      </c>
      <c r="Y60">
        <v>-50.305050000000037</v>
      </c>
      <c r="Z60">
        <v>60.08649999999993</v>
      </c>
      <c r="AA60">
        <v>-863.24979999999994</v>
      </c>
      <c r="AB60">
        <v>-363.34300000000007</v>
      </c>
      <c r="AC60">
        <v>-296.58599999999979</v>
      </c>
      <c r="AD60">
        <v>-472.0344999999993</v>
      </c>
      <c r="AE60">
        <v>169.6255000000001</v>
      </c>
      <c r="AF60">
        <v>-434.67950000000002</v>
      </c>
      <c r="AG60">
        <v>-412.90550000000042</v>
      </c>
      <c r="AH60">
        <v>228.00974999999991</v>
      </c>
      <c r="AI60">
        <v>0.1355317599999997</v>
      </c>
      <c r="AJ60">
        <v>-5.0524204000000008</v>
      </c>
      <c r="AK60">
        <v>0.99032383999999996</v>
      </c>
      <c r="AL60">
        <v>1.3011107999999969</v>
      </c>
      <c r="AM60">
        <v>3.5459252000000001</v>
      </c>
      <c r="AN60">
        <v>-1.7815704000000001</v>
      </c>
      <c r="AO60">
        <v>0.11214996000000001</v>
      </c>
      <c r="AP60">
        <v>27.182348000000001</v>
      </c>
      <c r="AQ60">
        <v>3.3622168000000001</v>
      </c>
      <c r="AR60">
        <v>-7.5712959999999574E-3</v>
      </c>
      <c r="AS60">
        <v>-0.13341876</v>
      </c>
      <c r="AT60">
        <v>31.052588000000011</v>
      </c>
    </row>
    <row r="61" spans="1:46" x14ac:dyDescent="0.25">
      <c r="A61">
        <v>59</v>
      </c>
      <c r="B61">
        <v>9.5918750000000106</v>
      </c>
      <c r="C61">
        <v>0.54003513186813179</v>
      </c>
      <c r="D61">
        <v>0.67426934942003036</v>
      </c>
      <c r="E61">
        <v>5.9612712817216723E-2</v>
      </c>
      <c r="F61">
        <v>3.0224269093082792</v>
      </c>
      <c r="G61">
        <v>9.0664677999999999</v>
      </c>
      <c r="H61">
        <v>-6.9660133999999996</v>
      </c>
      <c r="I61">
        <v>-5.6729723999999999</v>
      </c>
      <c r="J61">
        <v>10.1736386</v>
      </c>
      <c r="K61">
        <v>-1.3406936</v>
      </c>
      <c r="L61">
        <v>-19.185894000000001</v>
      </c>
      <c r="M61">
        <v>7.700106400000001</v>
      </c>
      <c r="N61">
        <v>-12.682416</v>
      </c>
      <c r="O61">
        <v>-29.521595999999999</v>
      </c>
      <c r="P61">
        <v>35.767373999999997</v>
      </c>
      <c r="Q61">
        <v>-14.933248000000001</v>
      </c>
      <c r="R61">
        <v>13.667154</v>
      </c>
      <c r="S61">
        <v>24.514741999999998</v>
      </c>
      <c r="T61">
        <v>-8.2981411999999999</v>
      </c>
      <c r="U61">
        <v>-139.65717500000011</v>
      </c>
      <c r="V61">
        <v>84.333625000000055</v>
      </c>
      <c r="W61">
        <v>195.6619</v>
      </c>
      <c r="X61">
        <v>-73.69404999999999</v>
      </c>
      <c r="Y61">
        <v>-59.043649999999992</v>
      </c>
      <c r="Z61">
        <v>76.820749999999876</v>
      </c>
      <c r="AA61">
        <v>-857.244775</v>
      </c>
      <c r="AB61">
        <v>-360.8827500000001</v>
      </c>
      <c r="AC61">
        <v>-279.96550000000002</v>
      </c>
      <c r="AD61">
        <v>-483.56224999999932</v>
      </c>
      <c r="AE61">
        <v>199.48650000000001</v>
      </c>
      <c r="AF61">
        <v>-453.17849999999987</v>
      </c>
      <c r="AG61">
        <v>-489.17649999999998</v>
      </c>
      <c r="AH61">
        <v>221.81362499999989</v>
      </c>
      <c r="AI61">
        <v>5.817448000000007E-2</v>
      </c>
      <c r="AJ61">
        <v>-5.0966542000000006</v>
      </c>
      <c r="AK61">
        <v>0.96993932000000005</v>
      </c>
      <c r="AL61">
        <v>0.58923340000000046</v>
      </c>
      <c r="AM61">
        <v>3.4443796</v>
      </c>
      <c r="AN61">
        <v>-1.7862191999999999</v>
      </c>
      <c r="AO61">
        <v>0.11349858</v>
      </c>
      <c r="AP61">
        <v>26.741154000000002</v>
      </c>
      <c r="AQ61">
        <v>3.2823864</v>
      </c>
      <c r="AR61">
        <v>3.449141999999988E-3</v>
      </c>
      <c r="AS61">
        <v>-0.12436348</v>
      </c>
      <c r="AT61">
        <v>32.826723999999999</v>
      </c>
    </row>
    <row r="62" spans="1:46" x14ac:dyDescent="0.25">
      <c r="A62">
        <v>60</v>
      </c>
      <c r="B62">
        <v>9.6000000000000121</v>
      </c>
      <c r="C62">
        <v>0.54011956043956044</v>
      </c>
      <c r="D62">
        <v>0.68753697585527362</v>
      </c>
      <c r="E62">
        <v>5.8110910147829757E-2</v>
      </c>
      <c r="F62">
        <v>2.9626207815770291</v>
      </c>
      <c r="G62">
        <v>8.9177919999999986</v>
      </c>
      <c r="H62">
        <v>-6.8786559999999994</v>
      </c>
      <c r="I62">
        <v>-5.4625959999999996</v>
      </c>
      <c r="J62">
        <v>10.103774</v>
      </c>
      <c r="K62">
        <v>-1.4064840000000001</v>
      </c>
      <c r="L62">
        <v>-19.094660000000001</v>
      </c>
      <c r="M62">
        <v>6.8093359999999992</v>
      </c>
      <c r="N62">
        <v>-13.060040000000001</v>
      </c>
      <c r="O62">
        <v>-29.804839999999999</v>
      </c>
      <c r="P62">
        <v>35.25676</v>
      </c>
      <c r="Q62">
        <v>-14.70632</v>
      </c>
      <c r="R62">
        <v>13.177860000000001</v>
      </c>
      <c r="S62">
        <v>23.987279999999998</v>
      </c>
      <c r="T62">
        <v>-8.0606779999999993</v>
      </c>
      <c r="U62">
        <v>-144.92574999999999</v>
      </c>
      <c r="V62">
        <v>83.906250000000071</v>
      </c>
      <c r="W62">
        <v>206.28225</v>
      </c>
      <c r="X62">
        <v>-58.85325000000001</v>
      </c>
      <c r="Y62">
        <v>-67.782250000000005</v>
      </c>
      <c r="Z62">
        <v>93.554999999999936</v>
      </c>
      <c r="AA62">
        <v>-851.23974999999996</v>
      </c>
      <c r="AB62">
        <v>-358.42250000000013</v>
      </c>
      <c r="AC62">
        <v>-263.34500000000003</v>
      </c>
      <c r="AD62">
        <v>-495.08999999999929</v>
      </c>
      <c r="AE62">
        <v>229.34750000000011</v>
      </c>
      <c r="AF62">
        <v>-471.67750000000001</v>
      </c>
      <c r="AG62">
        <v>-565.4475000000001</v>
      </c>
      <c r="AH62">
        <v>215.61749999999989</v>
      </c>
      <c r="AI62">
        <v>-1.9182800000000111E-2</v>
      </c>
      <c r="AJ62">
        <v>-5.1408879999999986</v>
      </c>
      <c r="AK62">
        <v>0.94955479999999992</v>
      </c>
      <c r="AL62">
        <v>-0.12264400000000129</v>
      </c>
      <c r="AM62">
        <v>3.3428339999999999</v>
      </c>
      <c r="AN62">
        <v>-1.7908679999999999</v>
      </c>
      <c r="AO62">
        <v>0.1148472</v>
      </c>
      <c r="AP62">
        <v>26.299959999999999</v>
      </c>
      <c r="AQ62">
        <v>3.202556</v>
      </c>
      <c r="AR62">
        <v>1.446958000000001E-2</v>
      </c>
      <c r="AS62">
        <v>-0.1153082</v>
      </c>
      <c r="AT62">
        <v>34.600859999999997</v>
      </c>
    </row>
    <row r="63" spans="1:46" x14ac:dyDescent="0.25">
      <c r="A63">
        <v>61</v>
      </c>
      <c r="B63">
        <v>9.6081250000000118</v>
      </c>
      <c r="C63">
        <v>0.54020398901098898</v>
      </c>
      <c r="D63">
        <v>0.7014261143919579</v>
      </c>
      <c r="E63">
        <v>5.9880874513907792E-2</v>
      </c>
      <c r="F63">
        <v>2.8965727028841588</v>
      </c>
      <c r="G63">
        <v>8.7691161999999991</v>
      </c>
      <c r="H63">
        <v>-6.7912985999999993</v>
      </c>
      <c r="I63">
        <v>-5.2522195999999992</v>
      </c>
      <c r="J63">
        <v>10.033909400000001</v>
      </c>
      <c r="K63">
        <v>-1.4722744000000001</v>
      </c>
      <c r="L63">
        <v>-19.003426000000001</v>
      </c>
      <c r="M63">
        <v>5.9185655999999973</v>
      </c>
      <c r="N63">
        <v>-13.437664</v>
      </c>
      <c r="O63">
        <v>-30.088083999999998</v>
      </c>
      <c r="P63">
        <v>34.746146000000003</v>
      </c>
      <c r="Q63">
        <v>-14.479392000000001</v>
      </c>
      <c r="R63">
        <v>12.688566</v>
      </c>
      <c r="S63">
        <v>23.459817999999999</v>
      </c>
      <c r="T63">
        <v>-7.8232147999999997</v>
      </c>
      <c r="U63">
        <v>-150.19432499999999</v>
      </c>
      <c r="V63">
        <v>83.478875000000073</v>
      </c>
      <c r="W63">
        <v>216.90260000000001</v>
      </c>
      <c r="X63">
        <v>-44.01245000000003</v>
      </c>
      <c r="Y63">
        <v>-76.520850000000024</v>
      </c>
      <c r="Z63">
        <v>110.28925</v>
      </c>
      <c r="AA63">
        <v>-845.23472500000003</v>
      </c>
      <c r="AB63">
        <v>-355.96225000000021</v>
      </c>
      <c r="AC63">
        <v>-246.72450000000001</v>
      </c>
      <c r="AD63">
        <v>-506.61774999999938</v>
      </c>
      <c r="AE63">
        <v>259.20850000000019</v>
      </c>
      <c r="AF63">
        <v>-490.17650000000009</v>
      </c>
      <c r="AG63">
        <v>-641.71850000000018</v>
      </c>
      <c r="AH63">
        <v>209.4213749999999</v>
      </c>
      <c r="AI63">
        <v>-9.6540080000000278E-2</v>
      </c>
      <c r="AJ63">
        <v>-5.1851217999999992</v>
      </c>
      <c r="AK63">
        <v>0.9291702799999999</v>
      </c>
      <c r="AL63">
        <v>-0.83452140000000274</v>
      </c>
      <c r="AM63">
        <v>3.2412884000000002</v>
      </c>
      <c r="AN63">
        <v>-1.7955167999999999</v>
      </c>
      <c r="AO63">
        <v>0.11619582000000001</v>
      </c>
      <c r="AP63">
        <v>25.858765999999999</v>
      </c>
      <c r="AQ63">
        <v>3.122725599999999</v>
      </c>
      <c r="AR63">
        <v>2.5490018000000041E-2</v>
      </c>
      <c r="AS63">
        <v>-0.10625292</v>
      </c>
      <c r="AT63">
        <v>36.37499600000001</v>
      </c>
    </row>
    <row r="64" spans="1:46" x14ac:dyDescent="0.25">
      <c r="A64">
        <v>62</v>
      </c>
      <c r="B64">
        <v>9.6159500000000122</v>
      </c>
      <c r="C64">
        <v>0.54030707692307689</v>
      </c>
      <c r="D64">
        <v>0.71719204399263692</v>
      </c>
      <c r="E64">
        <v>5.8196736973552043E-2</v>
      </c>
      <c r="F64">
        <v>2.829995276584182</v>
      </c>
      <c r="G64">
        <v>8.6107695999999994</v>
      </c>
      <c r="H64">
        <v>-6.7046599999999987</v>
      </c>
      <c r="I64">
        <v>-5.0223203999999981</v>
      </c>
      <c r="J64">
        <v>9.9939548000000009</v>
      </c>
      <c r="K64">
        <v>-1.5553124000000009</v>
      </c>
      <c r="L64">
        <v>-18.881879999999999</v>
      </c>
      <c r="M64">
        <v>5.0417235999999956</v>
      </c>
      <c r="N64">
        <v>-13.807164</v>
      </c>
      <c r="O64">
        <v>-30.338135999999999</v>
      </c>
      <c r="P64">
        <v>34.214556000000002</v>
      </c>
      <c r="Q64">
        <v>-14.197660000000001</v>
      </c>
      <c r="R64">
        <v>12.170795999999999</v>
      </c>
      <c r="S64">
        <v>22.763767999999999</v>
      </c>
      <c r="T64">
        <v>-7.6071068000000004</v>
      </c>
      <c r="U64">
        <v>-155.34305000000001</v>
      </c>
      <c r="V64">
        <v>83.111350000000058</v>
      </c>
      <c r="W64">
        <v>227.35345000000001</v>
      </c>
      <c r="X64">
        <v>-28.12105</v>
      </c>
      <c r="Y64">
        <v>-85.52675000000005</v>
      </c>
      <c r="Z64">
        <v>126.578</v>
      </c>
      <c r="AA64">
        <v>-837.83095000000003</v>
      </c>
      <c r="AB64">
        <v>-351.59550000000007</v>
      </c>
      <c r="AC64">
        <v>-229.21299999999991</v>
      </c>
      <c r="AD64">
        <v>-518.10649999999953</v>
      </c>
      <c r="AE64">
        <v>287.9970000000003</v>
      </c>
      <c r="AF64">
        <v>-506.06325000000021</v>
      </c>
      <c r="AG64">
        <v>-732.4450000000005</v>
      </c>
      <c r="AH64">
        <v>198.08369999999991</v>
      </c>
      <c r="AI64">
        <v>-0.16256564000000029</v>
      </c>
      <c r="AJ64">
        <v>-5.1774147999999993</v>
      </c>
      <c r="AK64">
        <v>0.89882023999999971</v>
      </c>
      <c r="AL64">
        <v>-1.400188400000002</v>
      </c>
      <c r="AM64">
        <v>3.115629999999999</v>
      </c>
      <c r="AN64">
        <v>-1.7750387999999999</v>
      </c>
      <c r="AO64">
        <v>0.1166904</v>
      </c>
      <c r="AP64">
        <v>25.094855999999989</v>
      </c>
      <c r="AQ64">
        <v>3.0349331999999989</v>
      </c>
      <c r="AR64">
        <v>3.7518312000000067E-2</v>
      </c>
      <c r="AS64">
        <v>-9.105926799999986E-2</v>
      </c>
      <c r="AT64">
        <v>37.732540000000007</v>
      </c>
    </row>
    <row r="65" spans="1:46" x14ac:dyDescent="0.25">
      <c r="A65">
        <v>63</v>
      </c>
      <c r="B65">
        <v>9.6234250000000117</v>
      </c>
      <c r="C65">
        <v>0.54043193406593404</v>
      </c>
      <c r="D65">
        <v>0.73207896651203375</v>
      </c>
      <c r="E65">
        <v>5.6210922056504527E-2</v>
      </c>
      <c r="F65">
        <v>2.752107214701101</v>
      </c>
      <c r="G65">
        <v>8.4411404000000001</v>
      </c>
      <c r="H65">
        <v>-6.6188599999999997</v>
      </c>
      <c r="I65">
        <v>-4.7696445999999986</v>
      </c>
      <c r="J65">
        <v>9.9888952</v>
      </c>
      <c r="K65">
        <v>-1.6584726000000001</v>
      </c>
      <c r="L65">
        <v>-18.724969999999999</v>
      </c>
      <c r="M65">
        <v>4.1811313999999999</v>
      </c>
      <c r="N65">
        <v>-14.167185999999999</v>
      </c>
      <c r="O65">
        <v>-30.549464</v>
      </c>
      <c r="P65">
        <v>33.658493999999997</v>
      </c>
      <c r="Q65">
        <v>-13.851990000000001</v>
      </c>
      <c r="R65">
        <v>11.619804</v>
      </c>
      <c r="S65">
        <v>21.871032</v>
      </c>
      <c r="T65">
        <v>-7.4159132000000003</v>
      </c>
      <c r="U65">
        <v>-160.3519499999999</v>
      </c>
      <c r="V65">
        <v>82.813650000000024</v>
      </c>
      <c r="W65">
        <v>237.60655</v>
      </c>
      <c r="X65">
        <v>-11.00395000000006</v>
      </c>
      <c r="Y65">
        <v>-94.844500000000011</v>
      </c>
      <c r="Z65">
        <v>142.34699999999989</v>
      </c>
      <c r="AA65">
        <v>-828.7953</v>
      </c>
      <c r="AB65">
        <v>-345.00450000000018</v>
      </c>
      <c r="AC65">
        <v>-210.66199999999989</v>
      </c>
      <c r="AD65">
        <v>-529.54974999999979</v>
      </c>
      <c r="AE65">
        <v>315.5342500000001</v>
      </c>
      <c r="AF65">
        <v>-518.90237500000012</v>
      </c>
      <c r="AG65">
        <v>-840.03624999999988</v>
      </c>
      <c r="AH65">
        <v>180.74754999999999</v>
      </c>
      <c r="AI65">
        <v>-0.21537086000000011</v>
      </c>
      <c r="AJ65">
        <v>-5.109110199999999</v>
      </c>
      <c r="AK65">
        <v>0.85684375999999995</v>
      </c>
      <c r="AL65">
        <v>-1.7952766000000011</v>
      </c>
      <c r="AM65">
        <v>2.96184</v>
      </c>
      <c r="AN65">
        <v>-1.7252462</v>
      </c>
      <c r="AO65">
        <v>0.1161886</v>
      </c>
      <c r="AP65">
        <v>23.954443999999999</v>
      </c>
      <c r="AQ65">
        <v>2.9378517999999998</v>
      </c>
      <c r="AR65">
        <v>5.0722438000000009E-2</v>
      </c>
      <c r="AS65">
        <v>-6.8704181999999975E-2</v>
      </c>
      <c r="AT65">
        <v>38.604059999999997</v>
      </c>
    </row>
    <row r="66" spans="1:46" x14ac:dyDescent="0.25">
      <c r="A66">
        <v>64</v>
      </c>
      <c r="B66">
        <v>9.6309000000000111</v>
      </c>
      <c r="C66">
        <v>0.54055679120879119</v>
      </c>
      <c r="D66">
        <v>0.74555463380820741</v>
      </c>
      <c r="E66">
        <v>5.116514440886881E-2</v>
      </c>
      <c r="F66">
        <v>2.6672970264379532</v>
      </c>
      <c r="G66">
        <v>8.2715111999999991</v>
      </c>
      <c r="H66">
        <v>-6.533059999999999</v>
      </c>
      <c r="I66">
        <v>-4.516968799999999</v>
      </c>
      <c r="J66">
        <v>9.983835599999999</v>
      </c>
      <c r="K66">
        <v>-1.761632800000001</v>
      </c>
      <c r="L66">
        <v>-18.568059999999999</v>
      </c>
      <c r="M66">
        <v>3.320539199999998</v>
      </c>
      <c r="N66">
        <v>-14.527208</v>
      </c>
      <c r="O66">
        <v>-30.760791999999999</v>
      </c>
      <c r="P66">
        <v>33.102432</v>
      </c>
      <c r="Q66">
        <v>-13.506320000000001</v>
      </c>
      <c r="R66">
        <v>11.068811999999999</v>
      </c>
      <c r="S66">
        <v>20.978296</v>
      </c>
      <c r="T66">
        <v>-7.2247195999999994</v>
      </c>
      <c r="U66">
        <v>-165.36084999999991</v>
      </c>
      <c r="V66">
        <v>82.515949999999975</v>
      </c>
      <c r="W66">
        <v>247.85964999999999</v>
      </c>
      <c r="X66">
        <v>6.1131500000000054</v>
      </c>
      <c r="Y66">
        <v>-104.16225</v>
      </c>
      <c r="Z66">
        <v>158.1159999999999</v>
      </c>
      <c r="AA66">
        <v>-819.75965000000008</v>
      </c>
      <c r="AB66">
        <v>-338.41350000000023</v>
      </c>
      <c r="AC66">
        <v>-192.11099999999979</v>
      </c>
      <c r="AD66">
        <v>-540.99300000000005</v>
      </c>
      <c r="AE66">
        <v>343.07150000000013</v>
      </c>
      <c r="AF66">
        <v>-531.74150000000009</v>
      </c>
      <c r="AG66">
        <v>-947.62750000000005</v>
      </c>
      <c r="AH66">
        <v>163.41139999999999</v>
      </c>
      <c r="AI66">
        <v>-0.26817608000000009</v>
      </c>
      <c r="AJ66">
        <v>-5.0408055999999997</v>
      </c>
      <c r="AK66">
        <v>0.81486727999999986</v>
      </c>
      <c r="AL66">
        <v>-2.190364800000002</v>
      </c>
      <c r="AM66">
        <v>2.8080500000000002</v>
      </c>
      <c r="AN66">
        <v>-1.6754536</v>
      </c>
      <c r="AO66">
        <v>0.11568680000000001</v>
      </c>
      <c r="AP66">
        <v>22.814032000000001</v>
      </c>
      <c r="AQ66">
        <v>2.8407703999999989</v>
      </c>
      <c r="AR66">
        <v>6.3926564000000047E-2</v>
      </c>
      <c r="AS66">
        <v>-4.634909599999993E-2</v>
      </c>
      <c r="AT66">
        <v>39.475580000000001</v>
      </c>
    </row>
    <row r="67" spans="1:46" x14ac:dyDescent="0.25">
      <c r="A67">
        <v>65</v>
      </c>
      <c r="B67">
        <v>9.6383750000000123</v>
      </c>
      <c r="C67">
        <v>0.54068164835164834</v>
      </c>
      <c r="D67">
        <v>0.76738677821628376</v>
      </c>
      <c r="E67">
        <v>4.7695172951227431E-2</v>
      </c>
      <c r="F67">
        <v>2.5838412682949712</v>
      </c>
      <c r="G67">
        <v>8.1018819999999998</v>
      </c>
      <c r="H67">
        <v>-6.44726</v>
      </c>
      <c r="I67">
        <v>-4.2642930000000003</v>
      </c>
      <c r="J67">
        <v>9.9787759999999999</v>
      </c>
      <c r="K67">
        <v>-1.8647929999999999</v>
      </c>
      <c r="L67">
        <v>-18.411149999999999</v>
      </c>
      <c r="M67">
        <v>2.459947000000001</v>
      </c>
      <c r="N67">
        <v>-14.887230000000001</v>
      </c>
      <c r="O67">
        <v>-30.97212</v>
      </c>
      <c r="P67">
        <v>32.546370000000003</v>
      </c>
      <c r="Q67">
        <v>-13.16065</v>
      </c>
      <c r="R67">
        <v>10.51782</v>
      </c>
      <c r="S67">
        <v>20.085560000000001</v>
      </c>
      <c r="T67">
        <v>-7.0335260000000002</v>
      </c>
      <c r="U67">
        <v>-170.3697499999999</v>
      </c>
      <c r="V67">
        <v>82.218249999999941</v>
      </c>
      <c r="W67">
        <v>258.11274999999989</v>
      </c>
      <c r="X67">
        <v>23.230249999999948</v>
      </c>
      <c r="Y67">
        <v>-113.48</v>
      </c>
      <c r="Z67">
        <v>173.88499999999979</v>
      </c>
      <c r="AA67">
        <v>-810.72400000000005</v>
      </c>
      <c r="AB67">
        <v>-331.82250000000022</v>
      </c>
      <c r="AC67">
        <v>-173.55999999999989</v>
      </c>
      <c r="AD67">
        <v>-552.4362500000002</v>
      </c>
      <c r="AE67">
        <v>370.60874999999999</v>
      </c>
      <c r="AF67">
        <v>-544.58062500000005</v>
      </c>
      <c r="AG67">
        <v>-1055.21875</v>
      </c>
      <c r="AH67">
        <v>146.07525000000001</v>
      </c>
      <c r="AI67">
        <v>-0.32098129999999991</v>
      </c>
      <c r="AJ67">
        <v>-4.9725010000000003</v>
      </c>
      <c r="AK67">
        <v>0.7728908000000001</v>
      </c>
      <c r="AL67">
        <v>-2.5854529999999989</v>
      </c>
      <c r="AM67">
        <v>2.6542599999999998</v>
      </c>
      <c r="AN67">
        <v>-1.625661</v>
      </c>
      <c r="AO67">
        <v>0.115185</v>
      </c>
      <c r="AP67">
        <v>21.67362</v>
      </c>
      <c r="AQ67">
        <v>2.7436889999999998</v>
      </c>
      <c r="AR67">
        <v>7.7130689999999974E-2</v>
      </c>
      <c r="AS67">
        <v>-2.3994010000000041E-2</v>
      </c>
      <c r="AT67">
        <v>40.347099999999998</v>
      </c>
    </row>
    <row r="68" spans="1:46" x14ac:dyDescent="0.25">
      <c r="A68">
        <v>66</v>
      </c>
      <c r="B68">
        <v>9.6456500000000087</v>
      </c>
      <c r="C68">
        <v>0.540828043956044</v>
      </c>
      <c r="D68">
        <v>0.80629036845090873</v>
      </c>
      <c r="E68">
        <v>4.0074074961856637E-2</v>
      </c>
      <c r="F68">
        <v>2.4805998177919202</v>
      </c>
      <c r="G68">
        <v>7.9204879999999989</v>
      </c>
      <c r="H68">
        <v>-6.3619671999999987</v>
      </c>
      <c r="I68">
        <v>-3.9871707999999981</v>
      </c>
      <c r="J68">
        <v>10.018105200000001</v>
      </c>
      <c r="K68">
        <v>-1.9908284000000009</v>
      </c>
      <c r="L68">
        <v>-18.217023999999999</v>
      </c>
      <c r="M68">
        <v>1.6252667999999939</v>
      </c>
      <c r="N68">
        <v>-15.225636</v>
      </c>
      <c r="O68">
        <v>-31.136375999999998</v>
      </c>
      <c r="P68">
        <v>31.961939999999998</v>
      </c>
      <c r="Q68">
        <v>-12.752484000000001</v>
      </c>
      <c r="R68">
        <v>9.9415879999999941</v>
      </c>
      <c r="S68">
        <v>18.887927999999992</v>
      </c>
      <c r="T68">
        <v>-6.8992060000000004</v>
      </c>
      <c r="U68">
        <v>-174.97225</v>
      </c>
      <c r="V68">
        <v>82.052949999999925</v>
      </c>
      <c r="W68">
        <v>267.81205000000011</v>
      </c>
      <c r="X68">
        <v>41.142950000000141</v>
      </c>
      <c r="Y68">
        <v>-122.3835500000001</v>
      </c>
      <c r="Z68">
        <v>188.66799999999989</v>
      </c>
      <c r="AA68">
        <v>-799.73534999999993</v>
      </c>
      <c r="AB68">
        <v>-322.51550000000009</v>
      </c>
      <c r="AC68">
        <v>-154.71299999999971</v>
      </c>
      <c r="AD68">
        <v>-563.79150000000038</v>
      </c>
      <c r="AE68">
        <v>394.17880000000008</v>
      </c>
      <c r="AF68">
        <v>-554.57495000000017</v>
      </c>
      <c r="AG68">
        <v>-1178.9120000000009</v>
      </c>
      <c r="AH68">
        <v>122.5046999999998</v>
      </c>
      <c r="AI68">
        <v>-0.36180812000000029</v>
      </c>
      <c r="AJ68">
        <v>-4.852332399999999</v>
      </c>
      <c r="AK68">
        <v>0.72289143999999961</v>
      </c>
      <c r="AL68">
        <v>-2.8413396000000009</v>
      </c>
      <c r="AM68">
        <v>2.4764123999999978</v>
      </c>
      <c r="AN68">
        <v>-1.5488171999999989</v>
      </c>
      <c r="AO68">
        <v>0.111765104</v>
      </c>
      <c r="AP68">
        <v>20.237383999999992</v>
      </c>
      <c r="AQ68">
        <v>2.6338795999999989</v>
      </c>
      <c r="AR68">
        <v>8.9379728000000089E-2</v>
      </c>
      <c r="AS68">
        <v>3.689364000000249E-3</v>
      </c>
      <c r="AT68">
        <v>40.483531999999997</v>
      </c>
    </row>
    <row r="69" spans="1:46" x14ac:dyDescent="0.25">
      <c r="A69">
        <v>67</v>
      </c>
      <c r="B69">
        <v>9.6528000000000027</v>
      </c>
      <c r="C69">
        <v>0.54098790109890116</v>
      </c>
      <c r="D69">
        <v>0.8164614274059655</v>
      </c>
      <c r="E69">
        <v>3.5474662795144267E-2</v>
      </c>
      <c r="F69">
        <v>2.3816885206315921</v>
      </c>
      <c r="G69">
        <v>7.7317410000000004</v>
      </c>
      <c r="H69">
        <v>-6.2769914</v>
      </c>
      <c r="I69">
        <v>-3.694769599999999</v>
      </c>
      <c r="J69">
        <v>10.085177399999999</v>
      </c>
      <c r="K69">
        <v>-2.1311608</v>
      </c>
      <c r="L69">
        <v>-17.999638000000001</v>
      </c>
      <c r="M69">
        <v>0.80678159999999766</v>
      </c>
      <c r="N69">
        <v>-15.550532</v>
      </c>
      <c r="O69">
        <v>-31.271211999999998</v>
      </c>
      <c r="P69">
        <v>31.359780000000001</v>
      </c>
      <c r="Q69">
        <v>-12.305258</v>
      </c>
      <c r="R69">
        <v>9.349580999999997</v>
      </c>
      <c r="S69">
        <v>17.499735999999999</v>
      </c>
      <c r="T69">
        <v>-6.8004319999999998</v>
      </c>
      <c r="U69">
        <v>-179.32075</v>
      </c>
      <c r="V69">
        <v>81.970399999999927</v>
      </c>
      <c r="W69">
        <v>277.16522500000002</v>
      </c>
      <c r="X69">
        <v>59.552900000000093</v>
      </c>
      <c r="Y69">
        <v>-131.02822499999999</v>
      </c>
      <c r="Z69">
        <v>202.8347499999999</v>
      </c>
      <c r="AA69">
        <v>-787.52607499999999</v>
      </c>
      <c r="AB69">
        <v>-311.51100000000008</v>
      </c>
      <c r="AC69">
        <v>-135.68099999999981</v>
      </c>
      <c r="AD69">
        <v>-575.09175000000039</v>
      </c>
      <c r="AE69">
        <v>415.26934999999997</v>
      </c>
      <c r="AF69">
        <v>-562.79127500000004</v>
      </c>
      <c r="AG69">
        <v>-1312.6690000000001</v>
      </c>
      <c r="AH69">
        <v>95.037649999999957</v>
      </c>
      <c r="AI69">
        <v>-0.3951484400000001</v>
      </c>
      <c r="AJ69">
        <v>-4.6997487999999992</v>
      </c>
      <c r="AK69">
        <v>0.66787777999999975</v>
      </c>
      <c r="AL69">
        <v>-3.0102252000000012</v>
      </c>
      <c r="AM69">
        <v>2.2835288</v>
      </c>
      <c r="AN69">
        <v>-1.4550664</v>
      </c>
      <c r="AO69">
        <v>0.106521398</v>
      </c>
      <c r="AP69">
        <v>18.616257999999991</v>
      </c>
      <c r="AQ69">
        <v>2.5161151999999989</v>
      </c>
      <c r="AR69">
        <v>0.101031836</v>
      </c>
      <c r="AS69">
        <v>3.4702918000000103E-2</v>
      </c>
      <c r="AT69">
        <v>40.160533999999998</v>
      </c>
    </row>
    <row r="70" spans="1:46" x14ac:dyDescent="0.25">
      <c r="A70">
        <v>68</v>
      </c>
      <c r="B70">
        <v>9.6599499999999967</v>
      </c>
      <c r="C70">
        <v>0.54114775824175831</v>
      </c>
      <c r="D70">
        <v>0.82069107431617161</v>
      </c>
      <c r="E70">
        <v>3.1781969419512897E-2</v>
      </c>
      <c r="F70">
        <v>2.2801815421001299</v>
      </c>
      <c r="G70">
        <v>7.5429940000000002</v>
      </c>
      <c r="H70">
        <v>-6.1920156000000004</v>
      </c>
      <c r="I70">
        <v>-3.4023683999999998</v>
      </c>
      <c r="J70">
        <v>10.152249599999999</v>
      </c>
      <c r="K70">
        <v>-2.2714932000000001</v>
      </c>
      <c r="L70">
        <v>-17.782252</v>
      </c>
      <c r="M70">
        <v>-1.1703599999998371E-2</v>
      </c>
      <c r="N70">
        <v>-15.875427999999999</v>
      </c>
      <c r="O70">
        <v>-31.406047999999998</v>
      </c>
      <c r="P70">
        <v>30.757619999999999</v>
      </c>
      <c r="Q70">
        <v>-11.858032</v>
      </c>
      <c r="R70">
        <v>8.7575740000000017</v>
      </c>
      <c r="S70">
        <v>16.111543999999999</v>
      </c>
      <c r="T70">
        <v>-6.7016580000000001</v>
      </c>
      <c r="U70">
        <v>-183.66925000000001</v>
      </c>
      <c r="V70">
        <v>81.887849999999943</v>
      </c>
      <c r="W70">
        <v>286.51839999999999</v>
      </c>
      <c r="X70">
        <v>77.962850000000032</v>
      </c>
      <c r="Y70">
        <v>-139.6729</v>
      </c>
      <c r="Z70">
        <v>217.00149999999979</v>
      </c>
      <c r="AA70">
        <v>-775.31680000000006</v>
      </c>
      <c r="AB70">
        <v>-300.50650000000007</v>
      </c>
      <c r="AC70">
        <v>-116.6489999999999</v>
      </c>
      <c r="AD70">
        <v>-586.39200000000028</v>
      </c>
      <c r="AE70">
        <v>436.35989999999993</v>
      </c>
      <c r="AF70">
        <v>-571.00760000000002</v>
      </c>
      <c r="AG70">
        <v>-1446.4259999999999</v>
      </c>
      <c r="AH70">
        <v>67.570600000000084</v>
      </c>
      <c r="AI70">
        <v>-0.42848876000000002</v>
      </c>
      <c r="AJ70">
        <v>-4.5471652000000002</v>
      </c>
      <c r="AK70">
        <v>0.61286412000000001</v>
      </c>
      <c r="AL70">
        <v>-3.1791108000000001</v>
      </c>
      <c r="AM70">
        <v>2.0906452</v>
      </c>
      <c r="AN70">
        <v>-1.3613156</v>
      </c>
      <c r="AO70">
        <v>0.101277692</v>
      </c>
      <c r="AP70">
        <v>16.995132000000002</v>
      </c>
      <c r="AQ70">
        <v>2.3983507999999998</v>
      </c>
      <c r="AR70">
        <v>0.11268394399999999</v>
      </c>
      <c r="AS70">
        <v>6.5716471999999942E-2</v>
      </c>
      <c r="AT70">
        <v>39.837536</v>
      </c>
    </row>
    <row r="71" spans="1:46" x14ac:dyDescent="0.25">
      <c r="A71">
        <v>69</v>
      </c>
      <c r="B71">
        <v>9.6670999999999907</v>
      </c>
      <c r="C71">
        <v>0.54130761538461536</v>
      </c>
      <c r="D71">
        <v>0.81900139675428385</v>
      </c>
      <c r="E71">
        <v>2.9896425266524571E-2</v>
      </c>
      <c r="F71">
        <v>2.1749254526151249</v>
      </c>
      <c r="G71">
        <v>7.3542469999999991</v>
      </c>
      <c r="H71">
        <v>-6.1070397999999999</v>
      </c>
      <c r="I71">
        <v>-3.109967199999998</v>
      </c>
      <c r="J71">
        <v>10.219321799999999</v>
      </c>
      <c r="K71">
        <v>-2.4118256000000011</v>
      </c>
      <c r="L71">
        <v>-17.564865999999999</v>
      </c>
      <c r="M71">
        <v>-0.83018880000000594</v>
      </c>
      <c r="N71">
        <v>-16.200324000000009</v>
      </c>
      <c r="O71">
        <v>-31.540883999999998</v>
      </c>
      <c r="P71">
        <v>30.155460000000001</v>
      </c>
      <c r="Q71">
        <v>-11.410805999999999</v>
      </c>
      <c r="R71">
        <v>8.1655669999999958</v>
      </c>
      <c r="S71">
        <v>14.72335199999999</v>
      </c>
      <c r="T71">
        <v>-6.6028840000000004</v>
      </c>
      <c r="U71">
        <v>-188.01775000000009</v>
      </c>
      <c r="V71">
        <v>81.805299999999946</v>
      </c>
      <c r="W71">
        <v>295.87157500000012</v>
      </c>
      <c r="X71">
        <v>96.37280000000024</v>
      </c>
      <c r="Y71">
        <v>-148.31757500000001</v>
      </c>
      <c r="Z71">
        <v>231.16825</v>
      </c>
      <c r="AA71">
        <v>-763.1075249999999</v>
      </c>
      <c r="AB71">
        <v>-289.5019999999999</v>
      </c>
      <c r="AC71">
        <v>-97.616999999999734</v>
      </c>
      <c r="AD71">
        <v>-597.6922500000004</v>
      </c>
      <c r="AE71">
        <v>457.4504500000001</v>
      </c>
      <c r="AF71">
        <v>-579.22392500000012</v>
      </c>
      <c r="AG71">
        <v>-1580.1830000000009</v>
      </c>
      <c r="AH71">
        <v>40.103549999999828</v>
      </c>
      <c r="AI71">
        <v>-0.46182908000000028</v>
      </c>
      <c r="AJ71">
        <v>-4.3945815999999986</v>
      </c>
      <c r="AK71">
        <v>0.55785045999999949</v>
      </c>
      <c r="AL71">
        <v>-3.3479964000000009</v>
      </c>
      <c r="AM71">
        <v>1.897761599999999</v>
      </c>
      <c r="AN71">
        <v>-1.267564799999999</v>
      </c>
      <c r="AO71">
        <v>9.6033985999999946E-2</v>
      </c>
      <c r="AP71">
        <v>15.374005999999991</v>
      </c>
      <c r="AQ71">
        <v>2.2805863999999989</v>
      </c>
      <c r="AR71">
        <v>0.1243360520000001</v>
      </c>
      <c r="AS71">
        <v>9.6730026000000233E-2</v>
      </c>
      <c r="AT71">
        <v>39.514537999999988</v>
      </c>
    </row>
    <row r="72" spans="1:46" x14ac:dyDescent="0.25">
      <c r="A72">
        <v>70</v>
      </c>
      <c r="B72">
        <v>9.6742499999999829</v>
      </c>
      <c r="C72">
        <v>0.54149000000000003</v>
      </c>
      <c r="D72">
        <v>0.8170304833349431</v>
      </c>
      <c r="E72">
        <v>2.690753651636197E-2</v>
      </c>
      <c r="F72">
        <v>2.068893645544525</v>
      </c>
      <c r="G72">
        <v>7.1534459999999997</v>
      </c>
      <c r="H72">
        <v>-6.0219379999999996</v>
      </c>
      <c r="I72">
        <v>-2.7905659999999992</v>
      </c>
      <c r="J72">
        <v>10.344200000000001</v>
      </c>
      <c r="K72">
        <v>-2.576762</v>
      </c>
      <c r="L72">
        <v>-17.306819999999998</v>
      </c>
      <c r="M72">
        <v>-1.6059300000000021</v>
      </c>
      <c r="N72">
        <v>-16.48452</v>
      </c>
      <c r="O72">
        <v>-31.617439999999998</v>
      </c>
      <c r="P72">
        <v>29.519220000000001</v>
      </c>
      <c r="Q72">
        <v>-10.911911999999999</v>
      </c>
      <c r="R72">
        <v>7.5545479999999978</v>
      </c>
      <c r="S72">
        <v>12.893159999999989</v>
      </c>
      <c r="T72">
        <v>-6.6020460000000014</v>
      </c>
      <c r="U72">
        <v>-191.54024999999999</v>
      </c>
      <c r="V72">
        <v>81.916499999999971</v>
      </c>
      <c r="W72">
        <v>304.16417500000011</v>
      </c>
      <c r="X72">
        <v>114.8720000000001</v>
      </c>
      <c r="Y72">
        <v>-155.56100000000001</v>
      </c>
      <c r="Z72">
        <v>243.69249999999991</v>
      </c>
      <c r="AA72">
        <v>-748.05549999999994</v>
      </c>
      <c r="AB72">
        <v>-275.34249999999992</v>
      </c>
      <c r="AC72">
        <v>-79.239999999999924</v>
      </c>
      <c r="AD72">
        <v>-607.77750000000026</v>
      </c>
      <c r="AE72">
        <v>470.47624999999999</v>
      </c>
      <c r="AF72">
        <v>-584.27674999999999</v>
      </c>
      <c r="AG72">
        <v>-1714.5482500000001</v>
      </c>
      <c r="AH72">
        <v>9.0102499999999495</v>
      </c>
      <c r="AI72">
        <v>-0.4651402</v>
      </c>
      <c r="AJ72">
        <v>-4.2147379999999997</v>
      </c>
      <c r="AK72">
        <v>0.50196559999999979</v>
      </c>
      <c r="AL72">
        <v>-3.2849740000000001</v>
      </c>
      <c r="AM72">
        <v>1.676041399999999</v>
      </c>
      <c r="AN72">
        <v>-1.1604680000000001</v>
      </c>
      <c r="AO72">
        <v>8.3942059999999957E-2</v>
      </c>
      <c r="AP72">
        <v>13.507704</v>
      </c>
      <c r="AQ72">
        <v>2.1477399999999989</v>
      </c>
      <c r="AR72">
        <v>0.13180919999999999</v>
      </c>
      <c r="AS72">
        <v>0.1224390000000001</v>
      </c>
      <c r="AT72">
        <v>38.223280000000003</v>
      </c>
    </row>
    <row r="73" spans="1:46" x14ac:dyDescent="0.25">
      <c r="A73">
        <v>71</v>
      </c>
      <c r="B73">
        <v>9.6813999999999769</v>
      </c>
      <c r="C73">
        <v>0.54167914285714291</v>
      </c>
      <c r="D73">
        <v>0.81099468063527447</v>
      </c>
      <c r="E73">
        <v>2.2835889715005549E-2</v>
      </c>
      <c r="F73">
        <v>1.9539991418945419</v>
      </c>
      <c r="G73">
        <v>6.9490287999999971</v>
      </c>
      <c r="H73">
        <v>-5.9367983999999989</v>
      </c>
      <c r="I73">
        <v>-2.4630647999999962</v>
      </c>
      <c r="J73">
        <v>10.486420000000001</v>
      </c>
      <c r="K73">
        <v>-2.7490796000000022</v>
      </c>
      <c r="L73">
        <v>-17.036576</v>
      </c>
      <c r="M73">
        <v>-2.3688480000000101</v>
      </c>
      <c r="N73">
        <v>-16.756506000000009</v>
      </c>
      <c r="O73">
        <v>-31.676511999999999</v>
      </c>
      <c r="P73">
        <v>28.872755999999988</v>
      </c>
      <c r="Q73">
        <v>-10.39751759999999</v>
      </c>
      <c r="R73">
        <v>6.9378253999999924</v>
      </c>
      <c r="S73">
        <v>10.93036799999998</v>
      </c>
      <c r="T73">
        <v>-6.6305888000000008</v>
      </c>
      <c r="U73">
        <v>-194.8149500000001</v>
      </c>
      <c r="V73">
        <v>82.085825</v>
      </c>
      <c r="W73">
        <v>312.1386025000001</v>
      </c>
      <c r="X73">
        <v>133.39797500000029</v>
      </c>
      <c r="Y73">
        <v>-162.38405000000009</v>
      </c>
      <c r="Z73">
        <v>255.7240000000001</v>
      </c>
      <c r="AA73">
        <v>-732.15064999999981</v>
      </c>
      <c r="AB73">
        <v>-260.23649999999981</v>
      </c>
      <c r="AC73">
        <v>-61.059499999999858</v>
      </c>
      <c r="AD73">
        <v>-617.49825000000044</v>
      </c>
      <c r="AE73">
        <v>481.08262500000012</v>
      </c>
      <c r="AF73">
        <v>-588.38052500000003</v>
      </c>
      <c r="AG73">
        <v>-1849.095975000002</v>
      </c>
      <c r="AH73">
        <v>-23.170925000000359</v>
      </c>
      <c r="AI73">
        <v>-0.45944255999999989</v>
      </c>
      <c r="AJ73">
        <v>-4.026716399999998</v>
      </c>
      <c r="AK73">
        <v>0.44581937999999932</v>
      </c>
      <c r="AL73">
        <v>-3.1523791999999982</v>
      </c>
      <c r="AM73">
        <v>1.4456702199999969</v>
      </c>
      <c r="AN73">
        <v>-1.0493673999999991</v>
      </c>
      <c r="AO73">
        <v>6.9795667999999825E-2</v>
      </c>
      <c r="AP73">
        <v>11.56784919999998</v>
      </c>
      <c r="AQ73">
        <v>2.0103689999999981</v>
      </c>
      <c r="AR73">
        <v>0.13802866000000011</v>
      </c>
      <c r="AS73">
        <v>0.14655660000000029</v>
      </c>
      <c r="AT73">
        <v>36.641543999999982</v>
      </c>
    </row>
    <row r="74" spans="1:46" x14ac:dyDescent="0.25">
      <c r="A74">
        <v>72</v>
      </c>
      <c r="B74">
        <v>9.6885499999999709</v>
      </c>
      <c r="C74">
        <v>0.54186828571428569</v>
      </c>
      <c r="D74">
        <v>0.79879661916853506</v>
      </c>
      <c r="E74">
        <v>1.8364933534462911E-2</v>
      </c>
      <c r="F74">
        <v>1.839201388484466</v>
      </c>
      <c r="G74">
        <v>6.7446115999999989</v>
      </c>
      <c r="H74">
        <v>-5.8516587999999992</v>
      </c>
      <c r="I74">
        <v>-2.135563599999998</v>
      </c>
      <c r="J74">
        <v>10.628640000000001</v>
      </c>
      <c r="K74">
        <v>-2.9213972000000008</v>
      </c>
      <c r="L74">
        <v>-16.766331999999998</v>
      </c>
      <c r="M74">
        <v>-3.131766000000006</v>
      </c>
      <c r="N74">
        <v>-17.028492</v>
      </c>
      <c r="O74">
        <v>-31.735583999999999</v>
      </c>
      <c r="P74">
        <v>28.226292000000001</v>
      </c>
      <c r="Q74">
        <v>-9.8831231999999964</v>
      </c>
      <c r="R74">
        <v>6.3211027999999949</v>
      </c>
      <c r="S74">
        <v>8.9675759999999851</v>
      </c>
      <c r="T74">
        <v>-6.6591316000000003</v>
      </c>
      <c r="U74">
        <v>-198.08965000000009</v>
      </c>
      <c r="V74">
        <v>82.255150000000029</v>
      </c>
      <c r="W74">
        <v>320.11302999999998</v>
      </c>
      <c r="X74">
        <v>151.92395000000019</v>
      </c>
      <c r="Y74">
        <v>-169.20710000000011</v>
      </c>
      <c r="Z74">
        <v>267.75550000000021</v>
      </c>
      <c r="AA74">
        <v>-716.2457999999998</v>
      </c>
      <c r="AB74">
        <v>-245.13049999999981</v>
      </c>
      <c r="AC74">
        <v>-42.879000000000062</v>
      </c>
      <c r="AD74">
        <v>-627.21900000000028</v>
      </c>
      <c r="AE74">
        <v>491.68900000000008</v>
      </c>
      <c r="AF74">
        <v>-592.48430000000008</v>
      </c>
      <c r="AG74">
        <v>-1983.643700000001</v>
      </c>
      <c r="AH74">
        <v>-55.352100000000213</v>
      </c>
      <c r="AI74">
        <v>-0.45374491999999989</v>
      </c>
      <c r="AJ74">
        <v>-3.838694799999999</v>
      </c>
      <c r="AK74">
        <v>0.38967315999999952</v>
      </c>
      <c r="AL74">
        <v>-3.0197843999999989</v>
      </c>
      <c r="AM74">
        <v>1.2152990399999981</v>
      </c>
      <c r="AN74">
        <v>-0.93826679999999918</v>
      </c>
      <c r="AO74">
        <v>5.5649275999999893E-2</v>
      </c>
      <c r="AP74">
        <v>9.6279943999999862</v>
      </c>
      <c r="AQ74">
        <v>1.8729979999999991</v>
      </c>
      <c r="AR74">
        <v>0.14424812000000001</v>
      </c>
      <c r="AS74">
        <v>0.17067420000000019</v>
      </c>
      <c r="AT74">
        <v>35.05980799999999</v>
      </c>
    </row>
    <row r="75" spans="1:46" x14ac:dyDescent="0.25">
      <c r="A75">
        <v>73</v>
      </c>
      <c r="B75">
        <v>9.6956999999999649</v>
      </c>
      <c r="C75">
        <v>0.54205742857142858</v>
      </c>
      <c r="D75">
        <v>0.80150538514148706</v>
      </c>
      <c r="E75">
        <v>2.0596093090934069E-2</v>
      </c>
      <c r="F75">
        <v>1.7480088300176071</v>
      </c>
      <c r="G75">
        <v>6.540194399999999</v>
      </c>
      <c r="H75">
        <v>-5.7665191999999994</v>
      </c>
      <c r="I75">
        <v>-1.808062399999999</v>
      </c>
      <c r="J75">
        <v>10.770860000000001</v>
      </c>
      <c r="K75">
        <v>-3.0937147999999999</v>
      </c>
      <c r="L75">
        <v>-16.496088</v>
      </c>
      <c r="M75">
        <v>-3.894684000000002</v>
      </c>
      <c r="N75">
        <v>-17.300477999999998</v>
      </c>
      <c r="O75">
        <v>-31.794656</v>
      </c>
      <c r="P75">
        <v>27.579827999999999</v>
      </c>
      <c r="Q75">
        <v>-9.3687287999999995</v>
      </c>
      <c r="R75">
        <v>5.7043801999999966</v>
      </c>
      <c r="S75">
        <v>7.0047839999999946</v>
      </c>
      <c r="T75">
        <v>-6.6876743999999997</v>
      </c>
      <c r="U75">
        <v>-201.36435000000009</v>
      </c>
      <c r="V75">
        <v>82.424475000000058</v>
      </c>
      <c r="W75">
        <v>328.08745750000003</v>
      </c>
      <c r="X75">
        <v>170.44992500000009</v>
      </c>
      <c r="Y75">
        <v>-176.03014999999999</v>
      </c>
      <c r="Z75">
        <v>279.78700000000009</v>
      </c>
      <c r="AA75">
        <v>-700.34094999999991</v>
      </c>
      <c r="AB75">
        <v>-230.0244999999999</v>
      </c>
      <c r="AC75">
        <v>-24.698500000000269</v>
      </c>
      <c r="AD75">
        <v>-636.93975000000023</v>
      </c>
      <c r="AE75">
        <v>502.29537500000009</v>
      </c>
      <c r="AF75">
        <v>-596.58807500000012</v>
      </c>
      <c r="AG75">
        <v>-2118.191425</v>
      </c>
      <c r="AH75">
        <v>-87.533275000000046</v>
      </c>
      <c r="AI75">
        <v>-0.44804727999999988</v>
      </c>
      <c r="AJ75">
        <v>-3.6506732</v>
      </c>
      <c r="AK75">
        <v>0.33352693999999983</v>
      </c>
      <c r="AL75">
        <v>-2.8871896000000001</v>
      </c>
      <c r="AM75">
        <v>0.98492785999999943</v>
      </c>
      <c r="AN75">
        <v>-0.82716619999999974</v>
      </c>
      <c r="AO75">
        <v>4.1502883999999969E-2</v>
      </c>
      <c r="AP75">
        <v>7.6881395999999951</v>
      </c>
      <c r="AQ75">
        <v>1.735627</v>
      </c>
      <c r="AR75">
        <v>0.15046757999999999</v>
      </c>
      <c r="AS75">
        <v>0.1947918000000001</v>
      </c>
      <c r="AT75">
        <v>33.478071999999997</v>
      </c>
    </row>
    <row r="76" spans="1:46" x14ac:dyDescent="0.25">
      <c r="A76">
        <v>74</v>
      </c>
      <c r="B76">
        <v>9.7022499999999781</v>
      </c>
      <c r="C76">
        <v>0.54226832967032967</v>
      </c>
      <c r="D76">
        <v>0.79132153482781464</v>
      </c>
      <c r="E76">
        <v>2.2410943233560011E-2</v>
      </c>
      <c r="F76">
        <v>1.637395021385659</v>
      </c>
      <c r="G76">
        <v>6.3260595999999971</v>
      </c>
      <c r="H76">
        <v>-5.6802803999999991</v>
      </c>
      <c r="I76">
        <v>-1.4540731199999961</v>
      </c>
      <c r="J76">
        <v>10.98052</v>
      </c>
      <c r="K76">
        <v>-3.286893200000002</v>
      </c>
      <c r="L76">
        <v>-16.185787999999999</v>
      </c>
      <c r="M76">
        <v>-4.5914436000000087</v>
      </c>
      <c r="N76">
        <v>-17.509751999999999</v>
      </c>
      <c r="O76">
        <v>-31.789408000000002</v>
      </c>
      <c r="P76">
        <v>26.902475999999989</v>
      </c>
      <c r="Q76">
        <v>-8.8380119999999938</v>
      </c>
      <c r="R76">
        <v>5.080167199999992</v>
      </c>
      <c r="S76">
        <v>4.5788087999999707</v>
      </c>
      <c r="T76">
        <v>-6.8363396000000023</v>
      </c>
      <c r="U76">
        <v>-203.28215</v>
      </c>
      <c r="V76">
        <v>82.815800000000053</v>
      </c>
      <c r="W76">
        <v>334.43276500000007</v>
      </c>
      <c r="X76">
        <v>187.81100000000021</v>
      </c>
      <c r="Y76">
        <v>-180.3806000000001</v>
      </c>
      <c r="Z76">
        <v>289.44550000000032</v>
      </c>
      <c r="AA76">
        <v>-680.48599999999976</v>
      </c>
      <c r="AB76">
        <v>-212.1374999999997</v>
      </c>
      <c r="AC76">
        <v>-8.5310000000001232</v>
      </c>
      <c r="AD76">
        <v>-642.34650000000033</v>
      </c>
      <c r="AE76">
        <v>500.56844999999998</v>
      </c>
      <c r="AF76">
        <v>-596.16908000000001</v>
      </c>
      <c r="AG76">
        <v>-2211.2863500000012</v>
      </c>
      <c r="AH76">
        <v>-115.7556500000003</v>
      </c>
      <c r="AI76">
        <v>-0.43722923999999991</v>
      </c>
      <c r="AJ76">
        <v>-3.5161787999999992</v>
      </c>
      <c r="AK76">
        <v>0.28978367999999949</v>
      </c>
      <c r="AL76">
        <v>-2.7375787999999979</v>
      </c>
      <c r="AM76">
        <v>0.75336404799999723</v>
      </c>
      <c r="AN76">
        <v>-0.74588007999999906</v>
      </c>
      <c r="AO76">
        <v>1.782107599999971E-2</v>
      </c>
      <c r="AP76">
        <v>5.8626577599999781</v>
      </c>
      <c r="AQ76">
        <v>1.5873743999999981</v>
      </c>
      <c r="AR76">
        <v>0.15009616000000001</v>
      </c>
      <c r="AS76">
        <v>0.19352147999999991</v>
      </c>
      <c r="AT76">
        <v>30.973391999999969</v>
      </c>
    </row>
    <row r="77" spans="1:46" x14ac:dyDescent="0.25">
      <c r="A77">
        <v>75</v>
      </c>
      <c r="B77">
        <v>9.7087499999999949</v>
      </c>
      <c r="C77">
        <v>0.54248104395604402</v>
      </c>
      <c r="D77">
        <v>0.76868705172544172</v>
      </c>
      <c r="E77">
        <v>1.8936768900944909E-2</v>
      </c>
      <c r="F77">
        <v>1.5058965288466339</v>
      </c>
      <c r="G77">
        <v>6.1111149999999981</v>
      </c>
      <c r="H77">
        <v>-5.5939500000000004</v>
      </c>
      <c r="I77">
        <v>-1.097876499999997</v>
      </c>
      <c r="J77">
        <v>11.1958</v>
      </c>
      <c r="K77">
        <v>-3.4818100000000021</v>
      </c>
      <c r="L77">
        <v>-15.87215</v>
      </c>
      <c r="M77">
        <v>-5.282690000000005</v>
      </c>
      <c r="N77">
        <v>-17.713799999999999</v>
      </c>
      <c r="O77">
        <v>-31.7788</v>
      </c>
      <c r="P77">
        <v>26.222549999999991</v>
      </c>
      <c r="Q77">
        <v>-8.3059349999999963</v>
      </c>
      <c r="R77">
        <v>4.4553299999999956</v>
      </c>
      <c r="S77">
        <v>2.1142349999999821</v>
      </c>
      <c r="T77">
        <v>-6.9950150000000013</v>
      </c>
      <c r="U77">
        <v>-205.08687499999999</v>
      </c>
      <c r="V77">
        <v>83.225625000000036</v>
      </c>
      <c r="W77">
        <v>340.6423125</v>
      </c>
      <c r="X77">
        <v>205.0750000000001</v>
      </c>
      <c r="Y77">
        <v>-184.52500000000009</v>
      </c>
      <c r="Z77">
        <v>298.90625000000023</v>
      </c>
      <c r="AA77">
        <v>-660.30187499999988</v>
      </c>
      <c r="AB77">
        <v>-194.01874999999981</v>
      </c>
      <c r="AC77">
        <v>7.4687499999998046</v>
      </c>
      <c r="AD77">
        <v>-647.3937500000003</v>
      </c>
      <c r="AE77">
        <v>497.81375000000003</v>
      </c>
      <c r="AF77">
        <v>-595.37318749999997</v>
      </c>
      <c r="AG77">
        <v>-2300.926875000001</v>
      </c>
      <c r="AH77">
        <v>-143.64812500000019</v>
      </c>
      <c r="AI77">
        <v>-0.42598449999999988</v>
      </c>
      <c r="AJ77">
        <v>-3.3861449999999991</v>
      </c>
      <c r="AK77">
        <v>0.24707399999999971</v>
      </c>
      <c r="AL77">
        <v>-2.586549999999999</v>
      </c>
      <c r="AM77">
        <v>0.52170084999999833</v>
      </c>
      <c r="AN77">
        <v>-0.66707849999999946</v>
      </c>
      <c r="AO77">
        <v>-6.6553500000001778E-3</v>
      </c>
      <c r="AP77">
        <v>4.0467069999999872</v>
      </c>
      <c r="AQ77">
        <v>1.4382149999999989</v>
      </c>
      <c r="AR77">
        <v>0.14917549999999999</v>
      </c>
      <c r="AS77">
        <v>0.19013550000000001</v>
      </c>
      <c r="AT77">
        <v>28.391799999999979</v>
      </c>
    </row>
    <row r="78" spans="1:46" x14ac:dyDescent="0.25">
      <c r="A78">
        <v>76</v>
      </c>
      <c r="B78">
        <v>9.7152500000000117</v>
      </c>
      <c r="C78">
        <v>0.54269375824175825</v>
      </c>
      <c r="D78">
        <v>0.74384233207461892</v>
      </c>
      <c r="E78">
        <v>1.5754359367228261E-2</v>
      </c>
      <c r="F78">
        <v>1.384931909532471</v>
      </c>
      <c r="G78">
        <v>5.896170399999999</v>
      </c>
      <c r="H78">
        <v>-5.5076195999999999</v>
      </c>
      <c r="I78">
        <v>-0.74167987999999907</v>
      </c>
      <c r="J78">
        <v>11.41108</v>
      </c>
      <c r="K78">
        <v>-3.6767268</v>
      </c>
      <c r="L78">
        <v>-15.558512</v>
      </c>
      <c r="M78">
        <v>-5.9739364000000013</v>
      </c>
      <c r="N78">
        <v>-17.917847999999999</v>
      </c>
      <c r="O78">
        <v>-31.768191999999999</v>
      </c>
      <c r="P78">
        <v>25.542624</v>
      </c>
      <c r="Q78">
        <v>-7.7738579999999988</v>
      </c>
      <c r="R78">
        <v>3.8304927999999978</v>
      </c>
      <c r="S78">
        <v>-0.35033880000000561</v>
      </c>
      <c r="T78">
        <v>-7.1536904000000003</v>
      </c>
      <c r="U78">
        <v>-206.89160000000001</v>
      </c>
      <c r="V78">
        <v>83.63545000000002</v>
      </c>
      <c r="W78">
        <v>346.85185999999999</v>
      </c>
      <c r="X78">
        <v>222.33900000000011</v>
      </c>
      <c r="Y78">
        <v>-188.6694</v>
      </c>
      <c r="Z78">
        <v>308.36700000000019</v>
      </c>
      <c r="AA78">
        <v>-640.11775</v>
      </c>
      <c r="AB78">
        <v>-175.89999999999981</v>
      </c>
      <c r="AC78">
        <v>23.468499999999729</v>
      </c>
      <c r="AD78">
        <v>-652.44100000000026</v>
      </c>
      <c r="AE78">
        <v>495.05905000000001</v>
      </c>
      <c r="AF78">
        <v>-594.57729500000005</v>
      </c>
      <c r="AG78">
        <v>-2390.5673999999999</v>
      </c>
      <c r="AH78">
        <v>-171.54060000000001</v>
      </c>
      <c r="AI78">
        <v>-0.41473976000000001</v>
      </c>
      <c r="AJ78">
        <v>-3.256111199999999</v>
      </c>
      <c r="AK78">
        <v>0.2043643199999999</v>
      </c>
      <c r="AL78">
        <v>-2.4355212000000002</v>
      </c>
      <c r="AM78">
        <v>0.29003765199999942</v>
      </c>
      <c r="AN78">
        <v>-0.58827691999999987</v>
      </c>
      <c r="AO78">
        <v>-3.1131776000000059E-2</v>
      </c>
      <c r="AP78">
        <v>2.2307562399999958</v>
      </c>
      <c r="AQ78">
        <v>1.2890556</v>
      </c>
      <c r="AR78">
        <v>0.14825484</v>
      </c>
      <c r="AS78">
        <v>0.18674952</v>
      </c>
      <c r="AT78">
        <v>25.810207999999999</v>
      </c>
    </row>
    <row r="79" spans="1:46" x14ac:dyDescent="0.25">
      <c r="A79">
        <v>77</v>
      </c>
      <c r="B79">
        <v>9.7217500000000268</v>
      </c>
      <c r="C79">
        <v>0.54290791208791211</v>
      </c>
      <c r="D79">
        <v>0.7134789533309227</v>
      </c>
      <c r="E79">
        <v>1.0007057639636529E-2</v>
      </c>
      <c r="F79">
        <v>1.276397272286693</v>
      </c>
      <c r="G79">
        <v>5.6809249999999976</v>
      </c>
      <c r="H79">
        <v>-5.4211285999999994</v>
      </c>
      <c r="I79">
        <v>-0.38386933999999562</v>
      </c>
      <c r="J79">
        <v>11.631364</v>
      </c>
      <c r="K79">
        <v>-3.872455600000003</v>
      </c>
      <c r="L79">
        <v>-15.24239</v>
      </c>
      <c r="M79">
        <v>-6.6582750000000068</v>
      </c>
      <c r="N79">
        <v>-18.115971999999999</v>
      </c>
      <c r="O79">
        <v>-31.753098000000001</v>
      </c>
      <c r="P79">
        <v>24.862165999999991</v>
      </c>
      <c r="Q79">
        <v>-7.2448363999999943</v>
      </c>
      <c r="R79">
        <v>3.2067695799999929</v>
      </c>
      <c r="S79">
        <v>-2.8314774000000309</v>
      </c>
      <c r="T79">
        <v>-7.319520200000003</v>
      </c>
      <c r="U79">
        <v>-208.55770000000001</v>
      </c>
      <c r="V79">
        <v>84.060250000000011</v>
      </c>
      <c r="W79">
        <v>352.90568250000001</v>
      </c>
      <c r="X79">
        <v>239.39450000000019</v>
      </c>
      <c r="Y79">
        <v>-192.57502500000001</v>
      </c>
      <c r="Z79">
        <v>317.60525000000018</v>
      </c>
      <c r="AA79">
        <v>-619.58974999999975</v>
      </c>
      <c r="AB79">
        <v>-157.6874999999996</v>
      </c>
      <c r="AC79">
        <v>39.204499999999861</v>
      </c>
      <c r="AD79">
        <v>-656.79550000000017</v>
      </c>
      <c r="AE79">
        <v>491.23714999999982</v>
      </c>
      <c r="AF79">
        <v>-593.26452249999988</v>
      </c>
      <c r="AG79">
        <v>-2473.6929249999998</v>
      </c>
      <c r="AH79">
        <v>-198.54882500000011</v>
      </c>
      <c r="AI79">
        <v>-0.41310660000000132</v>
      </c>
      <c r="AJ79">
        <v>-3.1363089999999998</v>
      </c>
      <c r="AK79">
        <v>0.1634970619999998</v>
      </c>
      <c r="AL79">
        <v>-2.333715000000006</v>
      </c>
      <c r="AM79">
        <v>6.5070845999998295E-2</v>
      </c>
      <c r="AN79">
        <v>-0.51517192000000001</v>
      </c>
      <c r="AO79">
        <v>-5.5585532000000278E-2</v>
      </c>
      <c r="AP79">
        <v>0.48095931999998881</v>
      </c>
      <c r="AQ79">
        <v>1.1403402999999981</v>
      </c>
      <c r="AR79">
        <v>0.14723364</v>
      </c>
      <c r="AS79">
        <v>0.18104665999999961</v>
      </c>
      <c r="AT79">
        <v>23.20358999999997</v>
      </c>
    </row>
    <row r="80" spans="1:46" x14ac:dyDescent="0.25">
      <c r="A80">
        <v>78</v>
      </c>
      <c r="B80">
        <v>9.7282500000000276</v>
      </c>
      <c r="C80">
        <v>0.54313934065934066</v>
      </c>
      <c r="D80">
        <v>0.67307422754992297</v>
      </c>
      <c r="E80">
        <v>6.8419991052937092E-3</v>
      </c>
      <c r="F80">
        <v>1.1669868127468821</v>
      </c>
      <c r="G80">
        <v>5.462069999999998</v>
      </c>
      <c r="H80">
        <v>-5.332710399999999</v>
      </c>
      <c r="I80">
        <v>-6.691759999997382E-3</v>
      </c>
      <c r="J80">
        <v>11.911695999999999</v>
      </c>
      <c r="K80">
        <v>-4.077928400000002</v>
      </c>
      <c r="L80">
        <v>-14.896459999999999</v>
      </c>
      <c r="M80">
        <v>-7.2597200000000042</v>
      </c>
      <c r="N80">
        <v>-18.243008</v>
      </c>
      <c r="O80">
        <v>-31.684172</v>
      </c>
      <c r="P80">
        <v>24.175323999999989</v>
      </c>
      <c r="Q80">
        <v>-6.7524795999999956</v>
      </c>
      <c r="R80">
        <v>2.5964141199999959</v>
      </c>
      <c r="S80">
        <v>-5.5113936000000194</v>
      </c>
      <c r="T80">
        <v>-7.5712028000000018</v>
      </c>
      <c r="U80">
        <v>-208.56030000000001</v>
      </c>
      <c r="V80">
        <v>84.664750000000012</v>
      </c>
      <c r="W80">
        <v>357.09080499999999</v>
      </c>
      <c r="X80">
        <v>253.94800000000009</v>
      </c>
      <c r="Y80">
        <v>-193.61535000000001</v>
      </c>
      <c r="Z80">
        <v>324.17350000000022</v>
      </c>
      <c r="AA80">
        <v>-594.93524999999988</v>
      </c>
      <c r="AB80">
        <v>-138.34999999999971</v>
      </c>
      <c r="AC80">
        <v>51.775499999999937</v>
      </c>
      <c r="AD80">
        <v>-652.8370000000001</v>
      </c>
      <c r="AE80">
        <v>474.60884999999979</v>
      </c>
      <c r="AF80">
        <v>-585.74919</v>
      </c>
      <c r="AG80">
        <v>-2478.6384499999999</v>
      </c>
      <c r="AH80">
        <v>-214.94605000000001</v>
      </c>
      <c r="AI80">
        <v>-0.52681240000000074</v>
      </c>
      <c r="AJ80">
        <v>-3.1392859999999998</v>
      </c>
      <c r="AK80">
        <v>0.14473886799999991</v>
      </c>
      <c r="AL80">
        <v>-2.822580000000003</v>
      </c>
      <c r="AM80">
        <v>-7.9539256000001002E-2</v>
      </c>
      <c r="AN80">
        <v>-0.51042588</v>
      </c>
      <c r="AO80">
        <v>-7.9767248000000165E-2</v>
      </c>
      <c r="AP80">
        <v>-0.47499152000000661</v>
      </c>
      <c r="AQ80">
        <v>0.9969541999999989</v>
      </c>
      <c r="AR80">
        <v>0.14500595999999999</v>
      </c>
      <c r="AS80">
        <v>0.1475412399999998</v>
      </c>
      <c r="AT80">
        <v>20.296659999999981</v>
      </c>
    </row>
    <row r="81" spans="1:46" x14ac:dyDescent="0.25">
      <c r="A81">
        <v>79</v>
      </c>
      <c r="B81">
        <v>9.7347500000000284</v>
      </c>
      <c r="C81">
        <v>0.54337076923076921</v>
      </c>
      <c r="D81">
        <v>0.60917744653768724</v>
      </c>
      <c r="E81">
        <v>-3.0471517933624332E-3</v>
      </c>
      <c r="F81">
        <v>1.0244137364581649</v>
      </c>
      <c r="G81">
        <v>5.2432149999999993</v>
      </c>
      <c r="H81">
        <v>-5.2442921999999994</v>
      </c>
      <c r="I81">
        <v>0.37048582000000091</v>
      </c>
      <c r="J81">
        <v>12.192028000000001</v>
      </c>
      <c r="K81">
        <v>-4.2834012000000001</v>
      </c>
      <c r="L81">
        <v>-14.55053</v>
      </c>
      <c r="M81">
        <v>-7.8611650000000006</v>
      </c>
      <c r="N81">
        <v>-18.370044</v>
      </c>
      <c r="O81">
        <v>-31.615245999999999</v>
      </c>
      <c r="P81">
        <v>23.488482000000001</v>
      </c>
      <c r="Q81">
        <v>-6.2601227999999987</v>
      </c>
      <c r="R81">
        <v>1.986058659999999</v>
      </c>
      <c r="S81">
        <v>-8.1913098000000062</v>
      </c>
      <c r="T81">
        <v>-7.8228854000000014</v>
      </c>
      <c r="U81">
        <v>-208.56290000000001</v>
      </c>
      <c r="V81">
        <v>85.269250000000014</v>
      </c>
      <c r="W81">
        <v>361.27592750000002</v>
      </c>
      <c r="X81">
        <v>268.50150000000008</v>
      </c>
      <c r="Y81">
        <v>-194.655675</v>
      </c>
      <c r="Z81">
        <v>330.74175000000008</v>
      </c>
      <c r="AA81">
        <v>-570.28075000000001</v>
      </c>
      <c r="AB81">
        <v>-119.0124999999999</v>
      </c>
      <c r="AC81">
        <v>64.34650000000002</v>
      </c>
      <c r="AD81">
        <v>-648.87850000000003</v>
      </c>
      <c r="AE81">
        <v>457.98054999999988</v>
      </c>
      <c r="AF81">
        <v>-578.2338575</v>
      </c>
      <c r="AG81">
        <v>-2483.583975</v>
      </c>
      <c r="AH81">
        <v>-231.34327500000001</v>
      </c>
      <c r="AI81">
        <v>-0.64051820000000026</v>
      </c>
      <c r="AJ81">
        <v>-3.1422629999999998</v>
      </c>
      <c r="AK81">
        <v>0.12598067399999999</v>
      </c>
      <c r="AL81">
        <v>-3.3114450000000009</v>
      </c>
      <c r="AM81">
        <v>-0.2241493580000003</v>
      </c>
      <c r="AN81">
        <v>-0.50567983999999999</v>
      </c>
      <c r="AO81">
        <v>-0.103948964</v>
      </c>
      <c r="AP81">
        <v>-1.430942360000002</v>
      </c>
      <c r="AQ81">
        <v>0.85356809999999961</v>
      </c>
      <c r="AR81">
        <v>0.14277828000000001</v>
      </c>
      <c r="AS81">
        <v>0.1140358199999999</v>
      </c>
      <c r="AT81">
        <v>17.389729999999989</v>
      </c>
    </row>
    <row r="82" spans="1:46" x14ac:dyDescent="0.25">
      <c r="A82">
        <v>80</v>
      </c>
      <c r="B82">
        <v>9.7412500000000293</v>
      </c>
      <c r="C82">
        <v>0.54360219780219776</v>
      </c>
      <c r="D82">
        <v>0.56941211465537667</v>
      </c>
      <c r="E82">
        <v>-5.7883972302459341E-3</v>
      </c>
      <c r="F82">
        <v>0.91418349150703282</v>
      </c>
      <c r="G82">
        <v>5.0243599999999979</v>
      </c>
      <c r="H82">
        <v>-5.155873999999999</v>
      </c>
      <c r="I82">
        <v>0.74766340000000453</v>
      </c>
      <c r="J82">
        <v>12.47236</v>
      </c>
      <c r="K82">
        <v>-4.4888740000000027</v>
      </c>
      <c r="L82">
        <v>-14.204599999999999</v>
      </c>
      <c r="M82">
        <v>-8.4626100000000068</v>
      </c>
      <c r="N82">
        <v>-18.49708</v>
      </c>
      <c r="O82">
        <v>-31.546320000000001</v>
      </c>
      <c r="P82">
        <v>22.801639999999988</v>
      </c>
      <c r="Q82">
        <v>-5.7677659999999946</v>
      </c>
      <c r="R82">
        <v>1.3757031999999929</v>
      </c>
      <c r="S82">
        <v>-10.87122600000003</v>
      </c>
      <c r="T82">
        <v>-8.0745680000000029</v>
      </c>
      <c r="U82">
        <v>-208.56549999999999</v>
      </c>
      <c r="V82">
        <v>85.873750000000015</v>
      </c>
      <c r="W82">
        <v>365.46105</v>
      </c>
      <c r="X82">
        <v>283.05500000000018</v>
      </c>
      <c r="Y82">
        <v>-195.69599999999991</v>
      </c>
      <c r="Z82">
        <v>337.31000000000017</v>
      </c>
      <c r="AA82">
        <v>-545.6262499999998</v>
      </c>
      <c r="AB82">
        <v>-99.674999999999727</v>
      </c>
      <c r="AC82">
        <v>76.917500000000302</v>
      </c>
      <c r="AD82">
        <v>-644.91999999999985</v>
      </c>
      <c r="AE82">
        <v>441.35224999999969</v>
      </c>
      <c r="AF82">
        <v>-570.71852499999989</v>
      </c>
      <c r="AG82">
        <v>-2488.5295000000001</v>
      </c>
      <c r="AH82">
        <v>-247.74050000000011</v>
      </c>
      <c r="AI82">
        <v>-0.75422400000000134</v>
      </c>
      <c r="AJ82">
        <v>-3.1452399999999998</v>
      </c>
      <c r="AK82">
        <v>0.1072224799999998</v>
      </c>
      <c r="AL82">
        <v>-3.800310000000005</v>
      </c>
      <c r="AM82">
        <v>-0.36875946000000159</v>
      </c>
      <c r="AN82">
        <v>-0.50093379999999998</v>
      </c>
      <c r="AO82">
        <v>-0.1281306800000003</v>
      </c>
      <c r="AP82">
        <v>-2.3868932000000109</v>
      </c>
      <c r="AQ82">
        <v>0.71018199999999831</v>
      </c>
      <c r="AR82">
        <v>0.1405506</v>
      </c>
      <c r="AS82">
        <v>8.0530399999999613E-2</v>
      </c>
      <c r="AT82">
        <v>14.482799999999971</v>
      </c>
    </row>
    <row r="83" spans="1:46" x14ac:dyDescent="0.25">
      <c r="A83">
        <v>81</v>
      </c>
      <c r="B83">
        <v>9.7476750000000276</v>
      </c>
      <c r="C83">
        <v>0.54383662637362629</v>
      </c>
      <c r="D83">
        <v>0.55011774969181904</v>
      </c>
      <c r="E83">
        <v>-5.4441617562101139E-3</v>
      </c>
      <c r="F83">
        <v>0.82855359397160333</v>
      </c>
      <c r="G83">
        <v>4.8064025999999993</v>
      </c>
      <c r="H83">
        <v>-5.066821599999999</v>
      </c>
      <c r="I83">
        <v>1.1277256000000031</v>
      </c>
      <c r="J83">
        <v>12.764548</v>
      </c>
      <c r="K83">
        <v>-4.6938314000000014</v>
      </c>
      <c r="L83">
        <v>-13.853996</v>
      </c>
      <c r="M83">
        <v>-9.0392624000000037</v>
      </c>
      <c r="N83">
        <v>-18.606188</v>
      </c>
      <c r="O83">
        <v>-31.467644</v>
      </c>
      <c r="P83">
        <v>22.123701999999991</v>
      </c>
      <c r="Q83">
        <v>-5.296941399999997</v>
      </c>
      <c r="R83">
        <v>0.77588025999999632</v>
      </c>
      <c r="S83">
        <v>-13.51057800000002</v>
      </c>
      <c r="T83">
        <v>-8.3350592000000017</v>
      </c>
      <c r="U83">
        <v>-208.10137499999999</v>
      </c>
      <c r="V83">
        <v>86.508775000000028</v>
      </c>
      <c r="W83">
        <v>369.15195249999999</v>
      </c>
      <c r="X83">
        <v>296.6792500000002</v>
      </c>
      <c r="Y83">
        <v>-196.0304999999999</v>
      </c>
      <c r="Z83">
        <v>343.17550000000011</v>
      </c>
      <c r="AA83">
        <v>-520.08187499999997</v>
      </c>
      <c r="AB83">
        <v>-80.549749999999861</v>
      </c>
      <c r="AC83">
        <v>88.475250000000315</v>
      </c>
      <c r="AD83">
        <v>-637.8924999999997</v>
      </c>
      <c r="AE83">
        <v>422.10067499999968</v>
      </c>
      <c r="AF83">
        <v>-561.25229249999984</v>
      </c>
      <c r="AG83">
        <v>-2473.9754750000002</v>
      </c>
      <c r="AH83">
        <v>-261.19074999999998</v>
      </c>
      <c r="AI83">
        <v>-0.91482820000000209</v>
      </c>
      <c r="AJ83">
        <v>-3.1876472000000011</v>
      </c>
      <c r="AK83">
        <v>9.5462794000000073E-2</v>
      </c>
      <c r="AL83">
        <v>-4.452363600000008</v>
      </c>
      <c r="AM83">
        <v>-0.47912956000000001</v>
      </c>
      <c r="AN83">
        <v>-0.52171692000000069</v>
      </c>
      <c r="AO83">
        <v>-0.1507342400000001</v>
      </c>
      <c r="AP83">
        <v>-3.0863707999999992</v>
      </c>
      <c r="AQ83">
        <v>0.57264385999999923</v>
      </c>
      <c r="AR83">
        <v>0.1362835379999999</v>
      </c>
      <c r="AS83">
        <v>4.2473379999999651E-2</v>
      </c>
      <c r="AT83">
        <v>11.683281999999981</v>
      </c>
    </row>
    <row r="84" spans="1:46" x14ac:dyDescent="0.25">
      <c r="A84">
        <v>82</v>
      </c>
      <c r="B84">
        <v>9.7538500000000141</v>
      </c>
      <c r="C84">
        <v>0.54408105494505488</v>
      </c>
      <c r="D84">
        <v>0.4732699283700762</v>
      </c>
      <c r="E84">
        <v>-1.109389311767227E-2</v>
      </c>
      <c r="F84">
        <v>0.6856233421978255</v>
      </c>
      <c r="G84">
        <v>4.5914371999999997</v>
      </c>
      <c r="H84">
        <v>-4.9756551999999994</v>
      </c>
      <c r="I84">
        <v>1.5174032000000011</v>
      </c>
      <c r="J84">
        <v>13.096256</v>
      </c>
      <c r="K84">
        <v>-4.8970708000000007</v>
      </c>
      <c r="L84">
        <v>-13.487812</v>
      </c>
      <c r="M84">
        <v>-9.5332728000000007</v>
      </c>
      <c r="N84">
        <v>-18.655536000000001</v>
      </c>
      <c r="O84">
        <v>-31.356468</v>
      </c>
      <c r="P84">
        <v>21.475444</v>
      </c>
      <c r="Q84">
        <v>-4.897890799999999</v>
      </c>
      <c r="R84">
        <v>0.21116571999999911</v>
      </c>
      <c r="S84">
        <v>-16.014716</v>
      </c>
      <c r="T84">
        <v>-8.6249123999999995</v>
      </c>
      <c r="U84">
        <v>-206.08150000000001</v>
      </c>
      <c r="V84">
        <v>87.245550000000009</v>
      </c>
      <c r="W84">
        <v>371.19545499999998</v>
      </c>
      <c r="X84">
        <v>307.20600000000007</v>
      </c>
      <c r="Y84">
        <v>-194.01224999999991</v>
      </c>
      <c r="Z84">
        <v>346.69850000000002</v>
      </c>
      <c r="AA84">
        <v>-491.57125000000002</v>
      </c>
      <c r="AB84">
        <v>-62.13199999999992</v>
      </c>
      <c r="AC84">
        <v>96.655500000000259</v>
      </c>
      <c r="AD84">
        <v>-620.63499999999976</v>
      </c>
      <c r="AE84">
        <v>394.10484999999989</v>
      </c>
      <c r="AF84">
        <v>-545.28305999999998</v>
      </c>
      <c r="AG84">
        <v>-2394.4229500000001</v>
      </c>
      <c r="AH84">
        <v>-264.81774999999999</v>
      </c>
      <c r="AI84">
        <v>-1.2317604000000011</v>
      </c>
      <c r="AJ84">
        <v>-3.3614883999999998</v>
      </c>
      <c r="AK84">
        <v>0.107031468</v>
      </c>
      <c r="AL84">
        <v>-5.6483792000000017</v>
      </c>
      <c r="AM84">
        <v>-0.47536632000000001</v>
      </c>
      <c r="AN84">
        <v>-0.62759724000000017</v>
      </c>
      <c r="AO84">
        <v>-0.16807728</v>
      </c>
      <c r="AP84">
        <v>-2.9309376</v>
      </c>
      <c r="AQ84">
        <v>0.4545989199999998</v>
      </c>
      <c r="AR84">
        <v>0.12521853599999999</v>
      </c>
      <c r="AS84">
        <v>-1.075564000000008E-2</v>
      </c>
      <c r="AT84">
        <v>9.2418039999999966</v>
      </c>
    </row>
    <row r="85" spans="1:46" x14ac:dyDescent="0.25">
      <c r="A85">
        <v>83</v>
      </c>
      <c r="B85">
        <v>9.7600250000000024</v>
      </c>
      <c r="C85">
        <v>0.54432548351648347</v>
      </c>
      <c r="D85">
        <v>0.44328050107978451</v>
      </c>
      <c r="E85">
        <v>-2.8102595299836709E-2</v>
      </c>
      <c r="F85">
        <v>0.57819052459303288</v>
      </c>
      <c r="G85">
        <v>4.3764717999999974</v>
      </c>
      <c r="H85">
        <v>-4.8844887999999989</v>
      </c>
      <c r="I85">
        <v>1.907080800000005</v>
      </c>
      <c r="J85">
        <v>13.427963999999999</v>
      </c>
      <c r="K85">
        <v>-5.1003102000000018</v>
      </c>
      <c r="L85">
        <v>-13.121627999999999</v>
      </c>
      <c r="M85">
        <v>-10.02728320000001</v>
      </c>
      <c r="N85">
        <v>-18.704884</v>
      </c>
      <c r="O85">
        <v>-31.245291999999999</v>
      </c>
      <c r="P85">
        <v>20.82718599999999</v>
      </c>
      <c r="Q85">
        <v>-4.4988401999999956</v>
      </c>
      <c r="R85">
        <v>-0.35354882000000609</v>
      </c>
      <c r="S85">
        <v>-18.518854000000029</v>
      </c>
      <c r="T85">
        <v>-8.9147656000000026</v>
      </c>
      <c r="U85">
        <v>-204.06162499999999</v>
      </c>
      <c r="V85">
        <v>87.982325000000003</v>
      </c>
      <c r="W85">
        <v>373.23895750000003</v>
      </c>
      <c r="X85">
        <v>317.73275000000012</v>
      </c>
      <c r="Y85">
        <v>-191.99399999999989</v>
      </c>
      <c r="Z85">
        <v>350.22149999999999</v>
      </c>
      <c r="AA85">
        <v>-463.06062499999967</v>
      </c>
      <c r="AB85">
        <v>-43.714249999999723</v>
      </c>
      <c r="AC85">
        <v>104.8357500000003</v>
      </c>
      <c r="AD85">
        <v>-603.3774999999996</v>
      </c>
      <c r="AE85">
        <v>366.10902499999958</v>
      </c>
      <c r="AF85">
        <v>-529.31382749999977</v>
      </c>
      <c r="AG85">
        <v>-2314.8704249999992</v>
      </c>
      <c r="AH85">
        <v>-268.44475000000011</v>
      </c>
      <c r="AI85">
        <v>-1.548692600000003</v>
      </c>
      <c r="AJ85">
        <v>-3.5353296000000021</v>
      </c>
      <c r="AK85">
        <v>0.1186001420000001</v>
      </c>
      <c r="AL85">
        <v>-6.8443948000000132</v>
      </c>
      <c r="AM85">
        <v>-0.47160308000000001</v>
      </c>
      <c r="AN85">
        <v>-0.73347756000000119</v>
      </c>
      <c r="AO85">
        <v>-0.18542032000000019</v>
      </c>
      <c r="AP85">
        <v>-2.7755043999999982</v>
      </c>
      <c r="AQ85">
        <v>0.3365539799999987</v>
      </c>
      <c r="AR85">
        <v>0.1141535339999999</v>
      </c>
      <c r="AS85">
        <v>-6.3984660000000582E-2</v>
      </c>
      <c r="AT85">
        <v>6.8003259999999726</v>
      </c>
    </row>
    <row r="86" spans="1:46" x14ac:dyDescent="0.25">
      <c r="A86">
        <v>84</v>
      </c>
      <c r="B86">
        <v>9.7661999999999889</v>
      </c>
      <c r="C86">
        <v>0.54456991208791206</v>
      </c>
      <c r="D86">
        <v>0.358059539073521</v>
      </c>
      <c r="E86">
        <v>-1.20030338553395E-2</v>
      </c>
      <c r="F86">
        <v>0.51866129424425989</v>
      </c>
      <c r="G86">
        <v>4.1615063999999986</v>
      </c>
      <c r="H86">
        <v>-4.7933223999999992</v>
      </c>
      <c r="I86">
        <v>2.296758400000003</v>
      </c>
      <c r="J86">
        <v>13.759672</v>
      </c>
      <c r="K86">
        <v>-5.3035496000000011</v>
      </c>
      <c r="L86">
        <v>-12.755444000000001</v>
      </c>
      <c r="M86">
        <v>-10.5212936</v>
      </c>
      <c r="N86">
        <v>-18.754231999999998</v>
      </c>
      <c r="O86">
        <v>-31.134115999999999</v>
      </c>
      <c r="P86">
        <v>20.178927999999999</v>
      </c>
      <c r="Q86">
        <v>-4.0997895999999976</v>
      </c>
      <c r="R86">
        <v>-0.91826336000000341</v>
      </c>
      <c r="S86">
        <v>-21.02299200000002</v>
      </c>
      <c r="T86">
        <v>-9.2046188000000022</v>
      </c>
      <c r="U86">
        <v>-202.04175000000001</v>
      </c>
      <c r="V86">
        <v>88.719099999999997</v>
      </c>
      <c r="W86">
        <v>375.28246000000001</v>
      </c>
      <c r="X86">
        <v>328.2595</v>
      </c>
      <c r="Y86">
        <v>-189.97574999999989</v>
      </c>
      <c r="Z86">
        <v>353.7444999999999</v>
      </c>
      <c r="AA86">
        <v>-434.5499999999999</v>
      </c>
      <c r="AB86">
        <v>-25.296499999999771</v>
      </c>
      <c r="AC86">
        <v>113.0160000000003</v>
      </c>
      <c r="AD86">
        <v>-586.11999999999978</v>
      </c>
      <c r="AE86">
        <v>338.11319999999978</v>
      </c>
      <c r="AF86">
        <v>-513.3445949999998</v>
      </c>
      <c r="AG86">
        <v>-2235.3178999999991</v>
      </c>
      <c r="AH86">
        <v>-272.07175000000012</v>
      </c>
      <c r="AI86">
        <v>-1.865624800000002</v>
      </c>
      <c r="AJ86">
        <v>-3.7091708000000012</v>
      </c>
      <c r="AK86">
        <v>0.1301688160000001</v>
      </c>
      <c r="AL86">
        <v>-8.0404104000000078</v>
      </c>
      <c r="AM86">
        <v>-0.46783984000000001</v>
      </c>
      <c r="AN86">
        <v>-0.83935788000000056</v>
      </c>
      <c r="AO86">
        <v>-0.20276336000000009</v>
      </c>
      <c r="AP86">
        <v>-2.620071199999999</v>
      </c>
      <c r="AQ86">
        <v>0.21850903999999929</v>
      </c>
      <c r="AR86">
        <v>0.1030885319999999</v>
      </c>
      <c r="AS86">
        <v>-0.11721368000000031</v>
      </c>
      <c r="AT86">
        <v>4.3588479999999858</v>
      </c>
    </row>
    <row r="87" spans="1:46" x14ac:dyDescent="0.25">
      <c r="A87">
        <v>85</v>
      </c>
      <c r="B87">
        <v>9.7719999999999807</v>
      </c>
      <c r="C87">
        <v>0.54481659340659339</v>
      </c>
      <c r="D87">
        <v>0.27096542617447711</v>
      </c>
      <c r="E87">
        <v>-6.5776117295546612E-3</v>
      </c>
      <c r="F87">
        <v>0.4558879367815824</v>
      </c>
      <c r="G87">
        <v>3.951259999999996</v>
      </c>
      <c r="H87">
        <v>-4.7009459999999983</v>
      </c>
      <c r="I87">
        <v>2.6879160000000062</v>
      </c>
      <c r="J87">
        <v>14.104010000000009</v>
      </c>
      <c r="K87">
        <v>-5.5014380000000029</v>
      </c>
      <c r="L87">
        <v>-12.38620999999999</v>
      </c>
      <c r="M87">
        <v>-10.96890000000001</v>
      </c>
      <c r="N87">
        <v>-18.776789999999998</v>
      </c>
      <c r="O87">
        <v>-31.014019999999999</v>
      </c>
      <c r="P87">
        <v>19.568929999999991</v>
      </c>
      <c r="Q87">
        <v>-3.7509929999999958</v>
      </c>
      <c r="R87">
        <v>-1.451396000000007</v>
      </c>
      <c r="S87">
        <v>-23.349960000000031</v>
      </c>
      <c r="T87">
        <v>-9.4909510000000044</v>
      </c>
      <c r="U87">
        <v>-199.21274999999989</v>
      </c>
      <c r="V87">
        <v>89.48237499999999</v>
      </c>
      <c r="W87">
        <v>376.51062499999989</v>
      </c>
      <c r="X87">
        <v>336.87124999999997</v>
      </c>
      <c r="Y87">
        <v>-186.9536249999999</v>
      </c>
      <c r="Z87">
        <v>356.10962499999988</v>
      </c>
      <c r="AA87">
        <v>-405.14824999999962</v>
      </c>
      <c r="AB87">
        <v>-7.9724999999996484</v>
      </c>
      <c r="AC87">
        <v>119.4012500000002</v>
      </c>
      <c r="AD87">
        <v>-562.80749999999932</v>
      </c>
      <c r="AE87">
        <v>307.66999999999939</v>
      </c>
      <c r="AF87">
        <v>-494.06163749999951</v>
      </c>
      <c r="AG87">
        <v>-2137.6812499999978</v>
      </c>
      <c r="AH87">
        <v>-271.5809999999999</v>
      </c>
      <c r="AI87">
        <v>-2.1825950000000049</v>
      </c>
      <c r="AJ87">
        <v>-3.8885420000000028</v>
      </c>
      <c r="AK87">
        <v>0.1446605000000003</v>
      </c>
      <c r="AL87">
        <v>-9.062388000000011</v>
      </c>
      <c r="AM87">
        <v>-0.44510019999999922</v>
      </c>
      <c r="AN87">
        <v>-0.95546350000000202</v>
      </c>
      <c r="AO87">
        <v>-0.2163106000000001</v>
      </c>
      <c r="AP87">
        <v>-2.3760289999999942</v>
      </c>
      <c r="AQ87">
        <v>0.1191491999999989</v>
      </c>
      <c r="AR87">
        <v>9.0656489999999784E-2</v>
      </c>
      <c r="AS87">
        <v>-0.1675714000000007</v>
      </c>
      <c r="AT87">
        <v>2.3524749999999792</v>
      </c>
    </row>
    <row r="88" spans="1:46" x14ac:dyDescent="0.25">
      <c r="A88">
        <v>86</v>
      </c>
      <c r="B88">
        <v>9.7771999999999757</v>
      </c>
      <c r="C88">
        <v>0.54506687912087914</v>
      </c>
      <c r="D88">
        <v>0.21723802180709509</v>
      </c>
      <c r="E88">
        <v>-5.7646665045059239E-3</v>
      </c>
      <c r="F88">
        <v>0.40230345626811947</v>
      </c>
      <c r="G88">
        <v>3.7485639999999969</v>
      </c>
      <c r="H88">
        <v>-4.6066335999999994</v>
      </c>
      <c r="I88">
        <v>3.0814416000000042</v>
      </c>
      <c r="J88">
        <v>14.468556</v>
      </c>
      <c r="K88">
        <v>-5.690764800000002</v>
      </c>
      <c r="L88">
        <v>-12.012096</v>
      </c>
      <c r="M88">
        <v>-11.34226</v>
      </c>
      <c r="N88">
        <v>-18.756484</v>
      </c>
      <c r="O88">
        <v>-30.879652</v>
      </c>
      <c r="P88">
        <v>19.020147999999999</v>
      </c>
      <c r="Q88">
        <v>-3.4826027999999969</v>
      </c>
      <c r="R88">
        <v>-1.933997600000005</v>
      </c>
      <c r="S88">
        <v>-25.393456000000018</v>
      </c>
      <c r="T88">
        <v>-9.7716496000000035</v>
      </c>
      <c r="U88">
        <v>-195.0891499999999</v>
      </c>
      <c r="V88">
        <v>90.288049999999984</v>
      </c>
      <c r="W88">
        <v>376.43425000000002</v>
      </c>
      <c r="X88">
        <v>342.41899999999998</v>
      </c>
      <c r="Y88">
        <v>-182.32529999999991</v>
      </c>
      <c r="Z88">
        <v>356.62214999999992</v>
      </c>
      <c r="AA88">
        <v>-374.32069999999959</v>
      </c>
      <c r="AB88">
        <v>7.601500000000236</v>
      </c>
      <c r="AC88">
        <v>122.9145000000001</v>
      </c>
      <c r="AD88">
        <v>-529.80699999999956</v>
      </c>
      <c r="AE88">
        <v>273.31099999999958</v>
      </c>
      <c r="AF88">
        <v>-469.47671999999972</v>
      </c>
      <c r="AG88">
        <v>-2011.109999999999</v>
      </c>
      <c r="AH88">
        <v>-264.50184999999999</v>
      </c>
      <c r="AI88">
        <v>-2.4996260000000041</v>
      </c>
      <c r="AJ88">
        <v>-4.0767612000000018</v>
      </c>
      <c r="AK88">
        <v>0.1638290000000002</v>
      </c>
      <c r="AL88">
        <v>-9.8059048000000075</v>
      </c>
      <c r="AM88">
        <v>-0.3919983199999994</v>
      </c>
      <c r="AN88">
        <v>-1.0879296000000009</v>
      </c>
      <c r="AO88">
        <v>-0.2237845600000001</v>
      </c>
      <c r="AP88">
        <v>-1.9902123999999961</v>
      </c>
      <c r="AQ88">
        <v>4.9685519999999261E-2</v>
      </c>
      <c r="AR88">
        <v>7.6037183999999841E-2</v>
      </c>
      <c r="AS88">
        <v>-0.2133350400000005</v>
      </c>
      <c r="AT88">
        <v>1.042269999999986</v>
      </c>
    </row>
    <row r="89" spans="1:46" x14ac:dyDescent="0.25">
      <c r="A89">
        <v>87</v>
      </c>
      <c r="B89">
        <v>9.7823999999999707</v>
      </c>
      <c r="C89">
        <v>0.54531716483516479</v>
      </c>
      <c r="D89">
        <v>0.1846692939161437</v>
      </c>
      <c r="E89">
        <v>-9.5481879530461538E-3</v>
      </c>
      <c r="F89">
        <v>0.33852076779355827</v>
      </c>
      <c r="G89">
        <v>3.5458679999999991</v>
      </c>
      <c r="H89">
        <v>-4.5123211999999997</v>
      </c>
      <c r="I89">
        <v>3.4749672000000018</v>
      </c>
      <c r="J89">
        <v>14.833102</v>
      </c>
      <c r="K89">
        <v>-5.880091600000001</v>
      </c>
      <c r="L89">
        <v>-11.637981999999999</v>
      </c>
      <c r="M89">
        <v>-11.715619999999999</v>
      </c>
      <c r="N89">
        <v>-18.736177999999999</v>
      </c>
      <c r="O89">
        <v>-30.745284000000002</v>
      </c>
      <c r="P89">
        <v>18.471366</v>
      </c>
      <c r="Q89">
        <v>-3.2142125999999989</v>
      </c>
      <c r="R89">
        <v>-2.4165992000000029</v>
      </c>
      <c r="S89">
        <v>-27.436952000000009</v>
      </c>
      <c r="T89">
        <v>-10.052348200000001</v>
      </c>
      <c r="U89">
        <v>-190.96554999999989</v>
      </c>
      <c r="V89">
        <v>91.093724999999978</v>
      </c>
      <c r="W89">
        <v>376.35787499999992</v>
      </c>
      <c r="X89">
        <v>347.96674999999988</v>
      </c>
      <c r="Y89">
        <v>-177.69697500000001</v>
      </c>
      <c r="Z89">
        <v>357.13467499999979</v>
      </c>
      <c r="AA89">
        <v>-343.49314999999979</v>
      </c>
      <c r="AB89">
        <v>23.17550000000012</v>
      </c>
      <c r="AC89">
        <v>126.42775</v>
      </c>
      <c r="AD89">
        <v>-496.80649999999969</v>
      </c>
      <c r="AE89">
        <v>238.9519999999998</v>
      </c>
      <c r="AF89">
        <v>-444.89180249999981</v>
      </c>
      <c r="AG89">
        <v>-1884.538749999999</v>
      </c>
      <c r="AH89">
        <v>-257.42270000000002</v>
      </c>
      <c r="AI89">
        <v>-2.816657000000002</v>
      </c>
      <c r="AJ89">
        <v>-4.2649804000000007</v>
      </c>
      <c r="AK89">
        <v>0.18299750000000009</v>
      </c>
      <c r="AL89">
        <v>-10.549421600000009</v>
      </c>
      <c r="AM89">
        <v>-0.33889643999999969</v>
      </c>
      <c r="AN89">
        <v>-1.220395700000001</v>
      </c>
      <c r="AO89">
        <v>-0.23125852000000011</v>
      </c>
      <c r="AP89">
        <v>-1.604395799999998</v>
      </c>
      <c r="AQ89">
        <v>-1.9778160000000409E-2</v>
      </c>
      <c r="AR89">
        <v>6.1417877999999919E-2</v>
      </c>
      <c r="AS89">
        <v>-0.25909868000000019</v>
      </c>
      <c r="AT89">
        <v>-0.26793500000000797</v>
      </c>
    </row>
    <row r="90" spans="1:46" x14ac:dyDescent="0.25">
      <c r="A90">
        <v>88</v>
      </c>
      <c r="B90">
        <v>9.7875999999999657</v>
      </c>
      <c r="C90">
        <v>0.54556745054945055</v>
      </c>
      <c r="D90">
        <v>0.1616836430614827</v>
      </c>
      <c r="E90">
        <v>-1.537721442497191E-2</v>
      </c>
      <c r="F90">
        <v>0.27955905826570149</v>
      </c>
      <c r="G90">
        <v>3.3431719999999969</v>
      </c>
      <c r="H90">
        <v>-4.4180087999999991</v>
      </c>
      <c r="I90">
        <v>3.8684928000000061</v>
      </c>
      <c r="J90">
        <v>15.19764800000001</v>
      </c>
      <c r="K90">
        <v>-6.0694184000000027</v>
      </c>
      <c r="L90">
        <v>-11.263868</v>
      </c>
      <c r="M90">
        <v>-12.08898000000001</v>
      </c>
      <c r="N90">
        <v>-18.715872000000001</v>
      </c>
      <c r="O90">
        <v>-30.610916</v>
      </c>
      <c r="P90">
        <v>17.92258399999999</v>
      </c>
      <c r="Q90">
        <v>-2.945822399999996</v>
      </c>
      <c r="R90">
        <v>-2.8992008000000071</v>
      </c>
      <c r="S90">
        <v>-29.480448000000031</v>
      </c>
      <c r="T90">
        <v>-10.3330468</v>
      </c>
      <c r="U90">
        <v>-186.84194999999991</v>
      </c>
      <c r="V90">
        <v>91.899399999999986</v>
      </c>
      <c r="W90">
        <v>376.28149999999988</v>
      </c>
      <c r="X90">
        <v>353.5145</v>
      </c>
      <c r="Y90">
        <v>-173.06864999999999</v>
      </c>
      <c r="Z90">
        <v>357.64719999999988</v>
      </c>
      <c r="AA90">
        <v>-312.66559999999942</v>
      </c>
      <c r="AB90">
        <v>38.749500000000218</v>
      </c>
      <c r="AC90">
        <v>129.94099999999989</v>
      </c>
      <c r="AD90">
        <v>-463.80599999999941</v>
      </c>
      <c r="AE90">
        <v>204.59299999999951</v>
      </c>
      <c r="AF90">
        <v>-420.30688499999962</v>
      </c>
      <c r="AG90">
        <v>-1757.9674999999979</v>
      </c>
      <c r="AH90">
        <v>-250.34354999999999</v>
      </c>
      <c r="AI90">
        <v>-3.1336880000000051</v>
      </c>
      <c r="AJ90">
        <v>-4.4531996000000031</v>
      </c>
      <c r="AK90">
        <v>0.20216600000000029</v>
      </c>
      <c r="AL90">
        <v>-11.292938400000009</v>
      </c>
      <c r="AM90">
        <v>-0.28579455999999909</v>
      </c>
      <c r="AN90">
        <v>-1.3528618000000019</v>
      </c>
      <c r="AO90">
        <v>-0.23873248000000011</v>
      </c>
      <c r="AP90">
        <v>-1.218579199999994</v>
      </c>
      <c r="AQ90">
        <v>-8.9241840000001071E-2</v>
      </c>
      <c r="AR90">
        <v>4.6798571999999768E-2</v>
      </c>
      <c r="AS90">
        <v>-0.30486232000000069</v>
      </c>
      <c r="AT90">
        <v>-1.5781400000000201</v>
      </c>
    </row>
    <row r="91" spans="1:46" x14ac:dyDescent="0.25">
      <c r="A91">
        <v>89</v>
      </c>
      <c r="B91">
        <v>9.7917499999999702</v>
      </c>
      <c r="C91">
        <v>0.54581619780219781</v>
      </c>
      <c r="D91">
        <v>0.1229881516984852</v>
      </c>
      <c r="E91">
        <v>-1.393462327367535E-2</v>
      </c>
      <c r="F91">
        <v>0.25190905734534308</v>
      </c>
      <c r="G91">
        <v>3.1516325999999988</v>
      </c>
      <c r="H91">
        <v>-4.321919799999999</v>
      </c>
      <c r="I91">
        <v>4.2596174000000033</v>
      </c>
      <c r="J91">
        <v>15.56841</v>
      </c>
      <c r="K91">
        <v>-6.2462992000000011</v>
      </c>
      <c r="L91">
        <v>-10.891816199999999</v>
      </c>
      <c r="M91">
        <v>-12.39451</v>
      </c>
      <c r="N91">
        <v>-18.665984000000002</v>
      </c>
      <c r="O91">
        <v>-30.473901999999999</v>
      </c>
      <c r="P91">
        <v>17.462394</v>
      </c>
      <c r="Q91">
        <v>-2.7550845999999991</v>
      </c>
      <c r="R91">
        <v>-3.3201128000000031</v>
      </c>
      <c r="S91">
        <v>-31.226752000000008</v>
      </c>
      <c r="T91">
        <v>-10.588179999999999</v>
      </c>
      <c r="U91">
        <v>-181.62442499999989</v>
      </c>
      <c r="V91">
        <v>92.716099999999983</v>
      </c>
      <c r="W91">
        <v>375.14059999999989</v>
      </c>
      <c r="X91">
        <v>356.17649999999998</v>
      </c>
      <c r="Y91">
        <v>-167.408525</v>
      </c>
      <c r="Z91">
        <v>356.68429999999978</v>
      </c>
      <c r="AA91">
        <v>-281.78274999999962</v>
      </c>
      <c r="AB91">
        <v>52.120250000000013</v>
      </c>
      <c r="AC91">
        <v>131.3052499999998</v>
      </c>
      <c r="AD91">
        <v>-422.75899999999962</v>
      </c>
      <c r="AE91">
        <v>169.96747499999981</v>
      </c>
      <c r="AF91">
        <v>-392.39309999999978</v>
      </c>
      <c r="AG91">
        <v>-1628.1552499999989</v>
      </c>
      <c r="AH91">
        <v>-238.34882499999989</v>
      </c>
      <c r="AI91">
        <v>-3.3705172000000019</v>
      </c>
      <c r="AJ91">
        <v>-4.5513750000000002</v>
      </c>
      <c r="AK91">
        <v>0.21256755999999999</v>
      </c>
      <c r="AL91">
        <v>-11.553430000000001</v>
      </c>
      <c r="AM91">
        <v>-0.25095763999999993</v>
      </c>
      <c r="AN91">
        <v>-1.4389297999999999</v>
      </c>
      <c r="AO91">
        <v>-0.24139198000000001</v>
      </c>
      <c r="AP91">
        <v>-0.95158115999999859</v>
      </c>
      <c r="AQ91">
        <v>-0.13761760000000031</v>
      </c>
      <c r="AR91">
        <v>3.6266761999999939E-2</v>
      </c>
      <c r="AS91">
        <v>-0.3369010600000002</v>
      </c>
      <c r="AT91">
        <v>-2.402666800000004</v>
      </c>
    </row>
    <row r="92" spans="1:46" x14ac:dyDescent="0.25">
      <c r="A92">
        <v>90</v>
      </c>
      <c r="B92">
        <v>9.7949999999999822</v>
      </c>
      <c r="C92">
        <v>0.54606362637362638</v>
      </c>
      <c r="D92">
        <v>8.2284184990053785E-2</v>
      </c>
      <c r="E92">
        <v>-1.0293548541074071E-2</v>
      </c>
      <c r="F92">
        <v>0.24360286825611549</v>
      </c>
      <c r="G92">
        <v>2.9696560000000001</v>
      </c>
      <c r="H92">
        <v>-4.2243079999999997</v>
      </c>
      <c r="I92">
        <v>4.6486839999999994</v>
      </c>
      <c r="J92">
        <v>15.9445</v>
      </c>
      <c r="K92">
        <v>-6.4125120000000004</v>
      </c>
      <c r="L92">
        <v>-10.521532000000001</v>
      </c>
      <c r="M92">
        <v>-12.6419</v>
      </c>
      <c r="N92">
        <v>-18.59074</v>
      </c>
      <c r="O92">
        <v>-30.334620000000001</v>
      </c>
      <c r="P92">
        <v>17.078140000000001</v>
      </c>
      <c r="Q92">
        <v>-2.630906</v>
      </c>
      <c r="R92">
        <v>-3.688148</v>
      </c>
      <c r="S92">
        <v>-32.718319999999999</v>
      </c>
      <c r="T92">
        <v>-10.821400000000001</v>
      </c>
      <c r="U92">
        <v>-175.46924999999999</v>
      </c>
      <c r="V92">
        <v>93.542249999999981</v>
      </c>
      <c r="W92">
        <v>373.08724999999993</v>
      </c>
      <c r="X92">
        <v>356.36500000000012</v>
      </c>
      <c r="Y92">
        <v>-160.86400000000009</v>
      </c>
      <c r="Z92">
        <v>354.45674999999989</v>
      </c>
      <c r="AA92">
        <v>-250.85249999999999</v>
      </c>
      <c r="AB92">
        <v>63.602499999999829</v>
      </c>
      <c r="AC92">
        <v>130.8274999999999</v>
      </c>
      <c r="AD92">
        <v>-374.815</v>
      </c>
      <c r="AE92">
        <v>135.11349999999999</v>
      </c>
      <c r="AF92">
        <v>-361.62599999999998</v>
      </c>
      <c r="AG92">
        <v>-1495.5650000000001</v>
      </c>
      <c r="AH92">
        <v>-222.14075000000011</v>
      </c>
      <c r="AI92">
        <v>-3.538602</v>
      </c>
      <c r="AJ92">
        <v>-4.5723700000000003</v>
      </c>
      <c r="AK92">
        <v>0.2154546</v>
      </c>
      <c r="AL92">
        <v>-11.399900000000001</v>
      </c>
      <c r="AM92">
        <v>-0.23177639999999999</v>
      </c>
      <c r="AN92">
        <v>-1.485228</v>
      </c>
      <c r="AO92">
        <v>-0.23992479999999999</v>
      </c>
      <c r="AP92">
        <v>-0.78642760000000012</v>
      </c>
      <c r="AQ92">
        <v>-0.16791800000000001</v>
      </c>
      <c r="AR92">
        <v>2.923852E-2</v>
      </c>
      <c r="AS92">
        <v>-0.35717559999999998</v>
      </c>
      <c r="AT92">
        <v>-2.8108979999999999</v>
      </c>
    </row>
    <row r="93" spans="1:46" x14ac:dyDescent="0.25">
      <c r="A93">
        <v>91</v>
      </c>
      <c r="B93">
        <v>9.7982499999999941</v>
      </c>
      <c r="C93">
        <v>0.54631105494505494</v>
      </c>
      <c r="D93">
        <v>5.8894743429888582E-2</v>
      </c>
      <c r="E93">
        <v>-4.2564073896063353E-3</v>
      </c>
      <c r="F93">
        <v>0.20589461018037311</v>
      </c>
      <c r="G93">
        <v>2.7876793999999991</v>
      </c>
      <c r="H93">
        <v>-4.1266961999999996</v>
      </c>
      <c r="I93">
        <v>5.0377506000000016</v>
      </c>
      <c r="J93">
        <v>16.320589999999999</v>
      </c>
      <c r="K93">
        <v>-6.5787248000000007</v>
      </c>
      <c r="L93">
        <v>-10.1512478</v>
      </c>
      <c r="M93">
        <v>-12.889290000000001</v>
      </c>
      <c r="N93">
        <v>-18.515495999999999</v>
      </c>
      <c r="O93">
        <v>-30.195338</v>
      </c>
      <c r="P93">
        <v>16.693885999999999</v>
      </c>
      <c r="Q93">
        <v>-2.5067273999999991</v>
      </c>
      <c r="R93">
        <v>-4.0561832000000022</v>
      </c>
      <c r="S93">
        <v>-34.209888000000007</v>
      </c>
      <c r="T93">
        <v>-11.05462</v>
      </c>
      <c r="U93">
        <v>-169.31407499999989</v>
      </c>
      <c r="V93">
        <v>94.368400000000008</v>
      </c>
      <c r="W93">
        <v>371.03390000000002</v>
      </c>
      <c r="X93">
        <v>356.55350000000021</v>
      </c>
      <c r="Y93">
        <v>-154.31947500000001</v>
      </c>
      <c r="Z93">
        <v>352.22919999999988</v>
      </c>
      <c r="AA93">
        <v>-219.92224999999979</v>
      </c>
      <c r="AB93">
        <v>75.084749999999815</v>
      </c>
      <c r="AC93">
        <v>130.34975</v>
      </c>
      <c r="AD93">
        <v>-326.87099999999981</v>
      </c>
      <c r="AE93">
        <v>100.2595249999998</v>
      </c>
      <c r="AF93">
        <v>-330.85889999999978</v>
      </c>
      <c r="AG93">
        <v>-1362.9747499999989</v>
      </c>
      <c r="AH93">
        <v>-205.9326749999999</v>
      </c>
      <c r="AI93">
        <v>-3.7066868000000008</v>
      </c>
      <c r="AJ93">
        <v>-4.5933650000000004</v>
      </c>
      <c r="AK93">
        <v>0.21834164</v>
      </c>
      <c r="AL93">
        <v>-11.246370000000001</v>
      </c>
      <c r="AM93">
        <v>-0.21259515999999989</v>
      </c>
      <c r="AN93">
        <v>-1.5315262000000001</v>
      </c>
      <c r="AO93">
        <v>-0.23845762000000001</v>
      </c>
      <c r="AP93">
        <v>-0.62127403999999908</v>
      </c>
      <c r="AQ93">
        <v>-0.19821840000000021</v>
      </c>
      <c r="AR93">
        <v>2.2210277999999958E-2</v>
      </c>
      <c r="AS93">
        <v>-0.3774501400000001</v>
      </c>
      <c r="AT93">
        <v>-3.219129200000002</v>
      </c>
    </row>
    <row r="94" spans="1:46" x14ac:dyDescent="0.25">
      <c r="A94">
        <v>92</v>
      </c>
      <c r="B94">
        <v>9.8015000000000061</v>
      </c>
      <c r="C94">
        <v>0.54655848351648351</v>
      </c>
      <c r="D94">
        <v>5.33788615991189E-2</v>
      </c>
      <c r="E94">
        <v>1.0157429341874371E-3</v>
      </c>
      <c r="F94">
        <v>0.1623635284264473</v>
      </c>
      <c r="G94">
        <v>2.6057028</v>
      </c>
      <c r="H94">
        <v>-4.0290844000000003</v>
      </c>
      <c r="I94">
        <v>5.4268171999999986</v>
      </c>
      <c r="J94">
        <v>16.696680000000001</v>
      </c>
      <c r="K94">
        <v>-6.7449375999999992</v>
      </c>
      <c r="L94">
        <v>-9.7809636000000015</v>
      </c>
      <c r="M94">
        <v>-13.13668</v>
      </c>
      <c r="N94">
        <v>-18.440252000000001</v>
      </c>
      <c r="O94">
        <v>-30.056056000000002</v>
      </c>
      <c r="P94">
        <v>16.309632000000001</v>
      </c>
      <c r="Q94">
        <v>-2.3825487999999999</v>
      </c>
      <c r="R94">
        <v>-4.4242183999999991</v>
      </c>
      <c r="S94">
        <v>-35.701456</v>
      </c>
      <c r="T94">
        <v>-11.287839999999999</v>
      </c>
      <c r="U94">
        <v>-163.15889999999999</v>
      </c>
      <c r="V94">
        <v>95.194550000000007</v>
      </c>
      <c r="W94">
        <v>368.98054999999999</v>
      </c>
      <c r="X94">
        <v>356.74200000000019</v>
      </c>
      <c r="Y94">
        <v>-147.7749500000001</v>
      </c>
      <c r="Z94">
        <v>350.00164999999998</v>
      </c>
      <c r="AA94">
        <v>-188.9920000000001</v>
      </c>
      <c r="AB94">
        <v>86.566999999999609</v>
      </c>
      <c r="AC94">
        <v>129.8720000000001</v>
      </c>
      <c r="AD94">
        <v>-278.92700000000019</v>
      </c>
      <c r="AE94">
        <v>65.405550000000105</v>
      </c>
      <c r="AF94">
        <v>-300.09179999999998</v>
      </c>
      <c r="AG94">
        <v>-1230.384500000001</v>
      </c>
      <c r="AH94">
        <v>-189.72460000000001</v>
      </c>
      <c r="AI94">
        <v>-3.874771599999999</v>
      </c>
      <c r="AJ94">
        <v>-4.6143599999999996</v>
      </c>
      <c r="AK94">
        <v>0.22122868000000001</v>
      </c>
      <c r="AL94">
        <v>-11.092840000000001</v>
      </c>
      <c r="AM94">
        <v>-0.1934139200000001</v>
      </c>
      <c r="AN94">
        <v>-1.5778243999999999</v>
      </c>
      <c r="AO94">
        <v>-0.23699044</v>
      </c>
      <c r="AP94">
        <v>-0.45612048000000049</v>
      </c>
      <c r="AQ94">
        <v>-0.22851879999999991</v>
      </c>
      <c r="AR94">
        <v>1.518203600000002E-2</v>
      </c>
      <c r="AS94">
        <v>-0.39772467999999989</v>
      </c>
      <c r="AT94">
        <v>-3.6273603999999988</v>
      </c>
    </row>
    <row r="95" spans="1:46" x14ac:dyDescent="0.25">
      <c r="A95">
        <v>93</v>
      </c>
      <c r="B95">
        <v>9.8020500000000101</v>
      </c>
      <c r="C95">
        <v>0.54679809890109887</v>
      </c>
      <c r="D95">
        <v>4.8805965396720337E-2</v>
      </c>
      <c r="E95">
        <v>1.8381399870712519E-3</v>
      </c>
      <c r="F95">
        <v>0.1114487074250439</v>
      </c>
      <c r="G95">
        <v>2.4434722000000009</v>
      </c>
      <c r="H95">
        <v>-3.9291812000000008</v>
      </c>
      <c r="I95">
        <v>5.8075983999999963</v>
      </c>
      <c r="J95">
        <v>17.065822000000001</v>
      </c>
      <c r="K95">
        <v>-6.8909057999999987</v>
      </c>
      <c r="L95">
        <v>-9.4203652000000044</v>
      </c>
      <c r="M95">
        <v>-13.299974000000001</v>
      </c>
      <c r="N95">
        <v>-18.339448000000001</v>
      </c>
      <c r="O95">
        <v>-29.922822</v>
      </c>
      <c r="P95">
        <v>16.077010000000001</v>
      </c>
      <c r="Q95">
        <v>-2.3515687999999999</v>
      </c>
      <c r="R95">
        <v>-4.7011663999999982</v>
      </c>
      <c r="S95">
        <v>-36.84078199999999</v>
      </c>
      <c r="T95">
        <v>-11.464162</v>
      </c>
      <c r="U95">
        <v>-155.7619500000001</v>
      </c>
      <c r="V95">
        <v>96.015975000000012</v>
      </c>
      <c r="W95">
        <v>365.72412500000007</v>
      </c>
      <c r="X95">
        <v>353.40700000000021</v>
      </c>
      <c r="Y95">
        <v>-140.42672500000009</v>
      </c>
      <c r="Z95">
        <v>346.19819999999999</v>
      </c>
      <c r="AA95">
        <v>-159.63900000000029</v>
      </c>
      <c r="AB95">
        <v>94.986999999999682</v>
      </c>
      <c r="AC95">
        <v>127.6955000000001</v>
      </c>
      <c r="AD95">
        <v>-223.4927500000006</v>
      </c>
      <c r="AE95">
        <v>33.605725000000277</v>
      </c>
      <c r="AF95">
        <v>-268.35832500000032</v>
      </c>
      <c r="AG95">
        <v>-1109.993750000001</v>
      </c>
      <c r="AH95">
        <v>-167.84900000000019</v>
      </c>
      <c r="AI95">
        <v>-3.915969</v>
      </c>
      <c r="AJ95">
        <v>-4.5695308000000008</v>
      </c>
      <c r="AK95">
        <v>0.22117128</v>
      </c>
      <c r="AL95">
        <v>-10.48959800000001</v>
      </c>
      <c r="AM95">
        <v>-0.21830009999999961</v>
      </c>
      <c r="AN95">
        <v>-1.5866142000000001</v>
      </c>
      <c r="AO95">
        <v>-0.23464863999999999</v>
      </c>
      <c r="AP95">
        <v>-0.33138372940000088</v>
      </c>
      <c r="AQ95">
        <v>-0.23630876000000001</v>
      </c>
      <c r="AR95">
        <v>1.013753800000004E-2</v>
      </c>
      <c r="AS95">
        <v>-0.40490601999999998</v>
      </c>
      <c r="AT95">
        <v>-3.6174516000000021</v>
      </c>
    </row>
    <row r="96" spans="1:46" x14ac:dyDescent="0.25">
      <c r="A96">
        <v>94</v>
      </c>
      <c r="B96">
        <v>9.8014000000000099</v>
      </c>
      <c r="C96">
        <v>0.54703424175824167</v>
      </c>
      <c r="D96">
        <v>3.7130703579701857E-2</v>
      </c>
      <c r="E96">
        <v>2.2219619605142338E-3</v>
      </c>
      <c r="F96">
        <v>7.2070763723753845E-2</v>
      </c>
      <c r="G96">
        <v>2.2900176000000001</v>
      </c>
      <c r="H96">
        <v>-3.8282596</v>
      </c>
      <c r="I96">
        <v>6.1846971999999996</v>
      </c>
      <c r="J96">
        <v>17.431875999999999</v>
      </c>
      <c r="K96">
        <v>-7.0278764000000002</v>
      </c>
      <c r="L96">
        <v>-9.0640716000000001</v>
      </c>
      <c r="M96">
        <v>-13.425891999999999</v>
      </c>
      <c r="N96">
        <v>-18.227284000000001</v>
      </c>
      <c r="O96">
        <v>-29.792276000000001</v>
      </c>
      <c r="P96">
        <v>15.91178</v>
      </c>
      <c r="Q96">
        <v>-2.3620104</v>
      </c>
      <c r="R96">
        <v>-4.9376312000000002</v>
      </c>
      <c r="S96">
        <v>-37.823556000000004</v>
      </c>
      <c r="T96">
        <v>-11.615195999999999</v>
      </c>
      <c r="U96">
        <v>-147.81309999999999</v>
      </c>
      <c r="V96">
        <v>96.835300000000018</v>
      </c>
      <c r="W96">
        <v>361.93299999999999</v>
      </c>
      <c r="X96">
        <v>348.50599999999997</v>
      </c>
      <c r="Y96">
        <v>-132.72130000000001</v>
      </c>
      <c r="Z96">
        <v>341.69434999999999</v>
      </c>
      <c r="AA96">
        <v>-130.98699999999999</v>
      </c>
      <c r="AB96">
        <v>102.04599999999991</v>
      </c>
      <c r="AC96">
        <v>124.7640000000001</v>
      </c>
      <c r="AD96">
        <v>-164.7295</v>
      </c>
      <c r="AE96">
        <v>3.1632999999999711</v>
      </c>
      <c r="AF96">
        <v>-236.19534999999999</v>
      </c>
      <c r="AG96">
        <v>-995.02499999999986</v>
      </c>
      <c r="AH96">
        <v>-143.4545</v>
      </c>
      <c r="AI96">
        <v>-3.9007719999999999</v>
      </c>
      <c r="AJ96">
        <v>-4.4954464000000014</v>
      </c>
      <c r="AK96">
        <v>0.21980524000000001</v>
      </c>
      <c r="AL96">
        <v>-9.6864840000000001</v>
      </c>
      <c r="AM96">
        <v>-0.2627718</v>
      </c>
      <c r="AN96">
        <v>-1.5787336000000001</v>
      </c>
      <c r="AO96">
        <v>-0.23191812000000001</v>
      </c>
      <c r="AP96">
        <v>-0.22461000519999991</v>
      </c>
      <c r="AQ96">
        <v>-0.23409408000000001</v>
      </c>
      <c r="AR96">
        <v>5.9747039999999991E-3</v>
      </c>
      <c r="AS96">
        <v>-0.40626815999999999</v>
      </c>
      <c r="AT96">
        <v>-3.4217027999999998</v>
      </c>
    </row>
    <row r="97" spans="1:46" x14ac:dyDescent="0.25">
      <c r="A97">
        <v>95</v>
      </c>
      <c r="B97">
        <v>9.8007500000000114</v>
      </c>
      <c r="C97">
        <v>0.54727038461538458</v>
      </c>
      <c r="D97">
        <v>1.636531424700912E-2</v>
      </c>
      <c r="E97">
        <v>4.2120732947838512E-3</v>
      </c>
      <c r="F97">
        <v>5.7013637820329303E-2</v>
      </c>
      <c r="G97">
        <v>2.1365630000000011</v>
      </c>
      <c r="H97">
        <v>-3.727338</v>
      </c>
      <c r="I97">
        <v>6.5617959999999984</v>
      </c>
      <c r="J97">
        <v>17.797930000000001</v>
      </c>
      <c r="K97">
        <v>-7.1648469999999991</v>
      </c>
      <c r="L97">
        <v>-8.7077780000000029</v>
      </c>
      <c r="M97">
        <v>-13.55181</v>
      </c>
      <c r="N97">
        <v>-18.115120000000001</v>
      </c>
      <c r="O97">
        <v>-29.661729999999999</v>
      </c>
      <c r="P97">
        <v>15.746549999999999</v>
      </c>
      <c r="Q97">
        <v>-2.372452</v>
      </c>
      <c r="R97">
        <v>-5.1740959999999987</v>
      </c>
      <c r="S97">
        <v>-38.806330000000003</v>
      </c>
      <c r="T97">
        <v>-11.76623</v>
      </c>
      <c r="U97">
        <v>-139.86425000000011</v>
      </c>
      <c r="V97">
        <v>97.654625000000024</v>
      </c>
      <c r="W97">
        <v>358.14187500000008</v>
      </c>
      <c r="X97">
        <v>343.6049999999999</v>
      </c>
      <c r="Y97">
        <v>-125.01587500000009</v>
      </c>
      <c r="Z97">
        <v>337.1905000000001</v>
      </c>
      <c r="AA97">
        <v>-102.33500000000009</v>
      </c>
      <c r="AB97">
        <v>109.1050000000001</v>
      </c>
      <c r="AC97">
        <v>121.83250000000019</v>
      </c>
      <c r="AD97">
        <v>-105.9662500000003</v>
      </c>
      <c r="AE97">
        <v>-27.279124999999901</v>
      </c>
      <c r="AF97">
        <v>-204.03237500000009</v>
      </c>
      <c r="AG97">
        <v>-880.05625000000043</v>
      </c>
      <c r="AH97">
        <v>-119.0600000000001</v>
      </c>
      <c r="AI97">
        <v>-3.8855749999999998</v>
      </c>
      <c r="AJ97">
        <v>-4.4213620000000002</v>
      </c>
      <c r="AK97">
        <v>0.2184392</v>
      </c>
      <c r="AL97">
        <v>-8.8833700000000029</v>
      </c>
      <c r="AM97">
        <v>-0.30724349999999978</v>
      </c>
      <c r="AN97">
        <v>-1.5708530000000001</v>
      </c>
      <c r="AO97">
        <v>-0.22918759999999999</v>
      </c>
      <c r="AP97">
        <v>-0.1178362810000005</v>
      </c>
      <c r="AQ97">
        <v>-0.23187940000000001</v>
      </c>
      <c r="AR97">
        <v>1.811870000000019E-3</v>
      </c>
      <c r="AS97">
        <v>-0.4076303</v>
      </c>
      <c r="AT97">
        <v>-3.2259540000000011</v>
      </c>
    </row>
    <row r="98" spans="1:46" x14ac:dyDescent="0.25">
      <c r="A98">
        <v>96</v>
      </c>
      <c r="B98">
        <v>9.8001000000000111</v>
      </c>
      <c r="C98">
        <v>0.54750652747252748</v>
      </c>
      <c r="D98">
        <v>-2.6634190113655068E-3</v>
      </c>
      <c r="E98">
        <v>-3.439535420500058E-3</v>
      </c>
      <c r="F98">
        <v>5.6412966061666688E-2</v>
      </c>
      <c r="G98">
        <v>1.983108400000001</v>
      </c>
      <c r="H98">
        <v>-3.626416400000001</v>
      </c>
      <c r="I98">
        <v>6.9388947999999964</v>
      </c>
      <c r="J98">
        <v>18.163983999999999</v>
      </c>
      <c r="K98">
        <v>-7.3018175999999988</v>
      </c>
      <c r="L98">
        <v>-8.3514844000000039</v>
      </c>
      <c r="M98">
        <v>-13.677728</v>
      </c>
      <c r="N98">
        <v>-18.002956000000001</v>
      </c>
      <c r="O98">
        <v>-29.531184</v>
      </c>
      <c r="P98">
        <v>15.58132</v>
      </c>
      <c r="Q98">
        <v>-2.3828936000000001</v>
      </c>
      <c r="R98">
        <v>-5.4105607999999972</v>
      </c>
      <c r="S98">
        <v>-39.789103999999988</v>
      </c>
      <c r="T98">
        <v>-11.917263999999999</v>
      </c>
      <c r="U98">
        <v>-131.91540000000009</v>
      </c>
      <c r="V98">
        <v>98.473950000000016</v>
      </c>
      <c r="W98">
        <v>354.35075000000012</v>
      </c>
      <c r="X98">
        <v>338.70399999999978</v>
      </c>
      <c r="Y98">
        <v>-117.3104500000001</v>
      </c>
      <c r="Z98">
        <v>332.6866500000001</v>
      </c>
      <c r="AA98">
        <v>-73.683000000000249</v>
      </c>
      <c r="AB98">
        <v>116.1640000000002</v>
      </c>
      <c r="AC98">
        <v>118.9010000000002</v>
      </c>
      <c r="AD98">
        <v>-47.203000000000628</v>
      </c>
      <c r="AE98">
        <v>-57.721549999999773</v>
      </c>
      <c r="AF98">
        <v>-171.8694000000003</v>
      </c>
      <c r="AG98">
        <v>-765.08750000000089</v>
      </c>
      <c r="AH98">
        <v>-94.665500000000179</v>
      </c>
      <c r="AI98">
        <v>-3.8703780000000001</v>
      </c>
      <c r="AJ98">
        <v>-4.3472776000000009</v>
      </c>
      <c r="AK98">
        <v>0.21707315999999999</v>
      </c>
      <c r="AL98">
        <v>-8.0802560000000074</v>
      </c>
      <c r="AM98">
        <v>-0.35171519999999962</v>
      </c>
      <c r="AN98">
        <v>-1.5629724</v>
      </c>
      <c r="AO98">
        <v>-0.22645708000000001</v>
      </c>
      <c r="AP98">
        <v>-1.1062556800001009E-2</v>
      </c>
      <c r="AQ98">
        <v>-0.22966471999999999</v>
      </c>
      <c r="AR98">
        <v>-2.3509639999999611E-3</v>
      </c>
      <c r="AS98">
        <v>-0.40899244000000001</v>
      </c>
      <c r="AT98">
        <v>-3.0302052000000019</v>
      </c>
    </row>
    <row r="99" spans="1:46" x14ac:dyDescent="0.25">
      <c r="A99">
        <v>97</v>
      </c>
      <c r="B99">
        <v>9.7964250000000082</v>
      </c>
      <c r="C99">
        <v>0.54772731868131863</v>
      </c>
      <c r="D99">
        <v>-7.903974824405708E-3</v>
      </c>
      <c r="E99">
        <v>-1.234997335297337E-3</v>
      </c>
      <c r="F99">
        <v>3.8996530622025877E-2</v>
      </c>
      <c r="G99">
        <v>1.8593274</v>
      </c>
      <c r="H99">
        <v>-3.5227491999999998</v>
      </c>
      <c r="I99">
        <v>7.3004572000000003</v>
      </c>
      <c r="J99">
        <v>18.505354000000001</v>
      </c>
      <c r="K99">
        <v>-7.4113718000000004</v>
      </c>
      <c r="L99">
        <v>-8.0138402000000006</v>
      </c>
      <c r="M99">
        <v>-13.712478000000001</v>
      </c>
      <c r="N99">
        <v>-17.874248000000001</v>
      </c>
      <c r="O99">
        <v>-29.41309</v>
      </c>
      <c r="P99">
        <v>15.628544</v>
      </c>
      <c r="Q99">
        <v>-2.4854976</v>
      </c>
      <c r="R99">
        <v>-5.5406358000000004</v>
      </c>
      <c r="S99">
        <v>-40.424146</v>
      </c>
      <c r="T99">
        <v>-11.972708000000001</v>
      </c>
      <c r="U99">
        <v>-122.75709999999999</v>
      </c>
      <c r="V99">
        <v>99.282550000000015</v>
      </c>
      <c r="W99">
        <v>349.34247500000009</v>
      </c>
      <c r="X99">
        <v>330.20874999999972</v>
      </c>
      <c r="Y99">
        <v>-109.184275</v>
      </c>
      <c r="Z99">
        <v>326.74592500000011</v>
      </c>
      <c r="AA99">
        <v>-48.658249999999953</v>
      </c>
      <c r="AB99">
        <v>119.9092500000003</v>
      </c>
      <c r="AC99">
        <v>115.50750000000011</v>
      </c>
      <c r="AD99">
        <v>15.473499999999969</v>
      </c>
      <c r="AE99">
        <v>-81.953925000000027</v>
      </c>
      <c r="AF99">
        <v>-143.1849</v>
      </c>
      <c r="AG99">
        <v>-672.15724999999975</v>
      </c>
      <c r="AH99">
        <v>-64.55374999999998</v>
      </c>
      <c r="AI99">
        <v>-3.783604</v>
      </c>
      <c r="AJ99">
        <v>-4.2363102000000001</v>
      </c>
      <c r="AK99">
        <v>0.21949618000000001</v>
      </c>
      <c r="AL99">
        <v>-7.2024321999999996</v>
      </c>
      <c r="AM99">
        <v>-0.40396675999999998</v>
      </c>
      <c r="AN99">
        <v>-1.5372783999999999</v>
      </c>
      <c r="AO99">
        <v>-0.22249632</v>
      </c>
      <c r="AP99">
        <v>0.31076065260000008</v>
      </c>
      <c r="AQ99">
        <v>-0.2161988</v>
      </c>
      <c r="AR99">
        <v>-4.5708459999999999E-3</v>
      </c>
      <c r="AS99">
        <v>-0.40111612000000002</v>
      </c>
      <c r="AT99">
        <v>-2.7211630000000002</v>
      </c>
    </row>
    <row r="100" spans="1:46" x14ac:dyDescent="0.25">
      <c r="A100">
        <v>98</v>
      </c>
      <c r="B100">
        <v>9.7922000000000047</v>
      </c>
      <c r="C100">
        <v>0.54794531868131868</v>
      </c>
      <c r="D100">
        <v>-8.6121070478459918E-3</v>
      </c>
      <c r="E100">
        <v>-4.0936778136839713E-3</v>
      </c>
      <c r="F100">
        <v>5.2724225389879573E-2</v>
      </c>
      <c r="G100">
        <v>1.7409416000000011</v>
      </c>
      <c r="H100">
        <v>-3.4185827999999998</v>
      </c>
      <c r="I100">
        <v>7.6591947999999981</v>
      </c>
      <c r="J100">
        <v>18.842236</v>
      </c>
      <c r="K100">
        <v>-7.5159411999999994</v>
      </c>
      <c r="L100">
        <v>-7.6795868000000018</v>
      </c>
      <c r="M100">
        <v>-13.730651999999999</v>
      </c>
      <c r="N100">
        <v>-17.742532000000001</v>
      </c>
      <c r="O100">
        <v>-29.297260000000001</v>
      </c>
      <c r="P100">
        <v>15.714396000000001</v>
      </c>
      <c r="Q100">
        <v>-2.604858399999999</v>
      </c>
      <c r="R100">
        <v>-5.6513671999999993</v>
      </c>
      <c r="S100">
        <v>-40.995964000000001</v>
      </c>
      <c r="T100">
        <v>-12.010771999999999</v>
      </c>
      <c r="U100">
        <v>-113.3789000000001</v>
      </c>
      <c r="V100">
        <v>100.08920000000001</v>
      </c>
      <c r="W100">
        <v>344.11290000000008</v>
      </c>
      <c r="X100">
        <v>321.05999999999972</v>
      </c>
      <c r="Y100">
        <v>-100.9816000000001</v>
      </c>
      <c r="Z100">
        <v>320.54395000000011</v>
      </c>
      <c r="AA100">
        <v>-24.293000000000049</v>
      </c>
      <c r="AB100">
        <v>123.05200000000021</v>
      </c>
      <c r="AC100">
        <v>112.03</v>
      </c>
      <c r="AD100">
        <v>78.861499999999722</v>
      </c>
      <c r="AE100">
        <v>-105.0571999999999</v>
      </c>
      <c r="AF100">
        <v>-115.1328500000002</v>
      </c>
      <c r="AG100">
        <v>-583.23400000000015</v>
      </c>
      <c r="AH100">
        <v>-33.40250000000016</v>
      </c>
      <c r="AI100">
        <v>-3.6838160000000002</v>
      </c>
      <c r="AJ100">
        <v>-4.1186368000000009</v>
      </c>
      <c r="AK100">
        <v>0.22260811999999999</v>
      </c>
      <c r="AL100">
        <v>-6.3110248000000038</v>
      </c>
      <c r="AM100">
        <v>-0.45763283999999982</v>
      </c>
      <c r="AN100">
        <v>-1.5083456</v>
      </c>
      <c r="AO100">
        <v>-0.21831188000000001</v>
      </c>
      <c r="AP100">
        <v>0.67168376839999833</v>
      </c>
      <c r="AQ100">
        <v>-0.20068720000000009</v>
      </c>
      <c r="AR100">
        <v>-6.4374639999999917E-3</v>
      </c>
      <c r="AS100">
        <v>-0.39156007999999998</v>
      </c>
      <c r="AT100">
        <v>-2.391522000000001</v>
      </c>
    </row>
    <row r="101" spans="1:46" x14ac:dyDescent="0.25">
      <c r="A101">
        <v>99</v>
      </c>
      <c r="B101">
        <v>9.7879750000000012</v>
      </c>
      <c r="C101">
        <v>0.54816331868131862</v>
      </c>
      <c r="D101">
        <v>1.1879241204048509E-2</v>
      </c>
      <c r="E101">
        <v>-1.192711308120728E-2</v>
      </c>
      <c r="F101">
        <v>8.2115866953667835E-2</v>
      </c>
      <c r="G101">
        <v>1.6225557999999991</v>
      </c>
      <c r="H101">
        <v>-3.3144163999999989</v>
      </c>
      <c r="I101">
        <v>8.017932400000003</v>
      </c>
      <c r="J101">
        <v>19.179117999999999</v>
      </c>
      <c r="K101">
        <v>-7.6205106000000002</v>
      </c>
      <c r="L101">
        <v>-7.3453333999999986</v>
      </c>
      <c r="M101">
        <v>-13.748825999999999</v>
      </c>
      <c r="N101">
        <v>-17.610816</v>
      </c>
      <c r="O101">
        <v>-29.181429999999999</v>
      </c>
      <c r="P101">
        <v>15.800248</v>
      </c>
      <c r="Q101">
        <v>-2.7242192000000012</v>
      </c>
      <c r="R101">
        <v>-5.7620986000000007</v>
      </c>
      <c r="S101">
        <v>-41.567782000000001</v>
      </c>
      <c r="T101">
        <v>-12.048836</v>
      </c>
      <c r="U101">
        <v>-104.00069999999999</v>
      </c>
      <c r="V101">
        <v>100.89585</v>
      </c>
      <c r="W101">
        <v>338.88332500000013</v>
      </c>
      <c r="X101">
        <v>311.9112499999996</v>
      </c>
      <c r="Y101">
        <v>-92.778924999999987</v>
      </c>
      <c r="Z101">
        <v>314.34197499999999</v>
      </c>
      <c r="AA101">
        <v>7.225000000020998E-2</v>
      </c>
      <c r="AB101">
        <v>126.1947500000002</v>
      </c>
      <c r="AC101">
        <v>108.5524999999999</v>
      </c>
      <c r="AD101">
        <v>142.24950000000041</v>
      </c>
      <c r="AE101">
        <v>-128.1604750000001</v>
      </c>
      <c r="AF101">
        <v>-87.080799999999925</v>
      </c>
      <c r="AG101">
        <v>-494.3107499999993</v>
      </c>
      <c r="AH101">
        <v>-2.2512499999998989</v>
      </c>
      <c r="AI101">
        <v>-3.584028</v>
      </c>
      <c r="AJ101">
        <v>-4.0009633999999998</v>
      </c>
      <c r="AK101">
        <v>0.22572006</v>
      </c>
      <c r="AL101">
        <v>-5.4196173999999946</v>
      </c>
      <c r="AM101">
        <v>-0.51129892000000032</v>
      </c>
      <c r="AN101">
        <v>-1.4794128</v>
      </c>
      <c r="AO101">
        <v>-0.21412744</v>
      </c>
      <c r="AP101">
        <v>1.032606884200002</v>
      </c>
      <c r="AQ101">
        <v>-0.18517559999999991</v>
      </c>
      <c r="AR101">
        <v>-8.3040820000000078E-3</v>
      </c>
      <c r="AS101">
        <v>-0.38200403999999988</v>
      </c>
      <c r="AT101">
        <v>-2.0618809999999979</v>
      </c>
    </row>
    <row r="102" spans="1:46" x14ac:dyDescent="0.25">
      <c r="A102">
        <v>100</v>
      </c>
      <c r="B102">
        <v>9.7837499999999977</v>
      </c>
      <c r="C102">
        <v>0.54838131868131867</v>
      </c>
      <c r="D102">
        <v>1.6306081700041279E-3</v>
      </c>
      <c r="E102">
        <v>3.5143025069023911E-3</v>
      </c>
      <c r="F102">
        <v>4.5137397944700022E-2</v>
      </c>
      <c r="G102">
        <v>1.50417</v>
      </c>
      <c r="H102">
        <v>-3.2102499999999998</v>
      </c>
      <c r="I102">
        <v>8.3766700000000007</v>
      </c>
      <c r="J102">
        <v>19.515999999999998</v>
      </c>
      <c r="K102">
        <v>-7.7250800000000002</v>
      </c>
      <c r="L102">
        <v>-7.0110799999999998</v>
      </c>
      <c r="M102">
        <v>-13.766999999999999</v>
      </c>
      <c r="N102">
        <v>-17.479099999999999</v>
      </c>
      <c r="O102">
        <v>-29.0656</v>
      </c>
      <c r="P102">
        <v>15.886100000000001</v>
      </c>
      <c r="Q102">
        <v>-2.8435800000000002</v>
      </c>
      <c r="R102">
        <v>-5.8728300000000004</v>
      </c>
      <c r="S102">
        <v>-42.139600000000002</v>
      </c>
      <c r="T102">
        <v>-12.0869</v>
      </c>
      <c r="U102">
        <v>-94.622500000000002</v>
      </c>
      <c r="V102">
        <v>101.7025</v>
      </c>
      <c r="W102">
        <v>333.65375000000012</v>
      </c>
      <c r="X102">
        <v>302.76249999999959</v>
      </c>
      <c r="Y102">
        <v>-84.576250000000016</v>
      </c>
      <c r="Z102">
        <v>308.1400000000001</v>
      </c>
      <c r="AA102">
        <v>24.43750000000011</v>
      </c>
      <c r="AB102">
        <v>129.33750000000009</v>
      </c>
      <c r="AC102">
        <v>105.0749999999998</v>
      </c>
      <c r="AD102">
        <v>205.6375000000001</v>
      </c>
      <c r="AE102">
        <v>-151.26374999999999</v>
      </c>
      <c r="AF102">
        <v>-59.028750000000073</v>
      </c>
      <c r="AG102">
        <v>-405.38749999999982</v>
      </c>
      <c r="AH102">
        <v>28.89999999999992</v>
      </c>
      <c r="AI102">
        <v>-3.4842399999999998</v>
      </c>
      <c r="AJ102">
        <v>-3.8832900000000001</v>
      </c>
      <c r="AK102">
        <v>0.22883200000000001</v>
      </c>
      <c r="AL102">
        <v>-4.5282099999999996</v>
      </c>
      <c r="AM102">
        <v>-0.56496500000000005</v>
      </c>
      <c r="AN102">
        <v>-1.45048</v>
      </c>
      <c r="AO102">
        <v>-0.20994299999999999</v>
      </c>
      <c r="AP102">
        <v>1.3935299999999999</v>
      </c>
      <c r="AQ102">
        <v>-0.16966400000000001</v>
      </c>
      <c r="AR102">
        <v>-1.01707E-2</v>
      </c>
      <c r="AS102">
        <v>-0.372448</v>
      </c>
      <c r="AT102">
        <v>-1.73224</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CCBD5E-675D-4FD8-A2E5-D4E97AD0C807}">
  <sheetPr codeName="Sheet8">
    <tabColor rgb="FF6495EC"/>
  </sheetPr>
  <dimension ref="A1:Q17"/>
  <sheetViews>
    <sheetView workbookViewId="0">
      <selection sqref="A1:XFD1048576"/>
    </sheetView>
  </sheetViews>
  <sheetFormatPr defaultRowHeight="15" x14ac:dyDescent="0.25"/>
  <cols>
    <col min="1" max="1" width="20.7109375" customWidth="1"/>
  </cols>
  <sheetData>
    <row r="1" spans="1:17" x14ac:dyDescent="0.25">
      <c r="A1" s="1" t="s">
        <v>0</v>
      </c>
      <c r="C1" s="1" t="s">
        <v>10</v>
      </c>
    </row>
    <row r="2" spans="1:17" x14ac:dyDescent="0.25">
      <c r="A2" s="1" t="s">
        <v>1</v>
      </c>
      <c r="B2" t="s">
        <v>119</v>
      </c>
      <c r="G2" s="1" t="s">
        <v>69</v>
      </c>
      <c r="H2" s="1" t="s">
        <v>70</v>
      </c>
      <c r="I2" s="1" t="s">
        <v>71</v>
      </c>
      <c r="J2" s="1" t="s">
        <v>72</v>
      </c>
      <c r="L2" s="1" t="s">
        <v>73</v>
      </c>
      <c r="M2" s="1" t="s">
        <v>74</v>
      </c>
      <c r="N2" s="1" t="s">
        <v>75</v>
      </c>
      <c r="O2" s="1" t="s">
        <v>76</v>
      </c>
      <c r="P2" s="1" t="s">
        <v>77</v>
      </c>
      <c r="Q2" s="1" t="s">
        <v>78</v>
      </c>
    </row>
    <row r="3" spans="1:17" x14ac:dyDescent="0.25">
      <c r="D3" s="1" t="s">
        <v>11</v>
      </c>
      <c r="F3" s="1" t="s">
        <v>117</v>
      </c>
      <c r="G3">
        <v>9.1612499999999937</v>
      </c>
      <c r="H3">
        <v>0.54745329670329668</v>
      </c>
      <c r="I3">
        <v>252.23</v>
      </c>
      <c r="J3">
        <v>10.92436974789916</v>
      </c>
      <c r="K3" s="1" t="s">
        <v>79</v>
      </c>
      <c r="L3">
        <v>19.668099999999999</v>
      </c>
      <c r="M3">
        <v>9.5479299999999991</v>
      </c>
      <c r="N3">
        <v>41.419800000000002</v>
      </c>
      <c r="O3">
        <v>49.830800000000004</v>
      </c>
      <c r="P3">
        <v>27.278600000000001</v>
      </c>
      <c r="Q3">
        <v>-1.0833699999999999</v>
      </c>
    </row>
    <row r="4" spans="1:17" x14ac:dyDescent="0.25">
      <c r="A4" s="1" t="s">
        <v>3</v>
      </c>
      <c r="B4" t="s">
        <v>4</v>
      </c>
      <c r="C4" s="1" t="s">
        <v>12</v>
      </c>
      <c r="D4">
        <v>237.15412902832031</v>
      </c>
      <c r="F4" s="1" t="s">
        <v>113</v>
      </c>
      <c r="G4">
        <v>9.0774999999999846</v>
      </c>
      <c r="H4">
        <v>0.53242417582417578</v>
      </c>
      <c r="K4" s="1" t="s">
        <v>80</v>
      </c>
      <c r="L4">
        <v>6.8967299999999998</v>
      </c>
      <c r="M4">
        <v>-5.9626099999999997</v>
      </c>
      <c r="N4">
        <v>2.5032100000000002</v>
      </c>
      <c r="O4">
        <v>3.2454100000000001</v>
      </c>
    </row>
    <row r="5" spans="1:17" x14ac:dyDescent="0.25">
      <c r="A5" s="1" t="s">
        <v>5</v>
      </c>
      <c r="B5">
        <v>70.360000610351563</v>
      </c>
      <c r="C5" s="1" t="s">
        <v>13</v>
      </c>
      <c r="D5">
        <v>9.2605762481689453</v>
      </c>
      <c r="F5" s="1" t="s">
        <v>114</v>
      </c>
      <c r="G5">
        <v>9.4862499999999841</v>
      </c>
      <c r="H5">
        <v>0.55047802197802198</v>
      </c>
      <c r="K5" s="1" t="s">
        <v>81</v>
      </c>
      <c r="L5">
        <v>-0.40233799999999997</v>
      </c>
      <c r="M5">
        <v>9.3308700000000009</v>
      </c>
      <c r="N5">
        <v>-15.515599999999999</v>
      </c>
      <c r="O5">
        <v>17.325600000000001</v>
      </c>
    </row>
    <row r="6" spans="1:17" x14ac:dyDescent="0.25">
      <c r="A6" s="1" t="s">
        <v>6</v>
      </c>
      <c r="B6">
        <v>1820</v>
      </c>
      <c r="C6" s="1" t="s">
        <v>14</v>
      </c>
      <c r="D6">
        <v>0.50600004196166992</v>
      </c>
      <c r="F6" s="1" t="s">
        <v>115</v>
      </c>
      <c r="G6">
        <v>8.3750000000009095E-2</v>
      </c>
      <c r="H6">
        <v>1.5029120879120891E-2</v>
      </c>
      <c r="K6" s="1" t="s">
        <v>82</v>
      </c>
      <c r="L6">
        <v>9.0432999999999986</v>
      </c>
      <c r="M6">
        <v>8.7826639999999987</v>
      </c>
      <c r="N6">
        <v>56.4803</v>
      </c>
      <c r="O6">
        <v>30.670999999999999</v>
      </c>
      <c r="P6">
        <v>66.512200000000007</v>
      </c>
      <c r="Q6">
        <v>12.54243</v>
      </c>
    </row>
    <row r="7" spans="1:17" x14ac:dyDescent="0.25">
      <c r="A7" s="1" t="s">
        <v>7</v>
      </c>
      <c r="B7">
        <v>960</v>
      </c>
      <c r="C7" s="1" t="s">
        <v>15</v>
      </c>
      <c r="D7">
        <v>0.23999994993209839</v>
      </c>
      <c r="F7" s="1" t="s">
        <v>116</v>
      </c>
      <c r="G7">
        <v>1.035475508254877</v>
      </c>
      <c r="H7">
        <v>1.005525083679174</v>
      </c>
      <c r="K7" s="1" t="s">
        <v>83</v>
      </c>
      <c r="L7">
        <v>11.23029</v>
      </c>
      <c r="M7">
        <v>6.5181900000000006</v>
      </c>
      <c r="N7">
        <v>12.93571</v>
      </c>
      <c r="O7">
        <v>10.31141</v>
      </c>
    </row>
    <row r="8" spans="1:17" x14ac:dyDescent="0.25">
      <c r="A8" s="1" t="s">
        <v>8</v>
      </c>
      <c r="B8">
        <v>71</v>
      </c>
      <c r="C8" s="1" t="s">
        <v>16</v>
      </c>
      <c r="D8">
        <v>52.569179534912109</v>
      </c>
      <c r="K8" s="1" t="s">
        <v>84</v>
      </c>
      <c r="L8">
        <v>10.215662</v>
      </c>
      <c r="M8">
        <v>21.118970000000001</v>
      </c>
      <c r="N8">
        <v>5.888300000000001</v>
      </c>
      <c r="O8">
        <v>21.515640000000001</v>
      </c>
    </row>
    <row r="9" spans="1:17" x14ac:dyDescent="0.25">
      <c r="A9" s="1" t="s">
        <v>9</v>
      </c>
      <c r="B9">
        <v>76</v>
      </c>
      <c r="C9" s="1" t="s">
        <v>17</v>
      </c>
      <c r="D9">
        <v>23.517824172973629</v>
      </c>
      <c r="K9" s="1" t="s">
        <v>85</v>
      </c>
      <c r="L9">
        <v>181.4</v>
      </c>
      <c r="M9">
        <v>6.6487500000000921</v>
      </c>
      <c r="N9">
        <v>-129.31249999999989</v>
      </c>
      <c r="O9">
        <v>397.20000000000073</v>
      </c>
      <c r="P9">
        <v>834.37</v>
      </c>
      <c r="Q9">
        <v>254.6739125</v>
      </c>
    </row>
    <row r="10" spans="1:17" x14ac:dyDescent="0.25">
      <c r="C10" s="1" t="s">
        <v>18</v>
      </c>
      <c r="D10">
        <v>4.68585205078125</v>
      </c>
      <c r="K10" s="1" t="s">
        <v>86</v>
      </c>
      <c r="L10">
        <v>5.8000000000000274</v>
      </c>
      <c r="M10">
        <v>113.34</v>
      </c>
      <c r="N10">
        <v>170.398</v>
      </c>
      <c r="O10">
        <v>285.07499999999999</v>
      </c>
    </row>
    <row r="11" spans="1:17" x14ac:dyDescent="0.25">
      <c r="C11" s="1" t="s">
        <v>19</v>
      </c>
      <c r="D11">
        <v>2.3109734058380131</v>
      </c>
      <c r="K11" s="1" t="s">
        <v>87</v>
      </c>
      <c r="L11">
        <v>229.6825</v>
      </c>
      <c r="M11">
        <v>338.07749999999999</v>
      </c>
      <c r="N11">
        <v>79.237500000000068</v>
      </c>
      <c r="O11">
        <v>506.49999999999989</v>
      </c>
    </row>
    <row r="12" spans="1:17" x14ac:dyDescent="0.25">
      <c r="C12" s="1" t="s">
        <v>20</v>
      </c>
      <c r="D12">
        <v>20.186898112297062</v>
      </c>
    </row>
    <row r="13" spans="1:17" x14ac:dyDescent="0.25">
      <c r="C13" s="1" t="s">
        <v>21</v>
      </c>
      <c r="D13">
        <v>0</v>
      </c>
    </row>
    <row r="14" spans="1:17" x14ac:dyDescent="0.25">
      <c r="C14" s="1" t="s">
        <v>16</v>
      </c>
      <c r="D14">
        <v>52.569179534912109</v>
      </c>
    </row>
    <row r="15" spans="1:17" x14ac:dyDescent="0.25">
      <c r="C15" s="1" t="s">
        <v>22</v>
      </c>
      <c r="D15">
        <v>0.1750002056360245</v>
      </c>
    </row>
    <row r="16" spans="1:17" x14ac:dyDescent="0.25">
      <c r="C16" s="1" t="s">
        <v>23</v>
      </c>
      <c r="D16">
        <v>76.482175827026367</v>
      </c>
    </row>
    <row r="17" spans="3:4" x14ac:dyDescent="0.25">
      <c r="C17" s="1" t="s">
        <v>118</v>
      </c>
      <c r="D17">
        <v>34.585018008611343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DB0C94-57CB-48E3-A5E4-862F90818E59}">
  <sheetPr codeName="Sheet9">
    <tabColor rgb="FF6495EC"/>
  </sheetPr>
  <dimension ref="A1:AT102"/>
  <sheetViews>
    <sheetView workbookViewId="0">
      <pane xSplit="1" ySplit="1" topLeftCell="AL2" activePane="bottomRight" state="frozen"/>
      <selection pane="topRight" activeCell="B1" sqref="B1"/>
      <selection pane="bottomLeft" activeCell="A2" sqref="A2"/>
      <selection pane="bottomRight" sqref="A1:XFD1048576"/>
    </sheetView>
  </sheetViews>
  <sheetFormatPr defaultRowHeight="15" x14ac:dyDescent="0.25"/>
  <cols>
    <col min="1" max="47" width="25.7109375" customWidth="1"/>
  </cols>
  <sheetData>
    <row r="1" spans="1:46" x14ac:dyDescent="0.25">
      <c r="A1" s="2" t="s">
        <v>250</v>
      </c>
      <c r="B1" s="2" t="s">
        <v>24</v>
      </c>
      <c r="C1" s="2" t="s">
        <v>251</v>
      </c>
      <c r="D1" s="2" t="s">
        <v>26</v>
      </c>
      <c r="E1" s="2" t="s">
        <v>27</v>
      </c>
      <c r="F1" s="2" t="s">
        <v>28</v>
      </c>
      <c r="G1" s="2" t="s">
        <v>29</v>
      </c>
      <c r="H1" s="2" t="s">
        <v>30</v>
      </c>
      <c r="I1" s="2" t="s">
        <v>31</v>
      </c>
      <c r="J1" s="2" t="s">
        <v>32</v>
      </c>
      <c r="K1" s="2" t="s">
        <v>33</v>
      </c>
      <c r="L1" s="2" t="s">
        <v>34</v>
      </c>
      <c r="M1" s="2" t="s">
        <v>35</v>
      </c>
      <c r="N1" s="2" t="s">
        <v>36</v>
      </c>
      <c r="O1" s="2" t="s">
        <v>37</v>
      </c>
      <c r="P1" s="2" t="s">
        <v>38</v>
      </c>
      <c r="Q1" s="2" t="s">
        <v>39</v>
      </c>
      <c r="R1" s="2" t="s">
        <v>40</v>
      </c>
      <c r="S1" s="2" t="s">
        <v>41</v>
      </c>
      <c r="T1" s="2" t="s">
        <v>42</v>
      </c>
      <c r="U1" s="2" t="s">
        <v>43</v>
      </c>
      <c r="V1" s="2" t="s">
        <v>44</v>
      </c>
      <c r="W1" s="2" t="s">
        <v>45</v>
      </c>
      <c r="X1" s="2" t="s">
        <v>46</v>
      </c>
      <c r="Y1" s="2" t="s">
        <v>47</v>
      </c>
      <c r="Z1" s="2" t="s">
        <v>48</v>
      </c>
      <c r="AA1" s="2" t="s">
        <v>49</v>
      </c>
      <c r="AB1" s="2" t="s">
        <v>50</v>
      </c>
      <c r="AC1" s="2" t="s">
        <v>51</v>
      </c>
      <c r="AD1" s="2" t="s">
        <v>52</v>
      </c>
      <c r="AE1" s="2" t="s">
        <v>53</v>
      </c>
      <c r="AF1" s="2" t="s">
        <v>54</v>
      </c>
      <c r="AG1" s="2" t="s">
        <v>55</v>
      </c>
      <c r="AH1" s="2" t="s">
        <v>56</v>
      </c>
      <c r="AI1" s="2" t="s">
        <v>57</v>
      </c>
      <c r="AJ1" s="2" t="s">
        <v>58</v>
      </c>
      <c r="AK1" s="2" t="s">
        <v>59</v>
      </c>
      <c r="AL1" s="2" t="s">
        <v>60</v>
      </c>
      <c r="AM1" s="2" t="s">
        <v>61</v>
      </c>
      <c r="AN1" s="2" t="s">
        <v>62</v>
      </c>
      <c r="AO1" s="2" t="s">
        <v>63</v>
      </c>
      <c r="AP1" s="2" t="s">
        <v>64</v>
      </c>
      <c r="AQ1" s="2" t="s">
        <v>65</v>
      </c>
      <c r="AR1" s="2" t="s">
        <v>66</v>
      </c>
      <c r="AS1" s="2" t="s">
        <v>67</v>
      </c>
      <c r="AT1" s="2" t="s">
        <v>68</v>
      </c>
    </row>
    <row r="2" spans="1:46" x14ac:dyDescent="0.25">
      <c r="A2">
        <v>0</v>
      </c>
      <c r="B2">
        <v>9.1612499999999937</v>
      </c>
      <c r="C2">
        <v>0.54745329670329668</v>
      </c>
      <c r="D2">
        <v>-3.3584857756485613E-2</v>
      </c>
      <c r="E2">
        <v>-5.2301283903137687E-2</v>
      </c>
      <c r="F2">
        <v>0.56181909456832757</v>
      </c>
      <c r="G2">
        <v>9.5479299999999991</v>
      </c>
      <c r="H2">
        <v>-11.163</v>
      </c>
      <c r="I2">
        <v>-11.7881</v>
      </c>
      <c r="J2">
        <v>10.6248</v>
      </c>
      <c r="K2">
        <v>6.8742999999999999</v>
      </c>
      <c r="L2">
        <v>-1.69255</v>
      </c>
      <c r="M2">
        <v>41.419800000000002</v>
      </c>
      <c r="N2">
        <v>-2.5479500000000002</v>
      </c>
      <c r="O2">
        <v>-17.247399999999999</v>
      </c>
      <c r="P2">
        <v>36.222499999999997</v>
      </c>
      <c r="Q2">
        <v>3.2454100000000001</v>
      </c>
      <c r="R2">
        <v>5.9590300000000003</v>
      </c>
      <c r="S2">
        <v>-1.09585</v>
      </c>
      <c r="T2">
        <v>-10.8407</v>
      </c>
      <c r="U2">
        <v>-12.66125000000007</v>
      </c>
      <c r="V2">
        <v>-69.337500000000048</v>
      </c>
      <c r="W2">
        <v>210.1124999999999</v>
      </c>
      <c r="X2">
        <v>70.287500000000051</v>
      </c>
      <c r="Y2">
        <v>5.8000000000000274</v>
      </c>
      <c r="Z2">
        <v>-122.05500000000001</v>
      </c>
      <c r="AA2">
        <v>-298.77499999999998</v>
      </c>
      <c r="AB2">
        <v>128.04249999999999</v>
      </c>
      <c r="AC2">
        <v>64.350000000000122</v>
      </c>
      <c r="AD2">
        <v>370.28750000000082</v>
      </c>
      <c r="AE2">
        <v>-109.24</v>
      </c>
      <c r="AF2">
        <v>506.49999999999989</v>
      </c>
      <c r="AG2">
        <v>642.4425</v>
      </c>
      <c r="AH2">
        <v>188.17500000000001</v>
      </c>
      <c r="AI2">
        <v>4.3820699999999997</v>
      </c>
      <c r="AJ2">
        <v>1.2435400000000001</v>
      </c>
      <c r="AK2">
        <v>-0.42342600000000002</v>
      </c>
      <c r="AL2">
        <v>25.735700000000001</v>
      </c>
      <c r="AM2">
        <v>-1.3977599999999999</v>
      </c>
      <c r="AN2">
        <v>0.69026999999999994</v>
      </c>
      <c r="AO2">
        <v>0.15921199999999999</v>
      </c>
      <c r="AP2">
        <v>7.7857500000000002</v>
      </c>
      <c r="AQ2">
        <v>0.83738699999999999</v>
      </c>
      <c r="AR2">
        <v>3.2044299999999998E-2</v>
      </c>
      <c r="AS2">
        <v>0.15931400000000001</v>
      </c>
      <c r="AT2">
        <v>-7.3780000000000001</v>
      </c>
    </row>
    <row r="3" spans="1:46" x14ac:dyDescent="0.25">
      <c r="A3">
        <v>1</v>
      </c>
      <c r="B3">
        <v>9.1565374999999989</v>
      </c>
      <c r="C3">
        <v>0.54683330219780224</v>
      </c>
      <c r="D3">
        <v>-8.6814413744944835E-2</v>
      </c>
      <c r="E3">
        <v>-4.4719491786428978E-2</v>
      </c>
      <c r="F3">
        <v>0.85100599979950653</v>
      </c>
      <c r="G3">
        <v>9.5298137000000001</v>
      </c>
      <c r="H3">
        <v>-11.239936999999999</v>
      </c>
      <c r="I3">
        <v>-11.548299</v>
      </c>
      <c r="J3">
        <v>10.714352</v>
      </c>
      <c r="K3">
        <v>6.8793663</v>
      </c>
      <c r="L3">
        <v>-1.8509422</v>
      </c>
      <c r="M3">
        <v>41.078122</v>
      </c>
      <c r="N3">
        <v>-2.3871508000000001</v>
      </c>
      <c r="O3">
        <v>-17.165098</v>
      </c>
      <c r="P3">
        <v>36.663271000000002</v>
      </c>
      <c r="Q3">
        <v>3.1119026999999999</v>
      </c>
      <c r="R3">
        <v>6.5375220000000001</v>
      </c>
      <c r="S3">
        <v>-0.28467069999999989</v>
      </c>
      <c r="T3">
        <v>-10.658144999999999</v>
      </c>
      <c r="U3">
        <v>-13.983287499999991</v>
      </c>
      <c r="V3">
        <v>-67.535875000000004</v>
      </c>
      <c r="W3">
        <v>207.4046249999999</v>
      </c>
      <c r="X3">
        <v>73.604375000000047</v>
      </c>
      <c r="Y3">
        <v>4.9310875000000181</v>
      </c>
      <c r="Z3">
        <v>-130.27577500000001</v>
      </c>
      <c r="AA3">
        <v>-297.16187500000012</v>
      </c>
      <c r="AB3">
        <v>133.599625</v>
      </c>
      <c r="AC3">
        <v>67.362375000000057</v>
      </c>
      <c r="AD3">
        <v>375.06162500000062</v>
      </c>
      <c r="AE3">
        <v>-112.543825</v>
      </c>
      <c r="AF3">
        <v>498.1425625</v>
      </c>
      <c r="AG3">
        <v>670.98393750000002</v>
      </c>
      <c r="AH3">
        <v>168.33754999999999</v>
      </c>
      <c r="AI3">
        <v>4.0515163999999997</v>
      </c>
      <c r="AJ3">
        <v>1.2977525999999999</v>
      </c>
      <c r="AK3">
        <v>-0.42731142</v>
      </c>
      <c r="AL3">
        <v>23.776489000000002</v>
      </c>
      <c r="AM3">
        <v>-1.0602017399999999</v>
      </c>
      <c r="AN3">
        <v>0.76642312999999995</v>
      </c>
      <c r="AO3">
        <v>0.17342315999999999</v>
      </c>
      <c r="AP3">
        <v>5.9209253000000004</v>
      </c>
      <c r="AQ3">
        <v>1.04864417</v>
      </c>
      <c r="AR3">
        <v>2.51630872E-2</v>
      </c>
      <c r="AS3">
        <v>0.17168539999999999</v>
      </c>
      <c r="AT3">
        <v>-9.7974409999999992</v>
      </c>
    </row>
    <row r="4" spans="1:46" x14ac:dyDescent="0.25">
      <c r="A4">
        <v>2</v>
      </c>
      <c r="B4">
        <v>9.1518250000000041</v>
      </c>
      <c r="C4">
        <v>0.54621330769230769</v>
      </c>
      <c r="D4">
        <v>-7.0862828450966253E-2</v>
      </c>
      <c r="E4">
        <v>-3.6402490663556067E-2</v>
      </c>
      <c r="F4">
        <v>0.9582353378374302</v>
      </c>
      <c r="G4">
        <v>9.5116973999999992</v>
      </c>
      <c r="H4">
        <v>-11.316874</v>
      </c>
      <c r="I4">
        <v>-11.308498</v>
      </c>
      <c r="J4">
        <v>10.803903999999999</v>
      </c>
      <c r="K4">
        <v>6.8844326000000002</v>
      </c>
      <c r="L4">
        <v>-2.0093344000000002</v>
      </c>
      <c r="M4">
        <v>40.736443999999999</v>
      </c>
      <c r="N4">
        <v>-2.2263516000000001</v>
      </c>
      <c r="O4">
        <v>-17.082795999999998</v>
      </c>
      <c r="P4">
        <v>37.104042</v>
      </c>
      <c r="Q4">
        <v>2.9783954000000001</v>
      </c>
      <c r="R4">
        <v>7.1160139999999998</v>
      </c>
      <c r="S4">
        <v>0.5265086000000001</v>
      </c>
      <c r="T4">
        <v>-10.47559</v>
      </c>
      <c r="U4">
        <v>-15.305324999999909</v>
      </c>
      <c r="V4">
        <v>-65.734249999999946</v>
      </c>
      <c r="W4">
        <v>204.69674999999989</v>
      </c>
      <c r="X4">
        <v>76.921250000000057</v>
      </c>
      <c r="Y4">
        <v>4.0621750000000079</v>
      </c>
      <c r="Z4">
        <v>-138.49655000000001</v>
      </c>
      <c r="AA4">
        <v>-295.54874999999998</v>
      </c>
      <c r="AB4">
        <v>139.15674999999999</v>
      </c>
      <c r="AC4">
        <v>70.374749999999992</v>
      </c>
      <c r="AD4">
        <v>379.83575000000042</v>
      </c>
      <c r="AE4">
        <v>-115.84765</v>
      </c>
      <c r="AF4">
        <v>489.78512499999999</v>
      </c>
      <c r="AG4">
        <v>699.52537500000005</v>
      </c>
      <c r="AH4">
        <v>148.50009999999989</v>
      </c>
      <c r="AI4">
        <v>3.7209628000000001</v>
      </c>
      <c r="AJ4">
        <v>1.3519652</v>
      </c>
      <c r="AK4">
        <v>-0.43119684000000003</v>
      </c>
      <c r="AL4">
        <v>21.817278000000002</v>
      </c>
      <c r="AM4">
        <v>-0.72264347999999989</v>
      </c>
      <c r="AN4">
        <v>0.84257625999999997</v>
      </c>
      <c r="AO4">
        <v>0.18763431999999999</v>
      </c>
      <c r="AP4">
        <v>4.0561005999999997</v>
      </c>
      <c r="AQ4">
        <v>1.2599013400000001</v>
      </c>
      <c r="AR4">
        <v>1.8281874399999998E-2</v>
      </c>
      <c r="AS4">
        <v>0.18405679999999999</v>
      </c>
      <c r="AT4">
        <v>-12.216882</v>
      </c>
    </row>
    <row r="5" spans="1:46" x14ac:dyDescent="0.25">
      <c r="A5">
        <v>3</v>
      </c>
      <c r="B5">
        <v>9.1471125000000075</v>
      </c>
      <c r="C5">
        <v>0.54559331318681326</v>
      </c>
      <c r="D5">
        <v>-0.24160822266076731</v>
      </c>
      <c r="E5">
        <v>-0.14733538495713211</v>
      </c>
      <c r="F5">
        <v>1.585368625374465</v>
      </c>
      <c r="G5">
        <v>9.4935811000000001</v>
      </c>
      <c r="H5">
        <v>-11.393810999999999</v>
      </c>
      <c r="I5">
        <v>-11.068697</v>
      </c>
      <c r="J5">
        <v>10.893456</v>
      </c>
      <c r="K5">
        <v>6.8894989000000004</v>
      </c>
      <c r="L5">
        <v>-2.1677265999999999</v>
      </c>
      <c r="M5">
        <v>40.394765999999997</v>
      </c>
      <c r="N5">
        <v>-2.0655524000000001</v>
      </c>
      <c r="O5">
        <v>-17.000494</v>
      </c>
      <c r="P5">
        <v>37.544812999999998</v>
      </c>
      <c r="Q5">
        <v>2.8448880999999999</v>
      </c>
      <c r="R5">
        <v>7.6945060000000014</v>
      </c>
      <c r="S5">
        <v>1.3376878999999999</v>
      </c>
      <c r="T5">
        <v>-10.293035</v>
      </c>
      <c r="U5">
        <v>-16.62736249999983</v>
      </c>
      <c r="V5">
        <v>-63.932624999999902</v>
      </c>
      <c r="W5">
        <v>201.98887499999989</v>
      </c>
      <c r="X5">
        <v>80.238125000000053</v>
      </c>
      <c r="Y5">
        <v>3.1932624999999981</v>
      </c>
      <c r="Z5">
        <v>-146.71732499999999</v>
      </c>
      <c r="AA5">
        <v>-293.93562500000007</v>
      </c>
      <c r="AB5">
        <v>144.713875</v>
      </c>
      <c r="AC5">
        <v>73.387124999999926</v>
      </c>
      <c r="AD5">
        <v>384.60987500000022</v>
      </c>
      <c r="AE5">
        <v>-119.151475</v>
      </c>
      <c r="AF5">
        <v>481.42768749999999</v>
      </c>
      <c r="AG5">
        <v>728.06681249999997</v>
      </c>
      <c r="AH5">
        <v>128.6626499999999</v>
      </c>
      <c r="AI5">
        <v>3.3904092000000001</v>
      </c>
      <c r="AJ5">
        <v>1.4061778</v>
      </c>
      <c r="AK5">
        <v>-0.43508226</v>
      </c>
      <c r="AL5">
        <v>19.858066999999998</v>
      </c>
      <c r="AM5">
        <v>-0.38508522000000012</v>
      </c>
      <c r="AN5">
        <v>0.91872938999999987</v>
      </c>
      <c r="AO5">
        <v>0.20184547999999999</v>
      </c>
      <c r="AP5">
        <v>2.1912758999999999</v>
      </c>
      <c r="AQ5">
        <v>1.47115851</v>
      </c>
      <c r="AR5">
        <v>1.1400661600000001E-2</v>
      </c>
      <c r="AS5">
        <v>0.1964282</v>
      </c>
      <c r="AT5">
        <v>-14.636323000000001</v>
      </c>
    </row>
    <row r="6" spans="1:46" x14ac:dyDescent="0.25">
      <c r="A6">
        <v>4</v>
      </c>
      <c r="B6">
        <v>9.1424000000000127</v>
      </c>
      <c r="C6">
        <v>0.5449830769230769</v>
      </c>
      <c r="D6">
        <v>-0.55122965376728716</v>
      </c>
      <c r="E6">
        <v>-0.1054320619458004</v>
      </c>
      <c r="F6">
        <v>1.584060151589247</v>
      </c>
      <c r="G6">
        <v>9.4734136000000007</v>
      </c>
      <c r="H6">
        <v>-11.466652</v>
      </c>
      <c r="I6">
        <v>-10.836512000000001</v>
      </c>
      <c r="J6">
        <v>10.988799999999999</v>
      </c>
      <c r="K6">
        <v>6.8925635999999999</v>
      </c>
      <c r="L6">
        <v>-2.3438564</v>
      </c>
      <c r="M6">
        <v>40.0548</v>
      </c>
      <c r="N6">
        <v>-1.8937644</v>
      </c>
      <c r="O6">
        <v>-16.913343999999999</v>
      </c>
      <c r="P6">
        <v>37.994256</v>
      </c>
      <c r="Q6">
        <v>2.7042896000000001</v>
      </c>
      <c r="R6">
        <v>8.2460939999999994</v>
      </c>
      <c r="S6">
        <v>2.2020751999999999</v>
      </c>
      <c r="T6">
        <v>-10.158614399999999</v>
      </c>
      <c r="U6">
        <v>-17.524399999999812</v>
      </c>
      <c r="V6">
        <v>-62.070999999999877</v>
      </c>
      <c r="W6">
        <v>198.5149999999999</v>
      </c>
      <c r="X6">
        <v>82.80900000000004</v>
      </c>
      <c r="Y6">
        <v>2.2867499999999912</v>
      </c>
      <c r="Z6">
        <v>-154.61429999999999</v>
      </c>
      <c r="AA6">
        <v>-293.2505000000001</v>
      </c>
      <c r="AB6">
        <v>149.51058</v>
      </c>
      <c r="AC6">
        <v>75.457499999999925</v>
      </c>
      <c r="AD6">
        <v>388.28399999999999</v>
      </c>
      <c r="AE6">
        <v>-122.39530000000001</v>
      </c>
      <c r="AF6">
        <v>469.34965000000011</v>
      </c>
      <c r="AG6">
        <v>751.28505000000007</v>
      </c>
      <c r="AH6">
        <v>107.50399999999991</v>
      </c>
      <c r="AI6">
        <v>3.4740924</v>
      </c>
      <c r="AJ6">
        <v>1.5019856</v>
      </c>
      <c r="AK6">
        <v>-0.45915632000000001</v>
      </c>
      <c r="AL6">
        <v>20.377911999999998</v>
      </c>
      <c r="AM6">
        <v>-0.27940408</v>
      </c>
      <c r="AN6">
        <v>0.98938907999999992</v>
      </c>
      <c r="AO6">
        <v>0.2217856</v>
      </c>
      <c r="AP6">
        <v>1.6325984</v>
      </c>
      <c r="AQ6">
        <v>1.6926216000000001</v>
      </c>
      <c r="AR6">
        <v>8.442916E-3</v>
      </c>
      <c r="AS6">
        <v>0.21459544</v>
      </c>
      <c r="AT6">
        <v>-17.337028</v>
      </c>
    </row>
    <row r="7" spans="1:46" x14ac:dyDescent="0.25">
      <c r="A7">
        <v>5</v>
      </c>
      <c r="B7">
        <v>9.1376875000000162</v>
      </c>
      <c r="C7">
        <v>0.54438076923076928</v>
      </c>
      <c r="D7">
        <v>-0.56712687027613329</v>
      </c>
      <c r="E7">
        <v>-0.15636224673215271</v>
      </c>
      <c r="F7">
        <v>1.418450637125128</v>
      </c>
      <c r="G7">
        <v>9.4515794999999994</v>
      </c>
      <c r="H7">
        <v>-11.536165</v>
      </c>
      <c r="I7">
        <v>-10.610514999999999</v>
      </c>
      <c r="J7">
        <v>11.088850000000001</v>
      </c>
      <c r="K7">
        <v>6.8940020000000004</v>
      </c>
      <c r="L7">
        <v>-2.5343979999999999</v>
      </c>
      <c r="M7">
        <v>39.716225000000001</v>
      </c>
      <c r="N7">
        <v>-1.7130479999999999</v>
      </c>
      <c r="O7">
        <v>-16.822254999999998</v>
      </c>
      <c r="P7">
        <v>38.450744999999998</v>
      </c>
      <c r="Q7">
        <v>2.5579295000000002</v>
      </c>
      <c r="R7">
        <v>8.7758225000000003</v>
      </c>
      <c r="S7">
        <v>3.1096940000000002</v>
      </c>
      <c r="T7">
        <v>-10.063302999999999</v>
      </c>
      <c r="U7">
        <v>-18.076124999999848</v>
      </c>
      <c r="V7">
        <v>-60.160624999999889</v>
      </c>
      <c r="W7">
        <v>194.4187499999999</v>
      </c>
      <c r="X7">
        <v>84.773750000000035</v>
      </c>
      <c r="Y7">
        <v>1.3496874999999851</v>
      </c>
      <c r="Z7">
        <v>-162.2481875</v>
      </c>
      <c r="AA7">
        <v>-293.31937499999998</v>
      </c>
      <c r="AB7">
        <v>153.68944375000001</v>
      </c>
      <c r="AC7">
        <v>76.762499999999974</v>
      </c>
      <c r="AD7">
        <v>391.06437499999993</v>
      </c>
      <c r="AE7">
        <v>-125.59037499999999</v>
      </c>
      <c r="AF7">
        <v>454.24862500000012</v>
      </c>
      <c r="AG7">
        <v>770.17818750000004</v>
      </c>
      <c r="AH7">
        <v>85.271874999999994</v>
      </c>
      <c r="AI7">
        <v>3.8943430000000001</v>
      </c>
      <c r="AJ7">
        <v>1.6315895</v>
      </c>
      <c r="AK7">
        <v>-0.49963364999999998</v>
      </c>
      <c r="AL7">
        <v>22.911989999999999</v>
      </c>
      <c r="AM7">
        <v>-0.36212309999999998</v>
      </c>
      <c r="AN7">
        <v>1.0555853500000001</v>
      </c>
      <c r="AO7">
        <v>0.2463805</v>
      </c>
      <c r="AP7">
        <v>2.1351654999999998</v>
      </c>
      <c r="AQ7">
        <v>1.922377</v>
      </c>
      <c r="AR7">
        <v>8.6729874999999998E-3</v>
      </c>
      <c r="AS7">
        <v>0.23747180000000001</v>
      </c>
      <c r="AT7">
        <v>-20.266259999999999</v>
      </c>
    </row>
    <row r="8" spans="1:46" x14ac:dyDescent="0.25">
      <c r="A8">
        <v>6</v>
      </c>
      <c r="B8">
        <v>9.1329750000000214</v>
      </c>
      <c r="C8">
        <v>0.54377846153846154</v>
      </c>
      <c r="D8">
        <v>-0.56498077035392091</v>
      </c>
      <c r="E8">
        <v>-0.19409703861049751</v>
      </c>
      <c r="F8">
        <v>1.778865063289403</v>
      </c>
      <c r="G8">
        <v>9.4297453999999998</v>
      </c>
      <c r="H8">
        <v>-11.605677999999999</v>
      </c>
      <c r="I8">
        <v>-10.384518</v>
      </c>
      <c r="J8">
        <v>11.1889</v>
      </c>
      <c r="K8">
        <v>6.8954404</v>
      </c>
      <c r="L8">
        <v>-2.7249395999999999</v>
      </c>
      <c r="M8">
        <v>39.377650000000003</v>
      </c>
      <c r="N8">
        <v>-1.5323316</v>
      </c>
      <c r="O8">
        <v>-16.731166000000002</v>
      </c>
      <c r="P8">
        <v>38.907234000000003</v>
      </c>
      <c r="Q8">
        <v>2.4115693999999999</v>
      </c>
      <c r="R8">
        <v>9.3055509999999995</v>
      </c>
      <c r="S8">
        <v>4.0173127999999991</v>
      </c>
      <c r="T8">
        <v>-9.9679916000000013</v>
      </c>
      <c r="U8">
        <v>-18.627849999999899</v>
      </c>
      <c r="V8">
        <v>-58.250249999999902</v>
      </c>
      <c r="W8">
        <v>190.32249999999999</v>
      </c>
      <c r="X8">
        <v>86.738500000000016</v>
      </c>
      <c r="Y8">
        <v>0.41262499999998031</v>
      </c>
      <c r="Z8">
        <v>-169.88207499999999</v>
      </c>
      <c r="AA8">
        <v>-293.38825000000003</v>
      </c>
      <c r="AB8">
        <v>157.86830749999999</v>
      </c>
      <c r="AC8">
        <v>78.067500000000024</v>
      </c>
      <c r="AD8">
        <v>393.84474999999969</v>
      </c>
      <c r="AE8">
        <v>-128.78545</v>
      </c>
      <c r="AF8">
        <v>439.14760000000012</v>
      </c>
      <c r="AG8">
        <v>789.071325</v>
      </c>
      <c r="AH8">
        <v>63.039750000000048</v>
      </c>
      <c r="AI8">
        <v>4.3145936000000003</v>
      </c>
      <c r="AJ8">
        <v>1.7611934</v>
      </c>
      <c r="AK8">
        <v>-0.54011097999999991</v>
      </c>
      <c r="AL8">
        <v>25.446068</v>
      </c>
      <c r="AM8">
        <v>-0.44484212000000001</v>
      </c>
      <c r="AN8">
        <v>1.1217816199999999</v>
      </c>
      <c r="AO8">
        <v>0.27097539999999998</v>
      </c>
      <c r="AP8">
        <v>2.6377326000000001</v>
      </c>
      <c r="AQ8">
        <v>2.1521324000000002</v>
      </c>
      <c r="AR8">
        <v>8.9030589999999996E-3</v>
      </c>
      <c r="AS8">
        <v>0.26034816</v>
      </c>
      <c r="AT8">
        <v>-23.195492000000002</v>
      </c>
    </row>
    <row r="9" spans="1:46" x14ac:dyDescent="0.25">
      <c r="A9">
        <v>7</v>
      </c>
      <c r="B9">
        <v>9.128262500000023</v>
      </c>
      <c r="C9">
        <v>0.54317908791208791</v>
      </c>
      <c r="D9">
        <v>-0.54445357221661872</v>
      </c>
      <c r="E9">
        <v>-0.32827190750260982</v>
      </c>
      <c r="F9">
        <v>2.2028177117157912</v>
      </c>
      <c r="G9">
        <v>9.4078393000000009</v>
      </c>
      <c r="H9">
        <v>-11.674378000000001</v>
      </c>
      <c r="I9">
        <v>-10.160482999999999</v>
      </c>
      <c r="J9">
        <v>11.289490000000001</v>
      </c>
      <c r="K9">
        <v>6.8964786</v>
      </c>
      <c r="L9">
        <v>-2.9184730999999999</v>
      </c>
      <c r="M9">
        <v>39.038696999999999</v>
      </c>
      <c r="N9">
        <v>-1.3502172299999999</v>
      </c>
      <c r="O9">
        <v>-16.639906</v>
      </c>
      <c r="P9">
        <v>39.364397999999987</v>
      </c>
      <c r="Q9">
        <v>2.2638946999999998</v>
      </c>
      <c r="R9">
        <v>9.8278265999999999</v>
      </c>
      <c r="S9">
        <v>4.9305908000000001</v>
      </c>
      <c r="T9">
        <v>-9.8820540000000001</v>
      </c>
      <c r="U9">
        <v>-19.106037499999939</v>
      </c>
      <c r="V9">
        <v>-56.328249999999919</v>
      </c>
      <c r="W9">
        <v>186.10696250000001</v>
      </c>
      <c r="X9">
        <v>88.575000000000017</v>
      </c>
      <c r="Y9">
        <v>-0.53085000000002247</v>
      </c>
      <c r="Z9">
        <v>-177.40837500000001</v>
      </c>
      <c r="AA9">
        <v>-293.63225</v>
      </c>
      <c r="AB9">
        <v>161.86007362500001</v>
      </c>
      <c r="AC9">
        <v>79.182000000000059</v>
      </c>
      <c r="AD9">
        <v>396.36337499999962</v>
      </c>
      <c r="AE9">
        <v>-131.988325</v>
      </c>
      <c r="AF9">
        <v>423.58431250000012</v>
      </c>
      <c r="AG9">
        <v>806.86080000000004</v>
      </c>
      <c r="AH9">
        <v>40.87355000000008</v>
      </c>
      <c r="AI9">
        <v>4.7391642000000003</v>
      </c>
      <c r="AJ9">
        <v>1.8732137</v>
      </c>
      <c r="AK9">
        <v>-0.5762053399999999</v>
      </c>
      <c r="AL9">
        <v>28.023643</v>
      </c>
      <c r="AM9">
        <v>-0.53503078000000004</v>
      </c>
      <c r="AN9">
        <v>1.17410886</v>
      </c>
      <c r="AO9">
        <v>0.29191677999999999</v>
      </c>
      <c r="AP9">
        <v>3.1853468</v>
      </c>
      <c r="AQ9">
        <v>2.3663246999999998</v>
      </c>
      <c r="AR9">
        <v>8.6559751000000011E-3</v>
      </c>
      <c r="AS9">
        <v>0.27988372</v>
      </c>
      <c r="AT9">
        <v>-25.951711</v>
      </c>
    </row>
    <row r="10" spans="1:46" x14ac:dyDescent="0.25">
      <c r="A10">
        <v>8</v>
      </c>
      <c r="B10">
        <v>9.1235500000000123</v>
      </c>
      <c r="C10">
        <v>0.5426051428571429</v>
      </c>
      <c r="D10">
        <v>-0.47473944663649892</v>
      </c>
      <c r="E10">
        <v>-0.253602371017698</v>
      </c>
      <c r="F10">
        <v>2.3381097638017949</v>
      </c>
      <c r="G10">
        <v>9.3853092</v>
      </c>
      <c r="H10">
        <v>-11.736032</v>
      </c>
      <c r="I10">
        <v>-9.9534520000000004</v>
      </c>
      <c r="J10">
        <v>11.39476</v>
      </c>
      <c r="K10">
        <v>6.8940484</v>
      </c>
      <c r="L10">
        <v>-3.1379364000000001</v>
      </c>
      <c r="M10">
        <v>38.696468000000003</v>
      </c>
      <c r="N10">
        <v>-1.15598712</v>
      </c>
      <c r="O10">
        <v>-16.547163999999999</v>
      </c>
      <c r="P10">
        <v>39.827412000000002</v>
      </c>
      <c r="Q10">
        <v>2.1048268000000001</v>
      </c>
      <c r="R10">
        <v>10.2855104</v>
      </c>
      <c r="S10">
        <v>5.8929152</v>
      </c>
      <c r="T10">
        <v>-9.8773560000000007</v>
      </c>
      <c r="U10">
        <v>-18.946899999999971</v>
      </c>
      <c r="V10">
        <v>-54.305499999999988</v>
      </c>
      <c r="W10">
        <v>180.85759999999999</v>
      </c>
      <c r="X10">
        <v>89.3</v>
      </c>
      <c r="Y10">
        <v>-1.5299</v>
      </c>
      <c r="Z10">
        <v>-184.00225</v>
      </c>
      <c r="AA10">
        <v>-295.39400000000001</v>
      </c>
      <c r="AB10">
        <v>164.23032699999999</v>
      </c>
      <c r="AC10">
        <v>78.645500000000027</v>
      </c>
      <c r="AD10">
        <v>396.61349999999987</v>
      </c>
      <c r="AE10">
        <v>-135.25880000000001</v>
      </c>
      <c r="AF10">
        <v>404.01474999999999</v>
      </c>
      <c r="AG10">
        <v>815.08519999999999</v>
      </c>
      <c r="AH10">
        <v>19.278700000000072</v>
      </c>
      <c r="AI10">
        <v>5.2011748000000004</v>
      </c>
      <c r="AJ10">
        <v>1.8328428000000001</v>
      </c>
      <c r="AK10">
        <v>-0.57431396000000001</v>
      </c>
      <c r="AL10">
        <v>30.978192</v>
      </c>
      <c r="AM10">
        <v>-0.68995632000000007</v>
      </c>
      <c r="AN10">
        <v>1.1062378399999999</v>
      </c>
      <c r="AO10">
        <v>0.28119432</v>
      </c>
      <c r="AP10">
        <v>4.1233692</v>
      </c>
      <c r="AQ10">
        <v>2.4456367999999999</v>
      </c>
      <c r="AR10">
        <v>4.2735443999999999E-3</v>
      </c>
      <c r="AS10">
        <v>0.27046567999999999</v>
      </c>
      <c r="AT10">
        <v>-27.208483999999999</v>
      </c>
    </row>
    <row r="11" spans="1:46" x14ac:dyDescent="0.25">
      <c r="A11">
        <v>9</v>
      </c>
      <c r="B11">
        <v>9.1188374999999997</v>
      </c>
      <c r="C11">
        <v>0.54203119780219777</v>
      </c>
      <c r="D11">
        <v>-0.32118033216762398</v>
      </c>
      <c r="E11">
        <v>-0.16993718222252041</v>
      </c>
      <c r="F11">
        <v>2.384251786640613</v>
      </c>
      <c r="G11">
        <v>9.3627791000000009</v>
      </c>
      <c r="H11">
        <v>-11.797686000000001</v>
      </c>
      <c r="I11">
        <v>-9.7464209999999998</v>
      </c>
      <c r="J11">
        <v>11.500030000000001</v>
      </c>
      <c r="K11">
        <v>6.8916181999999999</v>
      </c>
      <c r="L11">
        <v>-3.3573997000000002</v>
      </c>
      <c r="M11">
        <v>38.354239</v>
      </c>
      <c r="N11">
        <v>-0.96175700999999991</v>
      </c>
      <c r="O11">
        <v>-16.454422000000001</v>
      </c>
      <c r="P11">
        <v>40.290425999999997</v>
      </c>
      <c r="Q11">
        <v>1.9457589</v>
      </c>
      <c r="R11">
        <v>10.7431942</v>
      </c>
      <c r="S11">
        <v>6.8552396</v>
      </c>
      <c r="T11">
        <v>-9.8726579999999995</v>
      </c>
      <c r="U11">
        <v>-18.78776250000001</v>
      </c>
      <c r="V11">
        <v>-52.282750000000071</v>
      </c>
      <c r="W11">
        <v>175.6082375</v>
      </c>
      <c r="X11">
        <v>90.024999999999991</v>
      </c>
      <c r="Y11">
        <v>-2.5289499999999769</v>
      </c>
      <c r="Z11">
        <v>-190.596125</v>
      </c>
      <c r="AA11">
        <v>-297.15575000000001</v>
      </c>
      <c r="AB11">
        <v>166.60058037499999</v>
      </c>
      <c r="AC11">
        <v>78.108999999999995</v>
      </c>
      <c r="AD11">
        <v>396.86362500000018</v>
      </c>
      <c r="AE11">
        <v>-138.52927500000001</v>
      </c>
      <c r="AF11">
        <v>384.44518749999997</v>
      </c>
      <c r="AG11">
        <v>823.30960000000005</v>
      </c>
      <c r="AH11">
        <v>-2.316149999999936</v>
      </c>
      <c r="AI11">
        <v>5.6631853999999997</v>
      </c>
      <c r="AJ11">
        <v>1.7924719</v>
      </c>
      <c r="AK11">
        <v>-0.57242258000000001</v>
      </c>
      <c r="AL11">
        <v>33.932741</v>
      </c>
      <c r="AM11">
        <v>-0.8448818600000001</v>
      </c>
      <c r="AN11">
        <v>1.03836682</v>
      </c>
      <c r="AO11">
        <v>0.27047186000000001</v>
      </c>
      <c r="AP11">
        <v>5.0613916000000003</v>
      </c>
      <c r="AQ11">
        <v>2.5249489000000001</v>
      </c>
      <c r="AR11">
        <v>-1.088863000000013E-4</v>
      </c>
      <c r="AS11">
        <v>0.26104764000000003</v>
      </c>
      <c r="AT11">
        <v>-28.465257000000001</v>
      </c>
    </row>
    <row r="12" spans="1:46" x14ac:dyDescent="0.25">
      <c r="A12">
        <v>10</v>
      </c>
      <c r="B12">
        <v>9.1141249999999872</v>
      </c>
      <c r="C12">
        <v>0.54145725274725276</v>
      </c>
      <c r="D12">
        <v>-8.5619872561910962E-2</v>
      </c>
      <c r="E12">
        <v>-0.1048390803171311</v>
      </c>
      <c r="F12">
        <v>2.350622843365139</v>
      </c>
      <c r="G12">
        <v>9.340249</v>
      </c>
      <c r="H12">
        <v>-11.85934</v>
      </c>
      <c r="I12">
        <v>-9.5393899999999991</v>
      </c>
      <c r="J12">
        <v>11.6053</v>
      </c>
      <c r="K12">
        <v>6.8891879999999999</v>
      </c>
      <c r="L12">
        <v>-3.5768629999999999</v>
      </c>
      <c r="M12">
        <v>38.012009999999997</v>
      </c>
      <c r="N12">
        <v>-0.7675268999999999</v>
      </c>
      <c r="O12">
        <v>-16.36168</v>
      </c>
      <c r="P12">
        <v>40.753439999999998</v>
      </c>
      <c r="Q12">
        <v>1.786691</v>
      </c>
      <c r="R12">
        <v>11.200877999999999</v>
      </c>
      <c r="S12">
        <v>7.8175640000000008</v>
      </c>
      <c r="T12">
        <v>-9.8679600000000001</v>
      </c>
      <c r="U12">
        <v>-18.628625000000039</v>
      </c>
      <c r="V12">
        <v>-50.260000000000147</v>
      </c>
      <c r="W12">
        <v>170.35887500000001</v>
      </c>
      <c r="X12">
        <v>90.749999999999972</v>
      </c>
      <c r="Y12">
        <v>-3.5279999999999538</v>
      </c>
      <c r="Z12">
        <v>-197.19</v>
      </c>
      <c r="AA12">
        <v>-298.91750000000002</v>
      </c>
      <c r="AB12">
        <v>168.97083375</v>
      </c>
      <c r="AC12">
        <v>77.572499999999962</v>
      </c>
      <c r="AD12">
        <v>397.11375000000061</v>
      </c>
      <c r="AE12">
        <v>-141.79974999999999</v>
      </c>
      <c r="AF12">
        <v>364.87562500000001</v>
      </c>
      <c r="AG12">
        <v>831.53399999999999</v>
      </c>
      <c r="AH12">
        <v>-23.910999999999941</v>
      </c>
      <c r="AI12">
        <v>6.1251960000000008</v>
      </c>
      <c r="AJ12">
        <v>1.7521009999999999</v>
      </c>
      <c r="AK12">
        <v>-0.57053120000000002</v>
      </c>
      <c r="AL12">
        <v>36.887290000000007</v>
      </c>
      <c r="AM12">
        <v>-0.99980740000000012</v>
      </c>
      <c r="AN12">
        <v>0.97049579999999991</v>
      </c>
      <c r="AO12">
        <v>0.25974940000000002</v>
      </c>
      <c r="AP12">
        <v>5.9994139999999998</v>
      </c>
      <c r="AQ12">
        <v>2.6042610000000002</v>
      </c>
      <c r="AR12">
        <v>-4.4913170000000016E-3</v>
      </c>
      <c r="AS12">
        <v>0.25162960000000001</v>
      </c>
      <c r="AT12">
        <v>-29.72203</v>
      </c>
    </row>
    <row r="13" spans="1:46" x14ac:dyDescent="0.25">
      <c r="A13">
        <v>11</v>
      </c>
      <c r="B13">
        <v>9.109887499999985</v>
      </c>
      <c r="C13">
        <v>0.54090867582417579</v>
      </c>
      <c r="D13">
        <v>1.6989404198783649E-2</v>
      </c>
      <c r="E13">
        <v>-8.2162893324922423E-2</v>
      </c>
      <c r="F13">
        <v>2.379076971159519</v>
      </c>
      <c r="G13">
        <v>9.3190090000000012</v>
      </c>
      <c r="H13">
        <v>-11.915540999999999</v>
      </c>
      <c r="I13">
        <v>-9.3474468999999996</v>
      </c>
      <c r="J13">
        <v>11.71095</v>
      </c>
      <c r="K13">
        <v>6.8840560000000002</v>
      </c>
      <c r="L13">
        <v>-3.8119386</v>
      </c>
      <c r="M13">
        <v>37.662941000000004</v>
      </c>
      <c r="N13">
        <v>-0.5697272029999999</v>
      </c>
      <c r="O13">
        <v>-16.272832999999999</v>
      </c>
      <c r="P13">
        <v>41.21349</v>
      </c>
      <c r="Q13">
        <v>1.6188070999999999</v>
      </c>
      <c r="R13">
        <v>11.603192</v>
      </c>
      <c r="S13">
        <v>8.787154000000001</v>
      </c>
      <c r="T13">
        <v>-9.9170813999999989</v>
      </c>
      <c r="U13">
        <v>-18.075237500000071</v>
      </c>
      <c r="V13">
        <v>-48.149375000000127</v>
      </c>
      <c r="W13">
        <v>164.56207499999999</v>
      </c>
      <c r="X13">
        <v>90.764874999999975</v>
      </c>
      <c r="Y13">
        <v>-4.5754999999999528</v>
      </c>
      <c r="Z13">
        <v>-202.79896249999999</v>
      </c>
      <c r="AA13">
        <v>-301.78837499999992</v>
      </c>
      <c r="AB13">
        <v>169.90403162499999</v>
      </c>
      <c r="AC13">
        <v>75.774874999999952</v>
      </c>
      <c r="AD13">
        <v>395.44962500000059</v>
      </c>
      <c r="AE13">
        <v>-145.268395</v>
      </c>
      <c r="AF13">
        <v>344.25227499999988</v>
      </c>
      <c r="AG13">
        <v>832.76544999999999</v>
      </c>
      <c r="AH13">
        <v>-43.348874999999957</v>
      </c>
      <c r="AI13">
        <v>6.1727197</v>
      </c>
      <c r="AJ13">
        <v>1.8054532999999999</v>
      </c>
      <c r="AK13">
        <v>-0.58344804000000006</v>
      </c>
      <c r="AL13">
        <v>37.434367999999999</v>
      </c>
      <c r="AM13">
        <v>-0.88266870999999991</v>
      </c>
      <c r="AN13">
        <v>1.0043690199999999</v>
      </c>
      <c r="AO13">
        <v>0.25969049999999999</v>
      </c>
      <c r="AP13">
        <v>5.2967768999999993</v>
      </c>
      <c r="AQ13">
        <v>2.7189492</v>
      </c>
      <c r="AR13">
        <v>-7.787569000000002E-3</v>
      </c>
      <c r="AS13">
        <v>0.25472591</v>
      </c>
      <c r="AT13">
        <v>-31.191469999999999</v>
      </c>
    </row>
    <row r="14" spans="1:46" x14ac:dyDescent="0.25">
      <c r="A14">
        <v>12</v>
      </c>
      <c r="B14">
        <v>9.1058999999999877</v>
      </c>
      <c r="C14">
        <v>0.54037345054945052</v>
      </c>
      <c r="D14">
        <v>5.7945254802420798E-2</v>
      </c>
      <c r="E14">
        <v>-9.2598077882449503E-2</v>
      </c>
      <c r="F14">
        <v>2.495908483877173</v>
      </c>
      <c r="G14">
        <v>9.2984480000000005</v>
      </c>
      <c r="H14">
        <v>-11.968871999999999</v>
      </c>
      <c r="I14">
        <v>-9.1634448000000006</v>
      </c>
      <c r="J14">
        <v>11.816800000000001</v>
      </c>
      <c r="K14">
        <v>6.8775019999999998</v>
      </c>
      <c r="L14">
        <v>-4.0552311999999997</v>
      </c>
      <c r="M14">
        <v>37.310271999999998</v>
      </c>
      <c r="N14">
        <v>-0.37004877600000008</v>
      </c>
      <c r="O14">
        <v>-16.186036000000001</v>
      </c>
      <c r="P14">
        <v>41.671979999999998</v>
      </c>
      <c r="Q14">
        <v>1.4462832000000001</v>
      </c>
      <c r="R14">
        <v>11.976364</v>
      </c>
      <c r="S14">
        <v>9.7605679999999992</v>
      </c>
      <c r="T14">
        <v>-9.9945287999999994</v>
      </c>
      <c r="U14">
        <v>-17.31435000000009</v>
      </c>
      <c r="V14">
        <v>-45.992500000000078</v>
      </c>
      <c r="W14">
        <v>158.47714999999999</v>
      </c>
      <c r="X14">
        <v>90.405999999999963</v>
      </c>
      <c r="Y14">
        <v>-5.6484999999999621</v>
      </c>
      <c r="Z14">
        <v>-207.88955000000001</v>
      </c>
      <c r="AA14">
        <v>-305.24299999999971</v>
      </c>
      <c r="AB14">
        <v>170.0808845</v>
      </c>
      <c r="AC14">
        <v>73.313499999999962</v>
      </c>
      <c r="AD14">
        <v>392.77800000000047</v>
      </c>
      <c r="AE14">
        <v>-148.84134</v>
      </c>
      <c r="AF14">
        <v>323.07429999999988</v>
      </c>
      <c r="AG14">
        <v>830.31639999999993</v>
      </c>
      <c r="AH14">
        <v>-61.65149999999997</v>
      </c>
      <c r="AI14">
        <v>6.0020924000000004</v>
      </c>
      <c r="AJ14">
        <v>1.9081336</v>
      </c>
      <c r="AK14">
        <v>-0.60415867999999995</v>
      </c>
      <c r="AL14">
        <v>36.714356000000002</v>
      </c>
      <c r="AM14">
        <v>-0.62233832000000033</v>
      </c>
      <c r="AN14">
        <v>1.09179184</v>
      </c>
      <c r="AO14">
        <v>0.26524399999999998</v>
      </c>
      <c r="AP14">
        <v>3.730634800000002</v>
      </c>
      <c r="AQ14">
        <v>2.8522563999999999</v>
      </c>
      <c r="AR14">
        <v>-1.0512148000000001E-2</v>
      </c>
      <c r="AS14">
        <v>0.26440871999999999</v>
      </c>
      <c r="AT14">
        <v>-32.772840000000002</v>
      </c>
    </row>
    <row r="15" spans="1:46" x14ac:dyDescent="0.25">
      <c r="A15">
        <v>13</v>
      </c>
      <c r="B15">
        <v>9.1019124999999921</v>
      </c>
      <c r="C15">
        <v>0.53983822527472525</v>
      </c>
      <c r="D15">
        <v>7.9116157033174886E-2</v>
      </c>
      <c r="E15">
        <v>-0.1059195208409929</v>
      </c>
      <c r="F15">
        <v>2.6589478369198178</v>
      </c>
      <c r="G15">
        <v>9.2778869999999998</v>
      </c>
      <c r="H15">
        <v>-12.022202999999999</v>
      </c>
      <c r="I15">
        <v>-8.9794426999999999</v>
      </c>
      <c r="J15">
        <v>11.922650000000001</v>
      </c>
      <c r="K15">
        <v>6.8709480000000003</v>
      </c>
      <c r="L15">
        <v>-4.2985237999999999</v>
      </c>
      <c r="M15">
        <v>36.957602999999999</v>
      </c>
      <c r="N15">
        <v>-0.17037034900000009</v>
      </c>
      <c r="O15">
        <v>-16.099239000000001</v>
      </c>
      <c r="P15">
        <v>42.130470000000003</v>
      </c>
      <c r="Q15">
        <v>1.2737593</v>
      </c>
      <c r="R15">
        <v>12.349536000000001</v>
      </c>
      <c r="S15">
        <v>10.733981999999999</v>
      </c>
      <c r="T15">
        <v>-10.0719762</v>
      </c>
      <c r="U15">
        <v>-16.553462500000109</v>
      </c>
      <c r="V15">
        <v>-43.835625000000007</v>
      </c>
      <c r="W15">
        <v>152.39222499999991</v>
      </c>
      <c r="X15">
        <v>90.047124999999966</v>
      </c>
      <c r="Y15">
        <v>-6.7214999999999723</v>
      </c>
      <c r="Z15">
        <v>-212.98013750000001</v>
      </c>
      <c r="AA15">
        <v>-308.6976249999995</v>
      </c>
      <c r="AB15">
        <v>170.257737375</v>
      </c>
      <c r="AC15">
        <v>70.852124999999958</v>
      </c>
      <c r="AD15">
        <v>390.10637500000041</v>
      </c>
      <c r="AE15">
        <v>-152.41428500000001</v>
      </c>
      <c r="AF15">
        <v>301.89632499999988</v>
      </c>
      <c r="AG15">
        <v>827.86734999999999</v>
      </c>
      <c r="AH15">
        <v>-79.954125000000005</v>
      </c>
      <c r="AI15">
        <v>5.8314651000000008</v>
      </c>
      <c r="AJ15">
        <v>2.0108139</v>
      </c>
      <c r="AK15">
        <v>-0.62486931999999995</v>
      </c>
      <c r="AL15">
        <v>35.994343999999998</v>
      </c>
      <c r="AM15">
        <v>-0.3620079300000002</v>
      </c>
      <c r="AN15">
        <v>1.17921466</v>
      </c>
      <c r="AO15">
        <v>0.27079750000000002</v>
      </c>
      <c r="AP15">
        <v>2.1644927000000012</v>
      </c>
      <c r="AQ15">
        <v>2.9855635999999999</v>
      </c>
      <c r="AR15">
        <v>-1.3236727E-2</v>
      </c>
      <c r="AS15">
        <v>0.27409153000000003</v>
      </c>
      <c r="AT15">
        <v>-34.354210000000002</v>
      </c>
    </row>
    <row r="16" spans="1:46" x14ac:dyDescent="0.25">
      <c r="A16">
        <v>14</v>
      </c>
      <c r="B16">
        <v>9.0980749999999944</v>
      </c>
      <c r="C16">
        <v>0.53931305494505488</v>
      </c>
      <c r="D16">
        <v>7.3242756729099384E-2</v>
      </c>
      <c r="E16">
        <v>-0.1143279450814958</v>
      </c>
      <c r="F16">
        <v>2.793420402494617</v>
      </c>
      <c r="G16">
        <v>9.2581780000000009</v>
      </c>
      <c r="H16">
        <v>-12.073686</v>
      </c>
      <c r="I16">
        <v>-8.8007476000000011</v>
      </c>
      <c r="J16">
        <v>12.027786000000001</v>
      </c>
      <c r="K16">
        <v>6.8634712000000002</v>
      </c>
      <c r="L16">
        <v>-4.545312</v>
      </c>
      <c r="M16">
        <v>36.601376000000002</v>
      </c>
      <c r="N16">
        <v>2.8473561999999921E-2</v>
      </c>
      <c r="O16">
        <v>-16.015286</v>
      </c>
      <c r="P16">
        <v>42.585473999999998</v>
      </c>
      <c r="Q16">
        <v>1.09810556</v>
      </c>
      <c r="R16">
        <v>12.70514</v>
      </c>
      <c r="S16">
        <v>11.701048</v>
      </c>
      <c r="T16">
        <v>-10.162722</v>
      </c>
      <c r="U16">
        <v>-15.698825000000131</v>
      </c>
      <c r="V16">
        <v>-41.647999999999961</v>
      </c>
      <c r="W16">
        <v>146.21594999999991</v>
      </c>
      <c r="X16">
        <v>89.499249999999961</v>
      </c>
      <c r="Y16">
        <v>-7.8189499999999841</v>
      </c>
      <c r="Z16">
        <v>-217.66842500000001</v>
      </c>
      <c r="AA16">
        <v>-312.49349999999941</v>
      </c>
      <c r="AB16">
        <v>169.91448025</v>
      </c>
      <c r="AC16">
        <v>67.998499999999979</v>
      </c>
      <c r="AD16">
        <v>386.79050000000029</v>
      </c>
      <c r="AE16">
        <v>-156.0840025</v>
      </c>
      <c r="AF16">
        <v>280.97799999999989</v>
      </c>
      <c r="AG16">
        <v>823.38549999999998</v>
      </c>
      <c r="AH16">
        <v>-97.175550000000044</v>
      </c>
      <c r="AI16">
        <v>5.6448322000000006</v>
      </c>
      <c r="AJ16">
        <v>2.1125683999999998</v>
      </c>
      <c r="AK16">
        <v>-0.64308035999999991</v>
      </c>
      <c r="AL16">
        <v>35.175121999999988</v>
      </c>
      <c r="AM16">
        <v>-8.797954000000012E-2</v>
      </c>
      <c r="AN16">
        <v>1.2690627999999999</v>
      </c>
      <c r="AO16">
        <v>0.27836465999999999</v>
      </c>
      <c r="AP16">
        <v>0.53455500000000078</v>
      </c>
      <c r="AQ16">
        <v>3.1184219999999998</v>
      </c>
      <c r="AR16">
        <v>-1.5460618000000001E-2</v>
      </c>
      <c r="AS16">
        <v>0.28648940000000001</v>
      </c>
      <c r="AT16">
        <v>-35.837594000000003</v>
      </c>
    </row>
    <row r="17" spans="1:46" x14ac:dyDescent="0.25">
      <c r="A17">
        <v>15</v>
      </c>
      <c r="B17">
        <v>9.094812499999998</v>
      </c>
      <c r="C17">
        <v>0.5388264285714286</v>
      </c>
      <c r="D17">
        <v>3.9068942474143498E-2</v>
      </c>
      <c r="E17">
        <v>-0.13486022205529141</v>
      </c>
      <c r="F17">
        <v>2.9254185218029849</v>
      </c>
      <c r="G17">
        <v>9.2417350000000003</v>
      </c>
      <c r="H17">
        <v>-12.118085000000001</v>
      </c>
      <c r="I17">
        <v>-8.6423960000000015</v>
      </c>
      <c r="J17">
        <v>12.130185000000001</v>
      </c>
      <c r="K17">
        <v>6.8524570000000002</v>
      </c>
      <c r="L17">
        <v>-4.8054999999999994</v>
      </c>
      <c r="M17">
        <v>36.23151</v>
      </c>
      <c r="N17">
        <v>0.22411849499999981</v>
      </c>
      <c r="O17">
        <v>-15.942235</v>
      </c>
      <c r="P17">
        <v>43.027115000000002</v>
      </c>
      <c r="Q17">
        <v>0.91045410000000015</v>
      </c>
      <c r="R17">
        <v>12.993399999999999</v>
      </c>
      <c r="S17">
        <v>12.64378</v>
      </c>
      <c r="T17">
        <v>-10.304444999999999</v>
      </c>
      <c r="U17">
        <v>-14.48481250000011</v>
      </c>
      <c r="V17">
        <v>-39.342499999999923</v>
      </c>
      <c r="W17">
        <v>139.6894999999999</v>
      </c>
      <c r="X17">
        <v>88.226874999999964</v>
      </c>
      <c r="Y17">
        <v>-9.0101249999999951</v>
      </c>
      <c r="Z17">
        <v>-220.81456249999991</v>
      </c>
      <c r="AA17">
        <v>-317.59749999999963</v>
      </c>
      <c r="AB17">
        <v>167.577468125</v>
      </c>
      <c r="AC17">
        <v>63.641250000000021</v>
      </c>
      <c r="AD17">
        <v>381.00500000000022</v>
      </c>
      <c r="AE17">
        <v>-160.12468125000001</v>
      </c>
      <c r="AF17">
        <v>261.05499999999989</v>
      </c>
      <c r="AG17">
        <v>811.11124999999993</v>
      </c>
      <c r="AH17">
        <v>-110.252375</v>
      </c>
      <c r="AI17">
        <v>5.3968445000000003</v>
      </c>
      <c r="AJ17">
        <v>2.2107739999999998</v>
      </c>
      <c r="AK17">
        <v>-0.6517096</v>
      </c>
      <c r="AL17">
        <v>33.975594999999998</v>
      </c>
      <c r="AM17">
        <v>0.23855784999999979</v>
      </c>
      <c r="AN17">
        <v>1.3682080000000001</v>
      </c>
      <c r="AO17">
        <v>0.29365085000000002</v>
      </c>
      <c r="AP17">
        <v>-1.339932499999998</v>
      </c>
      <c r="AQ17">
        <v>3.2495599999999998</v>
      </c>
      <c r="AR17">
        <v>-1.5765205000000001E-2</v>
      </c>
      <c r="AS17">
        <v>0.30929499999999999</v>
      </c>
      <c r="AT17">
        <v>-36.945365000000002</v>
      </c>
    </row>
    <row r="18" spans="1:46" x14ac:dyDescent="0.25">
      <c r="A18">
        <v>16</v>
      </c>
      <c r="B18">
        <v>9.0915500000000016</v>
      </c>
      <c r="C18">
        <v>0.5383398021978022</v>
      </c>
      <c r="D18">
        <v>6.1011984480775598E-3</v>
      </c>
      <c r="E18">
        <v>-0.16677779437880361</v>
      </c>
      <c r="F18">
        <v>3.0925432781585682</v>
      </c>
      <c r="G18">
        <v>9.2252919999999996</v>
      </c>
      <c r="H18">
        <v>-12.162483999999999</v>
      </c>
      <c r="I18">
        <v>-8.4840444000000002</v>
      </c>
      <c r="J18">
        <v>12.232583999999999</v>
      </c>
      <c r="K18">
        <v>6.8414428000000003</v>
      </c>
      <c r="L18">
        <v>-5.0656879999999997</v>
      </c>
      <c r="M18">
        <v>35.861644000000013</v>
      </c>
      <c r="N18">
        <v>0.41976342799999983</v>
      </c>
      <c r="O18">
        <v>-15.869184000000001</v>
      </c>
      <c r="P18">
        <v>43.468755999999999</v>
      </c>
      <c r="Q18">
        <v>0.72280264000000027</v>
      </c>
      <c r="R18">
        <v>13.28166</v>
      </c>
      <c r="S18">
        <v>13.586512000000001</v>
      </c>
      <c r="T18">
        <v>-10.446168</v>
      </c>
      <c r="U18">
        <v>-13.270800000000101</v>
      </c>
      <c r="V18">
        <v>-37.036999999999892</v>
      </c>
      <c r="W18">
        <v>133.16305</v>
      </c>
      <c r="X18">
        <v>86.954499999999967</v>
      </c>
      <c r="Y18">
        <v>-10.20130000000001</v>
      </c>
      <c r="Z18">
        <v>-223.96069999999989</v>
      </c>
      <c r="AA18">
        <v>-322.70149999999978</v>
      </c>
      <c r="AB18">
        <v>165.24045599999999</v>
      </c>
      <c r="AC18">
        <v>59.284000000000063</v>
      </c>
      <c r="AD18">
        <v>375.21949999999998</v>
      </c>
      <c r="AE18">
        <v>-164.16535999999999</v>
      </c>
      <c r="AF18">
        <v>241.13199999999989</v>
      </c>
      <c r="AG18">
        <v>798.83699999999988</v>
      </c>
      <c r="AH18">
        <v>-123.3292</v>
      </c>
      <c r="AI18">
        <v>5.1488568000000008</v>
      </c>
      <c r="AJ18">
        <v>2.3089795999999998</v>
      </c>
      <c r="AK18">
        <v>-0.66033883999999998</v>
      </c>
      <c r="AL18">
        <v>32.776068000000002</v>
      </c>
      <c r="AM18">
        <v>0.56509523999999967</v>
      </c>
      <c r="AN18">
        <v>1.4673532</v>
      </c>
      <c r="AO18">
        <v>0.30893704</v>
      </c>
      <c r="AP18">
        <v>-3.2144199999999969</v>
      </c>
      <c r="AQ18">
        <v>3.3806980000000002</v>
      </c>
      <c r="AR18">
        <v>-1.6069791999999999E-2</v>
      </c>
      <c r="AS18">
        <v>0.33210060000000002</v>
      </c>
      <c r="AT18">
        <v>-38.053136000000002</v>
      </c>
    </row>
    <row r="19" spans="1:46" x14ac:dyDescent="0.25">
      <c r="A19">
        <v>17</v>
      </c>
      <c r="B19">
        <v>9.0882875000000052</v>
      </c>
      <c r="C19">
        <v>0.5378531758241758</v>
      </c>
      <c r="D19">
        <v>-8.3523989599270584E-3</v>
      </c>
      <c r="E19">
        <v>-0.1944499118772674</v>
      </c>
      <c r="F19">
        <v>3.252768242252301</v>
      </c>
      <c r="G19">
        <v>9.208848999999999</v>
      </c>
      <c r="H19">
        <v>-12.206882999999999</v>
      </c>
      <c r="I19">
        <v>-8.3256928000000006</v>
      </c>
      <c r="J19">
        <v>12.334982999999999</v>
      </c>
      <c r="K19">
        <v>6.8304286000000003</v>
      </c>
      <c r="L19">
        <v>-5.3258759999999992</v>
      </c>
      <c r="M19">
        <v>35.491777999999996</v>
      </c>
      <c r="N19">
        <v>0.6154083609999994</v>
      </c>
      <c r="O19">
        <v>-15.796132999999999</v>
      </c>
      <c r="P19">
        <v>43.910397000000003</v>
      </c>
      <c r="Q19">
        <v>0.53515118000000061</v>
      </c>
      <c r="R19">
        <v>13.56992</v>
      </c>
      <c r="S19">
        <v>14.529244</v>
      </c>
      <c r="T19">
        <v>-10.587891000000001</v>
      </c>
      <c r="U19">
        <v>-12.05678750000008</v>
      </c>
      <c r="V19">
        <v>-34.731499999999848</v>
      </c>
      <c r="W19">
        <v>126.6366</v>
      </c>
      <c r="X19">
        <v>85.682124999999971</v>
      </c>
      <c r="Y19">
        <v>-11.392475000000021</v>
      </c>
      <c r="Z19">
        <v>-227.1068374999999</v>
      </c>
      <c r="AA19">
        <v>-327.80549999999999</v>
      </c>
      <c r="AB19">
        <v>162.90344387499999</v>
      </c>
      <c r="AC19">
        <v>54.926750000000119</v>
      </c>
      <c r="AD19">
        <v>369.43399999999991</v>
      </c>
      <c r="AE19">
        <v>-168.20603875</v>
      </c>
      <c r="AF19">
        <v>221.209</v>
      </c>
      <c r="AG19">
        <v>786.56274999999982</v>
      </c>
      <c r="AH19">
        <v>-136.406025</v>
      </c>
      <c r="AI19">
        <v>4.9008691000000004</v>
      </c>
      <c r="AJ19">
        <v>2.4071851999999989</v>
      </c>
      <c r="AK19">
        <v>-0.66896808000000008</v>
      </c>
      <c r="AL19">
        <v>31.576540999999999</v>
      </c>
      <c r="AM19">
        <v>0.89163262999999893</v>
      </c>
      <c r="AN19">
        <v>1.5664984</v>
      </c>
      <c r="AO19">
        <v>0.32422322999999997</v>
      </c>
      <c r="AP19">
        <v>-5.0889074999999941</v>
      </c>
      <c r="AQ19">
        <v>3.5118359999999988</v>
      </c>
      <c r="AR19">
        <v>-1.6374379000000001E-2</v>
      </c>
      <c r="AS19">
        <v>0.35490619999999989</v>
      </c>
      <c r="AT19">
        <v>-39.160906999999987</v>
      </c>
    </row>
    <row r="20" spans="1:46" x14ac:dyDescent="0.25">
      <c r="A20">
        <v>18</v>
      </c>
      <c r="B20">
        <v>9.0858500000000006</v>
      </c>
      <c r="C20">
        <v>0.53740982417582417</v>
      </c>
      <c r="D20">
        <v>1.5787524082514399E-3</v>
      </c>
      <c r="E20">
        <v>-0.20569746082774279</v>
      </c>
      <c r="F20">
        <v>3.4066590183767089</v>
      </c>
      <c r="G20">
        <v>9.1966497999999994</v>
      </c>
      <c r="H20">
        <v>-12.244066</v>
      </c>
      <c r="I20">
        <v>-8.1874910000000014</v>
      </c>
      <c r="J20">
        <v>12.432278</v>
      </c>
      <c r="K20">
        <v>6.8155688000000003</v>
      </c>
      <c r="L20">
        <v>-5.5923406</v>
      </c>
      <c r="M20">
        <v>35.103982000000002</v>
      </c>
      <c r="N20">
        <v>0.79992993999999995</v>
      </c>
      <c r="O20">
        <v>-15.739098</v>
      </c>
      <c r="P20">
        <v>44.329707999999997</v>
      </c>
      <c r="Q20">
        <v>0.33445306000000019</v>
      </c>
      <c r="R20">
        <v>13.801684</v>
      </c>
      <c r="S20">
        <v>15.42076</v>
      </c>
      <c r="T20">
        <v>-10.760216</v>
      </c>
      <c r="U20">
        <v>-10.645875000000039</v>
      </c>
      <c r="V20">
        <v>-32.313249999999883</v>
      </c>
      <c r="W20">
        <v>120.1118</v>
      </c>
      <c r="X20">
        <v>83.856999999999999</v>
      </c>
      <c r="Y20">
        <v>-12.734900000000019</v>
      </c>
      <c r="Z20">
        <v>-228.49104999999989</v>
      </c>
      <c r="AA20">
        <v>-334.08925000000011</v>
      </c>
      <c r="AB20">
        <v>158.48335075</v>
      </c>
      <c r="AC20">
        <v>49.252250000000103</v>
      </c>
      <c r="AD20">
        <v>361.31099999999992</v>
      </c>
      <c r="AE20">
        <v>-172.59250249999999</v>
      </c>
      <c r="AF20">
        <v>203.98374999999999</v>
      </c>
      <c r="AG20">
        <v>768.00199999999984</v>
      </c>
      <c r="AH20">
        <v>-144.74074999999999</v>
      </c>
      <c r="AI20">
        <v>4.7420781999999999</v>
      </c>
      <c r="AJ20">
        <v>2.3884607999999998</v>
      </c>
      <c r="AK20">
        <v>-0.65318260000000006</v>
      </c>
      <c r="AL20">
        <v>30.929544</v>
      </c>
      <c r="AM20">
        <v>1.15817536</v>
      </c>
      <c r="AN20">
        <v>1.5940798</v>
      </c>
      <c r="AO20">
        <v>0.31923642000000002</v>
      </c>
      <c r="AP20">
        <v>-6.4611767999999987</v>
      </c>
      <c r="AQ20">
        <v>3.6155135999999999</v>
      </c>
      <c r="AR20">
        <v>-1.5209212E-2</v>
      </c>
      <c r="AS20">
        <v>0.35828117999999998</v>
      </c>
      <c r="AT20">
        <v>-39.543778000000003</v>
      </c>
    </row>
    <row r="21" spans="1:46" x14ac:dyDescent="0.25">
      <c r="A21">
        <v>19</v>
      </c>
      <c r="B21">
        <v>9.0836749999999942</v>
      </c>
      <c r="C21">
        <v>0.53698024175824177</v>
      </c>
      <c r="D21">
        <v>3.3296773736290787E-2</v>
      </c>
      <c r="E21">
        <v>-0.20101022554220899</v>
      </c>
      <c r="F21">
        <v>3.5221362713806168</v>
      </c>
      <c r="G21">
        <v>9.1858009000000003</v>
      </c>
      <c r="H21">
        <v>-12.278953</v>
      </c>
      <c r="I21">
        <v>-8.0557005000000004</v>
      </c>
      <c r="J21">
        <v>12.527949</v>
      </c>
      <c r="K21">
        <v>6.7994854</v>
      </c>
      <c r="L21">
        <v>-5.8608022999999996</v>
      </c>
      <c r="M21">
        <v>34.710481000000001</v>
      </c>
      <c r="N21">
        <v>0.9809122699999997</v>
      </c>
      <c r="O21">
        <v>-15.687158999999999</v>
      </c>
      <c r="P21">
        <v>44.741914000000001</v>
      </c>
      <c r="Q21">
        <v>0.12960373000000039</v>
      </c>
      <c r="R21">
        <v>14.015472000000001</v>
      </c>
      <c r="S21">
        <v>16.29598</v>
      </c>
      <c r="T21">
        <v>-10.942278</v>
      </c>
      <c r="U21">
        <v>-9.1723125000000003</v>
      </c>
      <c r="V21">
        <v>-29.859124999999938</v>
      </c>
      <c r="W21">
        <v>113.5875250000001</v>
      </c>
      <c r="X21">
        <v>81.856000000000023</v>
      </c>
      <c r="Y21">
        <v>-14.12545000000002</v>
      </c>
      <c r="Z21">
        <v>-229.31464999999989</v>
      </c>
      <c r="AA21">
        <v>-340.74837500000018</v>
      </c>
      <c r="AB21">
        <v>153.400459125</v>
      </c>
      <c r="AC21">
        <v>43.158625000000079</v>
      </c>
      <c r="AD21">
        <v>352.4442499999999</v>
      </c>
      <c r="AE21">
        <v>-177.08898875</v>
      </c>
      <c r="AF21">
        <v>187.61687499999999</v>
      </c>
      <c r="AG21">
        <v>747.44099999999992</v>
      </c>
      <c r="AH21">
        <v>-151.56662499999999</v>
      </c>
      <c r="AI21">
        <v>4.6116681000000002</v>
      </c>
      <c r="AJ21">
        <v>2.3325314000000001</v>
      </c>
      <c r="AK21">
        <v>-0.6296288000000001</v>
      </c>
      <c r="AL21">
        <v>30.458352000000001</v>
      </c>
      <c r="AM21">
        <v>1.4056288800000001</v>
      </c>
      <c r="AN21">
        <v>1.5988909</v>
      </c>
      <c r="AO21">
        <v>0.30779910999999999</v>
      </c>
      <c r="AP21">
        <v>-7.6736493999999977</v>
      </c>
      <c r="AQ21">
        <v>3.7104537999999998</v>
      </c>
      <c r="AR21">
        <v>-1.3576395999999999E-2</v>
      </c>
      <c r="AS21">
        <v>0.35547369000000001</v>
      </c>
      <c r="AT21">
        <v>-39.695999</v>
      </c>
    </row>
    <row r="22" spans="1:46" x14ac:dyDescent="0.25">
      <c r="A22">
        <v>20</v>
      </c>
      <c r="B22">
        <v>9.0814999999999877</v>
      </c>
      <c r="C22">
        <v>0.53655065934065937</v>
      </c>
      <c r="D22">
        <v>6.1327400240705987E-2</v>
      </c>
      <c r="E22">
        <v>-0.18726607023917549</v>
      </c>
      <c r="F22">
        <v>3.634848734581265</v>
      </c>
      <c r="G22">
        <v>9.1749519999999993</v>
      </c>
      <c r="H22">
        <v>-12.313840000000001</v>
      </c>
      <c r="I22">
        <v>-7.9239100000000002</v>
      </c>
      <c r="J22">
        <v>12.623620000000001</v>
      </c>
      <c r="K22">
        <v>6.7834019999999997</v>
      </c>
      <c r="L22">
        <v>-6.129264</v>
      </c>
      <c r="M22">
        <v>34.316980000000001</v>
      </c>
      <c r="N22">
        <v>1.1618946000000001</v>
      </c>
      <c r="O22">
        <v>-15.63522</v>
      </c>
      <c r="P22">
        <v>45.154119999999999</v>
      </c>
      <c r="Q22">
        <v>-7.524560000000019E-2</v>
      </c>
      <c r="R22">
        <v>14.22926</v>
      </c>
      <c r="S22">
        <v>17.171199999999999</v>
      </c>
      <c r="T22">
        <v>-11.12434</v>
      </c>
      <c r="U22">
        <v>-7.6987499999999534</v>
      </c>
      <c r="V22">
        <v>-27.40499999999999</v>
      </c>
      <c r="W22">
        <v>107.06325</v>
      </c>
      <c r="X22">
        <v>79.855000000000047</v>
      </c>
      <c r="Y22">
        <v>-15.51600000000002</v>
      </c>
      <c r="Z22">
        <v>-230.13825</v>
      </c>
      <c r="AA22">
        <v>-347.40750000000031</v>
      </c>
      <c r="AB22">
        <v>148.3175675</v>
      </c>
      <c r="AC22">
        <v>37.065000000000033</v>
      </c>
      <c r="AD22">
        <v>343.57749999999987</v>
      </c>
      <c r="AE22">
        <v>-181.585475</v>
      </c>
      <c r="AF22">
        <v>171.25</v>
      </c>
      <c r="AG22">
        <v>726.88</v>
      </c>
      <c r="AH22">
        <v>-158.39250000000001</v>
      </c>
      <c r="AI22">
        <v>4.4812580000000004</v>
      </c>
      <c r="AJ22">
        <v>2.276602</v>
      </c>
      <c r="AK22">
        <v>-0.60607500000000003</v>
      </c>
      <c r="AL22">
        <v>29.987159999999999</v>
      </c>
      <c r="AM22">
        <v>1.6530824</v>
      </c>
      <c r="AN22">
        <v>1.603702</v>
      </c>
      <c r="AO22">
        <v>0.29636180000000001</v>
      </c>
      <c r="AP22">
        <v>-8.8861220000000003</v>
      </c>
      <c r="AQ22">
        <v>3.8053940000000002</v>
      </c>
      <c r="AR22">
        <v>-1.1943580000000001E-2</v>
      </c>
      <c r="AS22">
        <v>0.35266619999999999</v>
      </c>
      <c r="AT22">
        <v>-39.848219999999998</v>
      </c>
    </row>
    <row r="23" spans="1:46" x14ac:dyDescent="0.25">
      <c r="A23">
        <v>21</v>
      </c>
      <c r="B23">
        <v>9.0797749999999837</v>
      </c>
      <c r="C23">
        <v>0.5361410054945055</v>
      </c>
      <c r="D23">
        <v>8.5539986031527723E-2</v>
      </c>
      <c r="E23">
        <v>-0.16937255483012631</v>
      </c>
      <c r="F23">
        <v>3.7342561544473192</v>
      </c>
      <c r="G23">
        <v>9.1660254999999999</v>
      </c>
      <c r="H23">
        <v>-12.345586000000001</v>
      </c>
      <c r="I23">
        <v>-7.8000746000000003</v>
      </c>
      <c r="J23">
        <v>12.716411000000001</v>
      </c>
      <c r="K23">
        <v>6.7654394</v>
      </c>
      <c r="L23">
        <v>-6.3972027999999996</v>
      </c>
      <c r="M23">
        <v>33.914281000000003</v>
      </c>
      <c r="N23">
        <v>1.3348078000000001</v>
      </c>
      <c r="O23">
        <v>-15.591858</v>
      </c>
      <c r="P23">
        <v>45.553446999999998</v>
      </c>
      <c r="Q23">
        <v>-0.28592134999999991</v>
      </c>
      <c r="R23">
        <v>14.425525</v>
      </c>
      <c r="S23">
        <v>18.016324000000001</v>
      </c>
      <c r="T23">
        <v>-11.310829999999999</v>
      </c>
      <c r="U23">
        <v>-6.2141624999999294</v>
      </c>
      <c r="V23">
        <v>-24.902500000000039</v>
      </c>
      <c r="W23">
        <v>100.6818500000001</v>
      </c>
      <c r="X23">
        <v>77.679625000000058</v>
      </c>
      <c r="Y23">
        <v>-17.002175000000008</v>
      </c>
      <c r="Z23">
        <v>-230.1544375</v>
      </c>
      <c r="AA23">
        <v>-354.49862500000017</v>
      </c>
      <c r="AB23">
        <v>142.34942125000001</v>
      </c>
      <c r="AC23">
        <v>30.520250000000001</v>
      </c>
      <c r="AD23">
        <v>333.822</v>
      </c>
      <c r="AE23">
        <v>-186.14165374999999</v>
      </c>
      <c r="AF23">
        <v>156.410875</v>
      </c>
      <c r="AG23">
        <v>704.37275000000011</v>
      </c>
      <c r="AH23">
        <v>-163.23500000000001</v>
      </c>
      <c r="AI23">
        <v>4.2832542999999994</v>
      </c>
      <c r="AJ23">
        <v>2.2190705999999998</v>
      </c>
      <c r="AK23">
        <v>-0.58154713000000002</v>
      </c>
      <c r="AL23">
        <v>29.026205999999998</v>
      </c>
      <c r="AM23">
        <v>1.9073374000000001</v>
      </c>
      <c r="AN23">
        <v>1.6105912</v>
      </c>
      <c r="AO23">
        <v>0.28628798999999999</v>
      </c>
      <c r="AP23">
        <v>-10.034132100000001</v>
      </c>
      <c r="AQ23">
        <v>3.8972498999999998</v>
      </c>
      <c r="AR23">
        <v>-9.5745685000000018E-3</v>
      </c>
      <c r="AS23">
        <v>0.35129348999999999</v>
      </c>
      <c r="AT23">
        <v>-39.793594000000013</v>
      </c>
    </row>
    <row r="24" spans="1:46" x14ac:dyDescent="0.25">
      <c r="A24">
        <v>22</v>
      </c>
      <c r="B24">
        <v>9.0790499999999845</v>
      </c>
      <c r="C24">
        <v>0.53577563736263734</v>
      </c>
      <c r="D24">
        <v>0.1012261364216122</v>
      </c>
      <c r="E24">
        <v>-0.15576115700642049</v>
      </c>
      <c r="F24">
        <v>3.8325532495791208</v>
      </c>
      <c r="G24">
        <v>9.161370999999999</v>
      </c>
      <c r="H24">
        <v>-12.370352</v>
      </c>
      <c r="I24">
        <v>-7.6939171999999996</v>
      </c>
      <c r="J24">
        <v>12.802802</v>
      </c>
      <c r="K24">
        <v>6.7433008000000001</v>
      </c>
      <c r="L24">
        <v>-6.6639796000000002</v>
      </c>
      <c r="M24">
        <v>33.491142000000004</v>
      </c>
      <c r="N24">
        <v>1.4897895999999999</v>
      </c>
      <c r="O24">
        <v>-15.567556</v>
      </c>
      <c r="P24">
        <v>45.924154000000001</v>
      </c>
      <c r="Q24">
        <v>-0.50954470000000052</v>
      </c>
      <c r="R24">
        <v>14.582850000000001</v>
      </c>
      <c r="S24">
        <v>18.794568000000002</v>
      </c>
      <c r="T24">
        <v>-11.507160000000001</v>
      </c>
      <c r="U24">
        <v>-4.7050749999999404</v>
      </c>
      <c r="V24">
        <v>-22.292500000000061</v>
      </c>
      <c r="W24">
        <v>94.61795000000005</v>
      </c>
      <c r="X24">
        <v>75.116750000000039</v>
      </c>
      <c r="Y24">
        <v>-18.70085000000001</v>
      </c>
      <c r="Z24">
        <v>-228.376375</v>
      </c>
      <c r="AA24">
        <v>-362.54975000000019</v>
      </c>
      <c r="AB24">
        <v>134.41404249999999</v>
      </c>
      <c r="AC24">
        <v>22.972999999999931</v>
      </c>
      <c r="AD24">
        <v>322.0915</v>
      </c>
      <c r="AE24">
        <v>-190.83048249999999</v>
      </c>
      <c r="AF24">
        <v>144.96674999999999</v>
      </c>
      <c r="AG24">
        <v>677.54050000000007</v>
      </c>
      <c r="AH24">
        <v>-163.66999999999999</v>
      </c>
      <c r="AI24">
        <v>3.9350425999999992</v>
      </c>
      <c r="AJ24">
        <v>2.1579792000000002</v>
      </c>
      <c r="AK24">
        <v>-0.55485465999999994</v>
      </c>
      <c r="AL24">
        <v>26.976891999999999</v>
      </c>
      <c r="AM24">
        <v>2.1767067999999998</v>
      </c>
      <c r="AN24">
        <v>1.6220984000000001</v>
      </c>
      <c r="AO24">
        <v>0.27924418000000001</v>
      </c>
      <c r="AP24">
        <v>-11.038892199999999</v>
      </c>
      <c r="AQ24">
        <v>3.9822517999999998</v>
      </c>
      <c r="AR24">
        <v>-5.5695669999999914E-3</v>
      </c>
      <c r="AS24">
        <v>0.35310918000000002</v>
      </c>
      <c r="AT24">
        <v>-39.279308</v>
      </c>
    </row>
    <row r="25" spans="1:46" x14ac:dyDescent="0.25">
      <c r="A25">
        <v>23</v>
      </c>
      <c r="B25">
        <v>9.0783249999999835</v>
      </c>
      <c r="C25">
        <v>0.53541026923076929</v>
      </c>
      <c r="D25">
        <v>9.7711262509347599E-2</v>
      </c>
      <c r="E25">
        <v>-0.14594174439189911</v>
      </c>
      <c r="F25">
        <v>3.885998504420578</v>
      </c>
      <c r="G25">
        <v>9.1567164999999999</v>
      </c>
      <c r="H25">
        <v>-12.395118</v>
      </c>
      <c r="I25">
        <v>-7.5877598000000006</v>
      </c>
      <c r="J25">
        <v>12.889193000000001</v>
      </c>
      <c r="K25">
        <v>6.7211622000000002</v>
      </c>
      <c r="L25">
        <v>-6.9307563999999999</v>
      </c>
      <c r="M25">
        <v>33.068002999999997</v>
      </c>
      <c r="N25">
        <v>1.6447714</v>
      </c>
      <c r="O25">
        <v>-15.543253999999999</v>
      </c>
      <c r="P25">
        <v>46.294860999999997</v>
      </c>
      <c r="Q25">
        <v>-0.73316805000000018</v>
      </c>
      <c r="R25">
        <v>14.740175000000001</v>
      </c>
      <c r="S25">
        <v>19.572811999999999</v>
      </c>
      <c r="T25">
        <v>-11.70349</v>
      </c>
      <c r="U25">
        <v>-3.1959874999999549</v>
      </c>
      <c r="V25">
        <v>-19.68250000000009</v>
      </c>
      <c r="W25">
        <v>88.554050000000061</v>
      </c>
      <c r="X25">
        <v>72.553875000000033</v>
      </c>
      <c r="Y25">
        <v>-20.39952499999999</v>
      </c>
      <c r="Z25">
        <v>-226.59831249999999</v>
      </c>
      <c r="AA25">
        <v>-370.60087500000009</v>
      </c>
      <c r="AB25">
        <v>126.47866375</v>
      </c>
      <c r="AC25">
        <v>15.42574999999988</v>
      </c>
      <c r="AD25">
        <v>310.36099999999999</v>
      </c>
      <c r="AE25">
        <v>-195.51931124999999</v>
      </c>
      <c r="AF25">
        <v>133.52262500000001</v>
      </c>
      <c r="AG25">
        <v>650.70825000000013</v>
      </c>
      <c r="AH25">
        <v>-164.1050000000001</v>
      </c>
      <c r="AI25">
        <v>3.5868308999999989</v>
      </c>
      <c r="AJ25">
        <v>2.0968878000000002</v>
      </c>
      <c r="AK25">
        <v>-0.52816218999999998</v>
      </c>
      <c r="AL25">
        <v>24.927578</v>
      </c>
      <c r="AM25">
        <v>2.4460761999999998</v>
      </c>
      <c r="AN25">
        <v>1.6336056000000001</v>
      </c>
      <c r="AO25">
        <v>0.27220037000000002</v>
      </c>
      <c r="AP25">
        <v>-12.0436523</v>
      </c>
      <c r="AQ25">
        <v>4.0672537000000002</v>
      </c>
      <c r="AR25">
        <v>-1.5645654999999949E-3</v>
      </c>
      <c r="AS25">
        <v>0.35492487</v>
      </c>
      <c r="AT25">
        <v>-38.765022000000002</v>
      </c>
    </row>
    <row r="26" spans="1:46" x14ac:dyDescent="0.25">
      <c r="A26">
        <v>24</v>
      </c>
      <c r="B26">
        <v>9.0775999999999843</v>
      </c>
      <c r="C26">
        <v>0.53504490109890113</v>
      </c>
      <c r="D26">
        <v>8.6358847622503052E-2</v>
      </c>
      <c r="E26">
        <v>-0.14674815108629949</v>
      </c>
      <c r="F26">
        <v>3.9284971408005309</v>
      </c>
      <c r="G26">
        <v>9.152061999999999</v>
      </c>
      <c r="H26">
        <v>-12.419884</v>
      </c>
      <c r="I26">
        <v>-7.4816023999999999</v>
      </c>
      <c r="J26">
        <v>12.975584</v>
      </c>
      <c r="K26">
        <v>6.6990236000000003</v>
      </c>
      <c r="L26">
        <v>-7.1975332000000014</v>
      </c>
      <c r="M26">
        <v>32.644863999999998</v>
      </c>
      <c r="N26">
        <v>1.7997532000000001</v>
      </c>
      <c r="O26">
        <v>-15.518952000000001</v>
      </c>
      <c r="P26">
        <v>46.665568</v>
      </c>
      <c r="Q26">
        <v>-0.95679139999999996</v>
      </c>
      <c r="R26">
        <v>14.897500000000001</v>
      </c>
      <c r="S26">
        <v>20.351056</v>
      </c>
      <c r="T26">
        <v>-11.89982</v>
      </c>
      <c r="U26">
        <v>-1.686899999999971</v>
      </c>
      <c r="V26">
        <v>-17.072500000000129</v>
      </c>
      <c r="W26">
        <v>82.490150000000071</v>
      </c>
      <c r="X26">
        <v>69.991000000000014</v>
      </c>
      <c r="Y26">
        <v>-22.098199999999981</v>
      </c>
      <c r="Z26">
        <v>-224.8202500000001</v>
      </c>
      <c r="AA26">
        <v>-378.65199999999999</v>
      </c>
      <c r="AB26">
        <v>118.543285</v>
      </c>
      <c r="AC26">
        <v>7.8784999999998364</v>
      </c>
      <c r="AD26">
        <v>298.6305000000001</v>
      </c>
      <c r="AE26">
        <v>-200.20813999999999</v>
      </c>
      <c r="AF26">
        <v>122.07850000000001</v>
      </c>
      <c r="AG26">
        <v>623.8760000000002</v>
      </c>
      <c r="AH26">
        <v>-164.54000000000011</v>
      </c>
      <c r="AI26">
        <v>3.2386192</v>
      </c>
      <c r="AJ26">
        <v>2.0357964000000002</v>
      </c>
      <c r="AK26">
        <v>-0.50146972000000001</v>
      </c>
      <c r="AL26">
        <v>22.878264000000001</v>
      </c>
      <c r="AM26">
        <v>2.7154455999999998</v>
      </c>
      <c r="AN26">
        <v>1.6451127999999999</v>
      </c>
      <c r="AO26">
        <v>0.26515655999999999</v>
      </c>
      <c r="AP26">
        <v>-13.0484124</v>
      </c>
      <c r="AQ26">
        <v>4.1522555999999993</v>
      </c>
      <c r="AR26">
        <v>2.4404360000000011E-3</v>
      </c>
      <c r="AS26">
        <v>0.35674055999999998</v>
      </c>
      <c r="AT26">
        <v>-38.250736000000003</v>
      </c>
    </row>
    <row r="27" spans="1:46" x14ac:dyDescent="0.25">
      <c r="A27">
        <v>25</v>
      </c>
      <c r="B27">
        <v>9.0774999999999917</v>
      </c>
      <c r="C27">
        <v>0.5347395604395605</v>
      </c>
      <c r="D27">
        <v>7.5489537115916175E-2</v>
      </c>
      <c r="E27">
        <v>-0.15012588191056811</v>
      </c>
      <c r="F27">
        <v>3.960383010278314</v>
      </c>
      <c r="G27">
        <v>9.1524750000000008</v>
      </c>
      <c r="H27">
        <v>-12.435375000000001</v>
      </c>
      <c r="I27">
        <v>-7.3951675000000003</v>
      </c>
      <c r="J27">
        <v>13.052300000000001</v>
      </c>
      <c r="K27">
        <v>6.6703900000000003</v>
      </c>
      <c r="L27">
        <v>-7.4535</v>
      </c>
      <c r="M27">
        <v>32.191749999999999</v>
      </c>
      <c r="N27">
        <v>1.9224224999999999</v>
      </c>
      <c r="O27">
        <v>-15.522875000000001</v>
      </c>
      <c r="P27">
        <v>46.991149999999998</v>
      </c>
      <c r="Q27">
        <v>-1.1965669999999999</v>
      </c>
      <c r="R27">
        <v>15.024575</v>
      </c>
      <c r="S27">
        <v>21.027850000000001</v>
      </c>
      <c r="T27">
        <v>-12.08685</v>
      </c>
      <c r="U27">
        <v>-0.35187499999999899</v>
      </c>
      <c r="V27">
        <v>-14.33125000000012</v>
      </c>
      <c r="W27">
        <v>77.205937500000061</v>
      </c>
      <c r="X27">
        <v>67.084374999999966</v>
      </c>
      <c r="Y27">
        <v>-24.173749999999998</v>
      </c>
      <c r="Z27">
        <v>-220.67937499999999</v>
      </c>
      <c r="AA27">
        <v>-387.70312500000011</v>
      </c>
      <c r="AB27">
        <v>108.1940625</v>
      </c>
      <c r="AC27">
        <v>-0.53750000000015064</v>
      </c>
      <c r="AD27">
        <v>284.73124999999999</v>
      </c>
      <c r="AE27">
        <v>-204.58534374999999</v>
      </c>
      <c r="AF27">
        <v>115.059375</v>
      </c>
      <c r="AG27">
        <v>593.51875000000007</v>
      </c>
      <c r="AH27">
        <v>-159.98750000000001</v>
      </c>
      <c r="AI27">
        <v>2.9407575000000001</v>
      </c>
      <c r="AJ27">
        <v>1.9566375</v>
      </c>
      <c r="AK27">
        <v>-0.47174775000000002</v>
      </c>
      <c r="AL27">
        <v>21.016349999999999</v>
      </c>
      <c r="AM27">
        <v>2.9016950000000001</v>
      </c>
      <c r="AN27">
        <v>1.6328849999999999</v>
      </c>
      <c r="AO27">
        <v>0.25962374999999999</v>
      </c>
      <c r="AP27">
        <v>-13.319050000000001</v>
      </c>
      <c r="AQ27">
        <v>4.2195424999999993</v>
      </c>
      <c r="AR27">
        <v>8.7883125000000131E-3</v>
      </c>
      <c r="AS27">
        <v>0.35841774999999998</v>
      </c>
      <c r="AT27">
        <v>-37.128425</v>
      </c>
    </row>
    <row r="28" spans="1:46" x14ac:dyDescent="0.25">
      <c r="A28">
        <v>26</v>
      </c>
      <c r="B28">
        <v>9.0775000000000006</v>
      </c>
      <c r="C28">
        <v>0.53444382417582414</v>
      </c>
      <c r="D28">
        <v>7.0790865021534005E-2</v>
      </c>
      <c r="E28">
        <v>-0.14921076317060941</v>
      </c>
      <c r="F28">
        <v>3.971825330142857</v>
      </c>
      <c r="G28">
        <v>9.1536988000000008</v>
      </c>
      <c r="H28">
        <v>-12.449382</v>
      </c>
      <c r="I28">
        <v>-7.3118882000000003</v>
      </c>
      <c r="J28">
        <v>13.127468</v>
      </c>
      <c r="K28">
        <v>6.6407172000000001</v>
      </c>
      <c r="L28">
        <v>-7.7077372000000004</v>
      </c>
      <c r="M28">
        <v>31.733840000000001</v>
      </c>
      <c r="N28">
        <v>2.0399218000000001</v>
      </c>
      <c r="O28">
        <v>-15.531314</v>
      </c>
      <c r="P28">
        <v>47.309512000000012</v>
      </c>
      <c r="Q28">
        <v>-1.4389269600000001</v>
      </c>
      <c r="R28">
        <v>15.14681</v>
      </c>
      <c r="S28">
        <v>21.688412</v>
      </c>
      <c r="T28">
        <v>-12.272392</v>
      </c>
      <c r="U28">
        <v>0.95529999999996518</v>
      </c>
      <c r="V28">
        <v>-11.569000000000131</v>
      </c>
      <c r="W28">
        <v>72.046475000000058</v>
      </c>
      <c r="X28">
        <v>64.122749999999925</v>
      </c>
      <c r="Y28">
        <v>-26.30960000000001</v>
      </c>
      <c r="Z28">
        <v>-216.16045</v>
      </c>
      <c r="AA28">
        <v>-396.9142500000001</v>
      </c>
      <c r="AB28">
        <v>97.458625000000026</v>
      </c>
      <c r="AC28">
        <v>-9.0925000000000917</v>
      </c>
      <c r="AD28">
        <v>270.48500000000013</v>
      </c>
      <c r="AE28">
        <v>-208.9126875</v>
      </c>
      <c r="AF28">
        <v>108.74825</v>
      </c>
      <c r="AG28">
        <v>562.59750000000008</v>
      </c>
      <c r="AH28">
        <v>-154.637</v>
      </c>
      <c r="AI28">
        <v>2.650951800000001</v>
      </c>
      <c r="AJ28">
        <v>1.8745878</v>
      </c>
      <c r="AK28">
        <v>-0.44154105999999999</v>
      </c>
      <c r="AL28">
        <v>19.184419999999999</v>
      </c>
      <c r="AM28">
        <v>3.0746452</v>
      </c>
      <c r="AN28">
        <v>1.6168596</v>
      </c>
      <c r="AO28">
        <v>0.25433270000000002</v>
      </c>
      <c r="AP28">
        <v>-13.472227999999999</v>
      </c>
      <c r="AQ28">
        <v>4.2839949999999991</v>
      </c>
      <c r="AR28">
        <v>1.5511049000000001E-2</v>
      </c>
      <c r="AS28">
        <v>0.36007277999999998</v>
      </c>
      <c r="AT28">
        <v>-35.908830000000002</v>
      </c>
    </row>
    <row r="29" spans="1:46" x14ac:dyDescent="0.25">
      <c r="A29">
        <v>27</v>
      </c>
      <c r="B29">
        <v>9.0775000000000095</v>
      </c>
      <c r="C29">
        <v>0.5341480879120879</v>
      </c>
      <c r="D29">
        <v>7.3045882927277844E-2</v>
      </c>
      <c r="E29">
        <v>-0.14704412166070649</v>
      </c>
      <c r="F29">
        <v>3.9662887892527352</v>
      </c>
      <c r="G29">
        <v>9.1549226000000008</v>
      </c>
      <c r="H29">
        <v>-12.463388999999999</v>
      </c>
      <c r="I29">
        <v>-7.2286088999999993</v>
      </c>
      <c r="J29">
        <v>13.202636</v>
      </c>
      <c r="K29">
        <v>6.6110443999999999</v>
      </c>
      <c r="L29">
        <v>-7.9619744000000008</v>
      </c>
      <c r="M29">
        <v>31.275929999999999</v>
      </c>
      <c r="N29">
        <v>2.1574211000000001</v>
      </c>
      <c r="O29">
        <v>-15.539752999999999</v>
      </c>
      <c r="P29">
        <v>47.627874000000013</v>
      </c>
      <c r="Q29">
        <v>-1.68128692</v>
      </c>
      <c r="R29">
        <v>15.269045</v>
      </c>
      <c r="S29">
        <v>22.348973999999998</v>
      </c>
      <c r="T29">
        <v>-12.457934</v>
      </c>
      <c r="U29">
        <v>2.262474999999935</v>
      </c>
      <c r="V29">
        <v>-8.8067500000001218</v>
      </c>
      <c r="W29">
        <v>66.88701250000004</v>
      </c>
      <c r="X29">
        <v>61.161124999999871</v>
      </c>
      <c r="Y29">
        <v>-28.44545000000004</v>
      </c>
      <c r="Z29">
        <v>-211.64152499999989</v>
      </c>
      <c r="AA29">
        <v>-406.12537500000008</v>
      </c>
      <c r="AB29">
        <v>86.723187500000009</v>
      </c>
      <c r="AC29">
        <v>-17.647500000000061</v>
      </c>
      <c r="AD29">
        <v>256.23874999999998</v>
      </c>
      <c r="AE29">
        <v>-213.24003124999999</v>
      </c>
      <c r="AF29">
        <v>102.4371249999999</v>
      </c>
      <c r="AG29">
        <v>531.67624999999998</v>
      </c>
      <c r="AH29">
        <v>-149.28649999999999</v>
      </c>
      <c r="AI29">
        <v>2.3611461</v>
      </c>
      <c r="AJ29">
        <v>1.7925381</v>
      </c>
      <c r="AK29">
        <v>-0.41133436999999989</v>
      </c>
      <c r="AL29">
        <v>17.35249</v>
      </c>
      <c r="AM29">
        <v>3.2475953999999998</v>
      </c>
      <c r="AN29">
        <v>1.6008342</v>
      </c>
      <c r="AO29">
        <v>0.24904165</v>
      </c>
      <c r="AP29">
        <v>-13.625406</v>
      </c>
      <c r="AQ29">
        <v>4.3484474999999998</v>
      </c>
      <c r="AR29">
        <v>2.2233785500000009E-2</v>
      </c>
      <c r="AS29">
        <v>0.36172780999999998</v>
      </c>
      <c r="AT29">
        <v>-34.689234999999996</v>
      </c>
    </row>
    <row r="30" spans="1:46" x14ac:dyDescent="0.25">
      <c r="A30">
        <v>28</v>
      </c>
      <c r="B30">
        <v>9.0779500000000137</v>
      </c>
      <c r="C30">
        <v>0.53388254945054936</v>
      </c>
      <c r="D30">
        <v>7.6728161207455958E-2</v>
      </c>
      <c r="E30">
        <v>-0.14188642542625399</v>
      </c>
      <c r="F30">
        <v>3.9676096928158961</v>
      </c>
      <c r="G30">
        <v>9.1580411999999995</v>
      </c>
      <c r="H30">
        <v>-12.472704</v>
      </c>
      <c r="I30">
        <v>-7.1529423999999997</v>
      </c>
      <c r="J30">
        <v>13.272644</v>
      </c>
      <c r="K30">
        <v>6.5774188000000002</v>
      </c>
      <c r="L30">
        <v>-8.2064412000000004</v>
      </c>
      <c r="M30">
        <v>30.801915999999999</v>
      </c>
      <c r="N30">
        <v>2.2548924000000001</v>
      </c>
      <c r="O30">
        <v>-15.562963999999999</v>
      </c>
      <c r="P30">
        <v>47.920736000000012</v>
      </c>
      <c r="Q30">
        <v>-1.9302188</v>
      </c>
      <c r="R30">
        <v>15.384907999999999</v>
      </c>
      <c r="S30">
        <v>22.955871999999999</v>
      </c>
      <c r="T30">
        <v>-12.630228000000001</v>
      </c>
      <c r="U30">
        <v>3.384849999999914</v>
      </c>
      <c r="V30">
        <v>-5.9890000000000958</v>
      </c>
      <c r="W30">
        <v>62.26590000000003</v>
      </c>
      <c r="X30">
        <v>58.09899999999984</v>
      </c>
      <c r="Y30">
        <v>-30.81395000000003</v>
      </c>
      <c r="Z30">
        <v>-206.00224999999989</v>
      </c>
      <c r="AA30">
        <v>-415.70550000000009</v>
      </c>
      <c r="AB30">
        <v>74.932050000000032</v>
      </c>
      <c r="AC30">
        <v>-26.375</v>
      </c>
      <c r="AD30">
        <v>241.10600000000011</v>
      </c>
      <c r="AE30">
        <v>-217.07434000000001</v>
      </c>
      <c r="AF30">
        <v>97.876499999999936</v>
      </c>
      <c r="AG30">
        <v>499.88499999999999</v>
      </c>
      <c r="AH30">
        <v>-142.0145</v>
      </c>
      <c r="AI30">
        <v>2.1371351999999999</v>
      </c>
      <c r="AJ30">
        <v>1.6894032000000001</v>
      </c>
      <c r="AK30">
        <v>-0.37803288000000002</v>
      </c>
      <c r="AL30">
        <v>15.949152</v>
      </c>
      <c r="AM30">
        <v>3.3855932000000002</v>
      </c>
      <c r="AN30">
        <v>1.5696167999999999</v>
      </c>
      <c r="AO30">
        <v>0.24087564</v>
      </c>
      <c r="AP30">
        <v>-13.496836</v>
      </c>
      <c r="AQ30">
        <v>4.3991407999999996</v>
      </c>
      <c r="AR30">
        <v>3.0833687999999991E-2</v>
      </c>
      <c r="AS30">
        <v>0.35817808000000001</v>
      </c>
      <c r="AT30">
        <v>-33.197828000000001</v>
      </c>
    </row>
    <row r="31" spans="1:46" x14ac:dyDescent="0.25">
      <c r="A31">
        <v>29</v>
      </c>
      <c r="B31">
        <v>9.0790375000000125</v>
      </c>
      <c r="C31">
        <v>0.53365979120879115</v>
      </c>
      <c r="D31">
        <v>7.6450292870944722E-2</v>
      </c>
      <c r="E31">
        <v>-0.12950168408736509</v>
      </c>
      <c r="F31">
        <v>3.9338744423282952</v>
      </c>
      <c r="G31">
        <v>9.1638441000000004</v>
      </c>
      <c r="H31">
        <v>-12.475372</v>
      </c>
      <c r="I31">
        <v>-7.0880606999999998</v>
      </c>
      <c r="J31">
        <v>13.335342000000001</v>
      </c>
      <c r="K31">
        <v>6.5381933999999999</v>
      </c>
      <c r="L31">
        <v>-8.4370665999999996</v>
      </c>
      <c r="M31">
        <v>30.305088000000001</v>
      </c>
      <c r="N31">
        <v>2.3239907</v>
      </c>
      <c r="O31">
        <v>-15.607101999999999</v>
      </c>
      <c r="P31">
        <v>48.177473000000013</v>
      </c>
      <c r="Q31">
        <v>-2.1884608999999999</v>
      </c>
      <c r="R31">
        <v>15.491744000000001</v>
      </c>
      <c r="S31">
        <v>23.486746</v>
      </c>
      <c r="T31">
        <v>-12.783754</v>
      </c>
      <c r="U31">
        <v>4.2454249999999192</v>
      </c>
      <c r="V31">
        <v>-3.0926250000000159</v>
      </c>
      <c r="W31">
        <v>58.40744999999999</v>
      </c>
      <c r="X31">
        <v>54.894499999999837</v>
      </c>
      <c r="Y31">
        <v>-33.512037500000019</v>
      </c>
      <c r="Z31">
        <v>-198.77581249999989</v>
      </c>
      <c r="AA31">
        <v>-425.80837500000018</v>
      </c>
      <c r="AB31">
        <v>61.645337499999997</v>
      </c>
      <c r="AC31">
        <v>-35.346874999999969</v>
      </c>
      <c r="AD31">
        <v>224.71737499999989</v>
      </c>
      <c r="AE31">
        <v>-220.2101825</v>
      </c>
      <c r="AF31">
        <v>95.795749999999956</v>
      </c>
      <c r="AG31">
        <v>466.86124999999993</v>
      </c>
      <c r="AH31">
        <v>-132.020375</v>
      </c>
      <c r="AI31">
        <v>2.0063336000000001</v>
      </c>
      <c r="AJ31">
        <v>1.5563975999999999</v>
      </c>
      <c r="AK31">
        <v>-0.34034709000000002</v>
      </c>
      <c r="AL31">
        <v>15.152986</v>
      </c>
      <c r="AM31">
        <v>3.4740750999999999</v>
      </c>
      <c r="AN31">
        <v>1.5168774</v>
      </c>
      <c r="AO31">
        <v>0.22863676999999999</v>
      </c>
      <c r="AP31">
        <v>-12.969123</v>
      </c>
      <c r="AQ31">
        <v>4.4303418999999993</v>
      </c>
      <c r="AR31">
        <v>4.2092909000000012E-2</v>
      </c>
      <c r="AS31">
        <v>0.34725494000000001</v>
      </c>
      <c r="AT31">
        <v>-31.321353999999999</v>
      </c>
    </row>
    <row r="32" spans="1:46" x14ac:dyDescent="0.25">
      <c r="A32">
        <v>30</v>
      </c>
      <c r="B32">
        <v>9.0801250000000131</v>
      </c>
      <c r="C32">
        <v>0.53343703296703293</v>
      </c>
      <c r="D32">
        <v>9.5315432339043424E-2</v>
      </c>
      <c r="E32">
        <v>-0.1085186669009837</v>
      </c>
      <c r="F32">
        <v>3.9266628425718468</v>
      </c>
      <c r="G32">
        <v>9.1696469999999994</v>
      </c>
      <c r="H32">
        <v>-12.47804</v>
      </c>
      <c r="I32">
        <v>-7.0231789999999998</v>
      </c>
      <c r="J32">
        <v>13.39804</v>
      </c>
      <c r="K32">
        <v>6.4989679999999996</v>
      </c>
      <c r="L32">
        <v>-8.6676919999999988</v>
      </c>
      <c r="M32">
        <v>29.808260000000001</v>
      </c>
      <c r="N32">
        <v>2.3930889999999998</v>
      </c>
      <c r="O32">
        <v>-15.65124</v>
      </c>
      <c r="P32">
        <v>48.43421</v>
      </c>
      <c r="Q32">
        <v>-2.446702999999999</v>
      </c>
      <c r="R32">
        <v>15.59858</v>
      </c>
      <c r="S32">
        <v>24.017620000000001</v>
      </c>
      <c r="T32">
        <v>-12.937279999999999</v>
      </c>
      <c r="U32">
        <v>5.1059999999999199</v>
      </c>
      <c r="V32">
        <v>-0.19624999999994591</v>
      </c>
      <c r="W32">
        <v>54.548999999999957</v>
      </c>
      <c r="X32">
        <v>51.689999999999841</v>
      </c>
      <c r="Y32">
        <v>-36.210124999999998</v>
      </c>
      <c r="Z32">
        <v>-191.549375</v>
      </c>
      <c r="AA32">
        <v>-435.91125000000022</v>
      </c>
      <c r="AB32">
        <v>48.358625000000018</v>
      </c>
      <c r="AC32">
        <v>-44.318749999999902</v>
      </c>
      <c r="AD32">
        <v>208.3287499999999</v>
      </c>
      <c r="AE32">
        <v>-223.346025</v>
      </c>
      <c r="AF32">
        <v>93.714999999999975</v>
      </c>
      <c r="AG32">
        <v>433.83749999999992</v>
      </c>
      <c r="AH32">
        <v>-122.02625</v>
      </c>
      <c r="AI32">
        <v>1.875532</v>
      </c>
      <c r="AJ32">
        <v>1.423392</v>
      </c>
      <c r="AK32">
        <v>-0.30266130000000002</v>
      </c>
      <c r="AL32">
        <v>14.356820000000001</v>
      </c>
      <c r="AM32">
        <v>3.562557</v>
      </c>
      <c r="AN32">
        <v>1.4641379999999999</v>
      </c>
      <c r="AO32">
        <v>0.2163979</v>
      </c>
      <c r="AP32">
        <v>-12.441409999999999</v>
      </c>
      <c r="AQ32">
        <v>4.4615429999999998</v>
      </c>
      <c r="AR32">
        <v>5.3352129999999977E-2</v>
      </c>
      <c r="AS32">
        <v>0.33633180000000001</v>
      </c>
      <c r="AT32">
        <v>-29.444880000000001</v>
      </c>
    </row>
    <row r="33" spans="1:46" x14ac:dyDescent="0.25">
      <c r="A33">
        <v>31</v>
      </c>
      <c r="B33">
        <v>9.0812125000000119</v>
      </c>
      <c r="C33">
        <v>0.53321427472527472</v>
      </c>
      <c r="D33">
        <v>0.1173799168386178</v>
      </c>
      <c r="E33">
        <v>-8.839967263293462E-2</v>
      </c>
      <c r="F33">
        <v>3.9085788780456321</v>
      </c>
      <c r="G33">
        <v>9.1754498999999985</v>
      </c>
      <c r="H33">
        <v>-12.480708</v>
      </c>
      <c r="I33">
        <v>-6.9582972999999999</v>
      </c>
      <c r="J33">
        <v>13.460737999999999</v>
      </c>
      <c r="K33">
        <v>6.4597425999999993</v>
      </c>
      <c r="L33">
        <v>-8.8983173999999998</v>
      </c>
      <c r="M33">
        <v>29.311432</v>
      </c>
      <c r="N33">
        <v>2.4621873000000001</v>
      </c>
      <c r="O33">
        <v>-15.695378</v>
      </c>
      <c r="P33">
        <v>48.690947000000001</v>
      </c>
      <c r="Q33">
        <v>-2.7049451000000002</v>
      </c>
      <c r="R33">
        <v>15.705416</v>
      </c>
      <c r="S33">
        <v>24.548494000000002</v>
      </c>
      <c r="T33">
        <v>-13.090806000000001</v>
      </c>
      <c r="U33">
        <v>5.9665749999999251</v>
      </c>
      <c r="V33">
        <v>2.7001250000001331</v>
      </c>
      <c r="W33">
        <v>50.690549999999917</v>
      </c>
      <c r="X33">
        <v>48.485499999999838</v>
      </c>
      <c r="Y33">
        <v>-38.908212499999983</v>
      </c>
      <c r="Z33">
        <v>-184.32293749999999</v>
      </c>
      <c r="AA33">
        <v>-446.01412500000021</v>
      </c>
      <c r="AB33">
        <v>35.071912500000003</v>
      </c>
      <c r="AC33">
        <v>-53.290624999999856</v>
      </c>
      <c r="AD33">
        <v>191.94012499999991</v>
      </c>
      <c r="AE33">
        <v>-226.48186749999999</v>
      </c>
      <c r="AF33">
        <v>91.63424999999998</v>
      </c>
      <c r="AG33">
        <v>400.8137499999998</v>
      </c>
      <c r="AH33">
        <v>-112.03212499999999</v>
      </c>
      <c r="AI33">
        <v>1.7447303999999999</v>
      </c>
      <c r="AJ33">
        <v>1.2903864</v>
      </c>
      <c r="AK33">
        <v>-0.26497551000000003</v>
      </c>
      <c r="AL33">
        <v>13.560654</v>
      </c>
      <c r="AM33">
        <v>3.6510389000000001</v>
      </c>
      <c r="AN33">
        <v>1.4113986000000001</v>
      </c>
      <c r="AO33">
        <v>0.20415902999999999</v>
      </c>
      <c r="AP33">
        <v>-11.913697000000001</v>
      </c>
      <c r="AQ33">
        <v>4.4927440999999986</v>
      </c>
      <c r="AR33">
        <v>6.4611351000000011E-2</v>
      </c>
      <c r="AS33">
        <v>0.32540866000000002</v>
      </c>
      <c r="AT33">
        <v>-27.568406</v>
      </c>
    </row>
    <row r="34" spans="1:46" x14ac:dyDescent="0.25">
      <c r="A34">
        <v>32</v>
      </c>
      <c r="B34">
        <v>9.0840500000000084</v>
      </c>
      <c r="C34">
        <v>0.53306336263736265</v>
      </c>
      <c r="D34">
        <v>0.1436406920978133</v>
      </c>
      <c r="E34">
        <v>-7.2853394734124499E-2</v>
      </c>
      <c r="F34">
        <v>3.890453145817816</v>
      </c>
      <c r="G34">
        <v>9.1834787999999996</v>
      </c>
      <c r="H34">
        <v>-12.471952</v>
      </c>
      <c r="I34">
        <v>-6.9054555999999998</v>
      </c>
      <c r="J34">
        <v>13.510724</v>
      </c>
      <c r="K34">
        <v>6.4089</v>
      </c>
      <c r="L34">
        <v>-9.0959223999999992</v>
      </c>
      <c r="M34">
        <v>28.774144</v>
      </c>
      <c r="N34">
        <v>2.4753892</v>
      </c>
      <c r="O34">
        <v>-15.774348</v>
      </c>
      <c r="P34">
        <v>48.880595999999997</v>
      </c>
      <c r="Q34">
        <v>-2.972074399999999</v>
      </c>
      <c r="R34">
        <v>15.811048</v>
      </c>
      <c r="S34">
        <v>24.949504000000001</v>
      </c>
      <c r="T34">
        <v>-13.198048</v>
      </c>
      <c r="U34">
        <v>6.178949999999972</v>
      </c>
      <c r="V34">
        <v>5.7050000000000747</v>
      </c>
      <c r="W34">
        <v>48.400099999999931</v>
      </c>
      <c r="X34">
        <v>45.193499999999922</v>
      </c>
      <c r="Y34">
        <v>-42.241899999999958</v>
      </c>
      <c r="Z34">
        <v>-174.68115000000009</v>
      </c>
      <c r="AA34">
        <v>-456.68750000000011</v>
      </c>
      <c r="AB34">
        <v>19.77200000000002</v>
      </c>
      <c r="AC34">
        <v>-62.038499999999956</v>
      </c>
      <c r="AD34">
        <v>173.8154999999999</v>
      </c>
      <c r="AE34">
        <v>-227.51679999999999</v>
      </c>
      <c r="AF34">
        <v>91.888000000000034</v>
      </c>
      <c r="AG34">
        <v>367.19149999999979</v>
      </c>
      <c r="AH34">
        <v>-98.954499999999982</v>
      </c>
      <c r="AI34">
        <v>1.6340496</v>
      </c>
      <c r="AJ34">
        <v>1.2090436</v>
      </c>
      <c r="AK34">
        <v>-0.24668419999999999</v>
      </c>
      <c r="AL34">
        <v>12.83278</v>
      </c>
      <c r="AM34">
        <v>3.7144944</v>
      </c>
      <c r="AN34">
        <v>1.3892576000000001</v>
      </c>
      <c r="AO34">
        <v>0.20171512</v>
      </c>
      <c r="AP34">
        <v>-11.039218</v>
      </c>
      <c r="AQ34">
        <v>4.5065656000000001</v>
      </c>
      <c r="AR34">
        <v>7.6539911999999974E-2</v>
      </c>
      <c r="AS34">
        <v>0.32124528000000002</v>
      </c>
      <c r="AT34">
        <v>-25.325327999999999</v>
      </c>
    </row>
    <row r="35" spans="1:46" x14ac:dyDescent="0.25">
      <c r="A35">
        <v>33</v>
      </c>
      <c r="B35">
        <v>9.086950000000007</v>
      </c>
      <c r="C35">
        <v>0.53291501648351647</v>
      </c>
      <c r="D35">
        <v>0.17029591108901221</v>
      </c>
      <c r="E35">
        <v>-5.8561870801062933E-2</v>
      </c>
      <c r="F35">
        <v>3.8690849056996668</v>
      </c>
      <c r="G35">
        <v>9.191587199999999</v>
      </c>
      <c r="H35">
        <v>-12.462788</v>
      </c>
      <c r="I35">
        <v>-6.8530439000000003</v>
      </c>
      <c r="J35">
        <v>13.560256000000001</v>
      </c>
      <c r="K35">
        <v>6.3576424999999999</v>
      </c>
      <c r="L35">
        <v>-9.2923480999999999</v>
      </c>
      <c r="M35">
        <v>28.235410999999999</v>
      </c>
      <c r="N35">
        <v>2.4865948000000002</v>
      </c>
      <c r="O35">
        <v>-15.854562</v>
      </c>
      <c r="P35">
        <v>49.067849000000002</v>
      </c>
      <c r="Q35">
        <v>-3.2395211000000002</v>
      </c>
      <c r="R35">
        <v>15.916637</v>
      </c>
      <c r="S35">
        <v>25.345876000000001</v>
      </c>
      <c r="T35">
        <v>-13.303637</v>
      </c>
      <c r="U35">
        <v>6.3681750000000203</v>
      </c>
      <c r="V35">
        <v>8.7137500000000205</v>
      </c>
      <c r="W35">
        <v>46.165649999999943</v>
      </c>
      <c r="X35">
        <v>41.898375000000001</v>
      </c>
      <c r="Y35">
        <v>-45.598287499999948</v>
      </c>
      <c r="Z35">
        <v>-164.95310000000009</v>
      </c>
      <c r="AA35">
        <v>-467.38125000000002</v>
      </c>
      <c r="AB35">
        <v>4.400187499999987</v>
      </c>
      <c r="AC35">
        <v>-70.778375000000068</v>
      </c>
      <c r="AD35">
        <v>155.62887499999991</v>
      </c>
      <c r="AE35">
        <v>-228.47669999999999</v>
      </c>
      <c r="AF35">
        <v>92.225125000000091</v>
      </c>
      <c r="AG35">
        <v>333.54787499999969</v>
      </c>
      <c r="AH35">
        <v>-85.766749999999988</v>
      </c>
      <c r="AI35">
        <v>1.5240874</v>
      </c>
      <c r="AJ35">
        <v>1.1295459000000001</v>
      </c>
      <c r="AK35">
        <v>-0.22908555</v>
      </c>
      <c r="AL35">
        <v>12.107345</v>
      </c>
      <c r="AM35">
        <v>3.7770560999999998</v>
      </c>
      <c r="AN35">
        <v>1.3682094</v>
      </c>
      <c r="AO35">
        <v>0.19962103</v>
      </c>
      <c r="AP35">
        <v>-10.1523545</v>
      </c>
      <c r="AQ35">
        <v>4.5197664</v>
      </c>
      <c r="AR35">
        <v>8.8492377999999997E-2</v>
      </c>
      <c r="AS35">
        <v>0.31732332000000002</v>
      </c>
      <c r="AT35">
        <v>-23.069157000000001</v>
      </c>
    </row>
    <row r="36" spans="1:46" x14ac:dyDescent="0.25">
      <c r="A36">
        <v>34</v>
      </c>
      <c r="B36">
        <v>9.0898500000000038</v>
      </c>
      <c r="C36">
        <v>0.5327666703296704</v>
      </c>
      <c r="D36">
        <v>0.19706187250015239</v>
      </c>
      <c r="E36">
        <v>-4.8957396519305987E-2</v>
      </c>
      <c r="F36">
        <v>3.8462031665054148</v>
      </c>
      <c r="G36">
        <v>9.1996956000000001</v>
      </c>
      <c r="H36">
        <v>-12.453624</v>
      </c>
      <c r="I36">
        <v>-6.8006322000000008</v>
      </c>
      <c r="J36">
        <v>13.609788</v>
      </c>
      <c r="K36">
        <v>6.3063850000000006</v>
      </c>
      <c r="L36">
        <v>-9.4887737999999988</v>
      </c>
      <c r="M36">
        <v>27.696677999999999</v>
      </c>
      <c r="N36">
        <v>2.4978004</v>
      </c>
      <c r="O36">
        <v>-15.934775999999999</v>
      </c>
      <c r="P36">
        <v>49.255102000000001</v>
      </c>
      <c r="Q36">
        <v>-3.5069677999999991</v>
      </c>
      <c r="R36">
        <v>16.022226</v>
      </c>
      <c r="S36">
        <v>25.742248</v>
      </c>
      <c r="T36">
        <v>-13.409226</v>
      </c>
      <c r="U36">
        <v>6.5574000000000678</v>
      </c>
      <c r="V36">
        <v>11.72249999999995</v>
      </c>
      <c r="W36">
        <v>43.931199999999961</v>
      </c>
      <c r="X36">
        <v>38.603250000000102</v>
      </c>
      <c r="Y36">
        <v>-48.954674999999909</v>
      </c>
      <c r="Z36">
        <v>-155.2250500000001</v>
      </c>
      <c r="AA36">
        <v>-478.07499999999987</v>
      </c>
      <c r="AB36">
        <v>-10.97162499999993</v>
      </c>
      <c r="AC36">
        <v>-79.518250000000137</v>
      </c>
      <c r="AD36">
        <v>137.44225</v>
      </c>
      <c r="AE36">
        <v>-229.4366</v>
      </c>
      <c r="AF36">
        <v>92.562250000000134</v>
      </c>
      <c r="AG36">
        <v>299.90424999999988</v>
      </c>
      <c r="AH36">
        <v>-72.579000000000079</v>
      </c>
      <c r="AI36">
        <v>1.4141252000000011</v>
      </c>
      <c r="AJ36">
        <v>1.0500482000000011</v>
      </c>
      <c r="AK36">
        <v>-0.21148690000000009</v>
      </c>
      <c r="AL36">
        <v>11.38191</v>
      </c>
      <c r="AM36">
        <v>3.8396178000000001</v>
      </c>
      <c r="AN36">
        <v>1.3471611999999999</v>
      </c>
      <c r="AO36">
        <v>0.19752694000000001</v>
      </c>
      <c r="AP36">
        <v>-9.2654910000000061</v>
      </c>
      <c r="AQ36">
        <v>4.5329671999999999</v>
      </c>
      <c r="AR36">
        <v>0.10044484399999989</v>
      </c>
      <c r="AS36">
        <v>0.31340136000000002</v>
      </c>
      <c r="AT36">
        <v>-20.812986000000009</v>
      </c>
    </row>
    <row r="37" spans="1:46" x14ac:dyDescent="0.25">
      <c r="A37">
        <v>35</v>
      </c>
      <c r="B37">
        <v>9.0933124999999997</v>
      </c>
      <c r="C37">
        <v>0.53265631868131869</v>
      </c>
      <c r="D37">
        <v>0.2235575620755105</v>
      </c>
      <c r="E37">
        <v>-4.4548792410944629E-2</v>
      </c>
      <c r="F37">
        <v>3.824144889150384</v>
      </c>
      <c r="G37">
        <v>9.2073944999999995</v>
      </c>
      <c r="H37">
        <v>-12.438129999999999</v>
      </c>
      <c r="I37">
        <v>-6.7510165000000004</v>
      </c>
      <c r="J37">
        <v>13.652495</v>
      </c>
      <c r="K37">
        <v>6.2474625000000001</v>
      </c>
      <c r="L37">
        <v>-9.6626349999999999</v>
      </c>
      <c r="M37">
        <v>27.135370000000002</v>
      </c>
      <c r="N37">
        <v>2.475343000000001</v>
      </c>
      <c r="O37">
        <v>-16.032495000000001</v>
      </c>
      <c r="P37">
        <v>49.403039999999997</v>
      </c>
      <c r="Q37">
        <v>-3.7736254999999992</v>
      </c>
      <c r="R37">
        <v>16.129854999999999</v>
      </c>
      <c r="S37">
        <v>26.068974999999998</v>
      </c>
      <c r="T37">
        <v>-13.48504</v>
      </c>
      <c r="U37">
        <v>6.3011250000000976</v>
      </c>
      <c r="V37">
        <v>14.76874999999991</v>
      </c>
      <c r="W37">
        <v>42.654687499999973</v>
      </c>
      <c r="X37">
        <v>35.345625000000119</v>
      </c>
      <c r="Y37">
        <v>-52.67724999999993</v>
      </c>
      <c r="Z37">
        <v>-144.40443750000011</v>
      </c>
      <c r="AA37">
        <v>-488.91687499999989</v>
      </c>
      <c r="AB37">
        <v>-27.067937499999971</v>
      </c>
      <c r="AC37">
        <v>-87.780000000000214</v>
      </c>
      <c r="AD37">
        <v>118.46250000000001</v>
      </c>
      <c r="AE37">
        <v>-228.74875</v>
      </c>
      <c r="AF37">
        <v>92.906875000000142</v>
      </c>
      <c r="AG37">
        <v>266.33187499999991</v>
      </c>
      <c r="AH37">
        <v>-58.560625000000037</v>
      </c>
      <c r="AI37">
        <v>1.244049750000001</v>
      </c>
      <c r="AJ37">
        <v>0.9762941500000003</v>
      </c>
      <c r="AK37">
        <v>-0.19786745000000011</v>
      </c>
      <c r="AL37">
        <v>10.10870950000001</v>
      </c>
      <c r="AM37">
        <v>3.9283215</v>
      </c>
      <c r="AN37">
        <v>1.341269</v>
      </c>
      <c r="AO37">
        <v>0.19948705</v>
      </c>
      <c r="AP37">
        <v>-8.2746055000000052</v>
      </c>
      <c r="AQ37">
        <v>4.5428605000000006</v>
      </c>
      <c r="AR37">
        <v>0.10939965</v>
      </c>
      <c r="AS37">
        <v>0.31366125</v>
      </c>
      <c r="AT37">
        <v>-18.443580000000011</v>
      </c>
    </row>
    <row r="38" spans="1:46" x14ac:dyDescent="0.25">
      <c r="A38">
        <v>36</v>
      </c>
      <c r="B38">
        <v>9.0972999999999971</v>
      </c>
      <c r="C38">
        <v>0.53258142857142854</v>
      </c>
      <c r="D38">
        <v>0.24630866118086309</v>
      </c>
      <c r="E38">
        <v>-4.6660103318364371E-2</v>
      </c>
      <c r="F38">
        <v>3.805455873057908</v>
      </c>
      <c r="G38">
        <v>9.2147112</v>
      </c>
      <c r="H38">
        <v>-12.416728000000001</v>
      </c>
      <c r="I38">
        <v>-6.7040103999999996</v>
      </c>
      <c r="J38">
        <v>13.688832</v>
      </c>
      <c r="K38">
        <v>6.1813860000000007</v>
      </c>
      <c r="L38">
        <v>-9.815436</v>
      </c>
      <c r="M38">
        <v>26.552992</v>
      </c>
      <c r="N38">
        <v>2.4214668000000001</v>
      </c>
      <c r="O38">
        <v>-16.146552</v>
      </c>
      <c r="P38">
        <v>49.514284000000004</v>
      </c>
      <c r="Q38">
        <v>-4.0395468000000001</v>
      </c>
      <c r="R38">
        <v>16.239388000000002</v>
      </c>
      <c r="S38">
        <v>26.3307</v>
      </c>
      <c r="T38">
        <v>-13.533064</v>
      </c>
      <c r="U38">
        <v>5.6290500000001042</v>
      </c>
      <c r="V38">
        <v>17.849999999999881</v>
      </c>
      <c r="W38">
        <v>42.272249999999993</v>
      </c>
      <c r="X38">
        <v>32.123000000000083</v>
      </c>
      <c r="Y38">
        <v>-56.74159999999997</v>
      </c>
      <c r="Z38">
        <v>-132.5641</v>
      </c>
      <c r="AA38">
        <v>-499.89699999999982</v>
      </c>
      <c r="AB38">
        <v>-43.840450000000018</v>
      </c>
      <c r="AC38">
        <v>-95.595500000000257</v>
      </c>
      <c r="AD38">
        <v>98.742500000000064</v>
      </c>
      <c r="AE38">
        <v>-226.523</v>
      </c>
      <c r="AF38">
        <v>93.258500000000097</v>
      </c>
      <c r="AG38">
        <v>232.82599999999999</v>
      </c>
      <c r="AH38">
        <v>-43.766999999999953</v>
      </c>
      <c r="AI38">
        <v>1.0178685999999999</v>
      </c>
      <c r="AJ38">
        <v>0.90790084000000004</v>
      </c>
      <c r="AK38">
        <v>-0.18796192</v>
      </c>
      <c r="AL38">
        <v>8.3242612000000005</v>
      </c>
      <c r="AM38">
        <v>4.0414244000000004</v>
      </c>
      <c r="AN38">
        <v>1.3495223999999999</v>
      </c>
      <c r="AO38">
        <v>0.20523108000000001</v>
      </c>
      <c r="AP38">
        <v>-7.1866327999999999</v>
      </c>
      <c r="AQ38">
        <v>4.5496668000000007</v>
      </c>
      <c r="AR38">
        <v>0.11555664</v>
      </c>
      <c r="AS38">
        <v>0.3178242</v>
      </c>
      <c r="AT38">
        <v>-15.968488000000001</v>
      </c>
    </row>
    <row r="39" spans="1:46" x14ac:dyDescent="0.25">
      <c r="A39">
        <v>37</v>
      </c>
      <c r="B39">
        <v>9.1012874999999926</v>
      </c>
      <c r="C39">
        <v>0.53250653846153839</v>
      </c>
      <c r="D39">
        <v>0.26253074339212717</v>
      </c>
      <c r="E39">
        <v>-5.4236361214610833E-2</v>
      </c>
      <c r="F39">
        <v>3.7943508853944978</v>
      </c>
      <c r="G39">
        <v>9.2220279000000005</v>
      </c>
      <c r="H39">
        <v>-12.395326000000001</v>
      </c>
      <c r="I39">
        <v>-6.6570042999999997</v>
      </c>
      <c r="J39">
        <v>13.725168999999999</v>
      </c>
      <c r="K39">
        <v>6.1153095000000004</v>
      </c>
      <c r="L39">
        <v>-9.9682370000000002</v>
      </c>
      <c r="M39">
        <v>25.970614000000001</v>
      </c>
      <c r="N39">
        <v>2.3675906000000002</v>
      </c>
      <c r="O39">
        <v>-16.260608999999999</v>
      </c>
      <c r="P39">
        <v>49.625528000000003</v>
      </c>
      <c r="Q39">
        <v>-4.3054681000000006</v>
      </c>
      <c r="R39">
        <v>16.348921000000001</v>
      </c>
      <c r="S39">
        <v>26.592424999999999</v>
      </c>
      <c r="T39">
        <v>-13.581087999999999</v>
      </c>
      <c r="U39">
        <v>4.95697500000011</v>
      </c>
      <c r="V39">
        <v>20.93124999999986</v>
      </c>
      <c r="W39">
        <v>41.889812500000012</v>
      </c>
      <c r="X39">
        <v>28.90037500000005</v>
      </c>
      <c r="Y39">
        <v>-60.805950000000017</v>
      </c>
      <c r="Z39">
        <v>-120.72376249999991</v>
      </c>
      <c r="AA39">
        <v>-510.87712499999981</v>
      </c>
      <c r="AB39">
        <v>-60.612962500000073</v>
      </c>
      <c r="AC39">
        <v>-103.4110000000003</v>
      </c>
      <c r="AD39">
        <v>79.022500000000107</v>
      </c>
      <c r="AE39">
        <v>-224.29724999999991</v>
      </c>
      <c r="AF39">
        <v>93.610125000000039</v>
      </c>
      <c r="AG39">
        <v>199.32012499999999</v>
      </c>
      <c r="AH39">
        <v>-28.973374999999859</v>
      </c>
      <c r="AI39">
        <v>0.79168744999999918</v>
      </c>
      <c r="AJ39">
        <v>0.83950752999999978</v>
      </c>
      <c r="AK39">
        <v>-0.17805639000000001</v>
      </c>
      <c r="AL39">
        <v>6.539812899999994</v>
      </c>
      <c r="AM39">
        <v>4.1545273000000007</v>
      </c>
      <c r="AN39">
        <v>1.3577758</v>
      </c>
      <c r="AO39">
        <v>0.21097510999999999</v>
      </c>
      <c r="AP39">
        <v>-6.0986600999999956</v>
      </c>
      <c r="AQ39">
        <v>4.5564731000000007</v>
      </c>
      <c r="AR39">
        <v>0.12171363</v>
      </c>
      <c r="AS39">
        <v>0.32198715</v>
      </c>
      <c r="AT39">
        <v>-13.49339599999999</v>
      </c>
    </row>
    <row r="40" spans="1:46" x14ac:dyDescent="0.25">
      <c r="A40">
        <v>38</v>
      </c>
      <c r="B40">
        <v>9.1053499999999907</v>
      </c>
      <c r="C40">
        <v>0.53243656043956034</v>
      </c>
      <c r="D40">
        <v>0.27442534365325227</v>
      </c>
      <c r="E40">
        <v>-6.2808488740579704E-2</v>
      </c>
      <c r="F40">
        <v>3.78584535704884</v>
      </c>
      <c r="G40">
        <v>9.2290284000000007</v>
      </c>
      <c r="H40">
        <v>-12.373068</v>
      </c>
      <c r="I40">
        <v>-6.6098363999999998</v>
      </c>
      <c r="J40">
        <v>13.760638</v>
      </c>
      <c r="K40">
        <v>6.0480125999999998</v>
      </c>
      <c r="L40">
        <v>-10.117514</v>
      </c>
      <c r="M40">
        <v>25.385187999999999</v>
      </c>
      <c r="N40">
        <v>2.3089490000000001</v>
      </c>
      <c r="O40">
        <v>-16.376643999999999</v>
      </c>
      <c r="P40">
        <v>49.731133999999997</v>
      </c>
      <c r="Q40">
        <v>-4.5702666000000001</v>
      </c>
      <c r="R40">
        <v>16.458376000000001</v>
      </c>
      <c r="S40">
        <v>26.844950000000001</v>
      </c>
      <c r="T40">
        <v>-13.624919999999999</v>
      </c>
      <c r="U40">
        <v>4.2159750000001184</v>
      </c>
      <c r="V40">
        <v>24.01424999999983</v>
      </c>
      <c r="W40">
        <v>41.643275000000031</v>
      </c>
      <c r="X40">
        <v>25.696500000000029</v>
      </c>
      <c r="Y40">
        <v>-64.917875000000038</v>
      </c>
      <c r="Z40">
        <v>-108.7747499999999</v>
      </c>
      <c r="AA40">
        <v>-521.85649999999964</v>
      </c>
      <c r="AB40">
        <v>-77.421175000000005</v>
      </c>
      <c r="AC40">
        <v>-111.1177500000003</v>
      </c>
      <c r="AD40">
        <v>59.208000000000268</v>
      </c>
      <c r="AE40">
        <v>-221.7922999999999</v>
      </c>
      <c r="AF40">
        <v>93.787749999999988</v>
      </c>
      <c r="AG40">
        <v>165.82325000000029</v>
      </c>
      <c r="AH40">
        <v>-14.173499999999891</v>
      </c>
      <c r="AI40">
        <v>0.56532536</v>
      </c>
      <c r="AJ40">
        <v>0.76808866000000009</v>
      </c>
      <c r="AK40">
        <v>-0.16758223999999999</v>
      </c>
      <c r="AL40">
        <v>4.7449843999999999</v>
      </c>
      <c r="AM40">
        <v>4.2667767999999997</v>
      </c>
      <c r="AN40">
        <v>1.3650040000000001</v>
      </c>
      <c r="AO40">
        <v>0.21663272</v>
      </c>
      <c r="AP40">
        <v>-4.9841672984000001</v>
      </c>
      <c r="AQ40">
        <v>4.5621572000000006</v>
      </c>
      <c r="AR40">
        <v>0.1278704</v>
      </c>
      <c r="AS40">
        <v>0.32580838000000001</v>
      </c>
      <c r="AT40">
        <v>-11.0066328</v>
      </c>
    </row>
    <row r="41" spans="1:46" x14ac:dyDescent="0.25">
      <c r="A41">
        <v>39</v>
      </c>
      <c r="B41">
        <v>9.110424999999994</v>
      </c>
      <c r="C41">
        <v>0.53243289560439555</v>
      </c>
      <c r="D41">
        <v>0.28182684142524761</v>
      </c>
      <c r="E41">
        <v>-7.0669767692236776E-2</v>
      </c>
      <c r="F41">
        <v>3.7775773825060441</v>
      </c>
      <c r="G41">
        <v>9.2317602000000001</v>
      </c>
      <c r="H41">
        <v>-12.339254</v>
      </c>
      <c r="I41">
        <v>-6.5604842000000003</v>
      </c>
      <c r="J41">
        <v>13.784388999999999</v>
      </c>
      <c r="K41">
        <v>5.9642403000000002</v>
      </c>
      <c r="L41">
        <v>-10.219217</v>
      </c>
      <c r="M41">
        <v>24.758614000000001</v>
      </c>
      <c r="N41">
        <v>2.1859744999999999</v>
      </c>
      <c r="O41">
        <v>-16.519382</v>
      </c>
      <c r="P41">
        <v>49.760626999999999</v>
      </c>
      <c r="Q41">
        <v>-4.8199073000000006</v>
      </c>
      <c r="R41">
        <v>16.566777999999999</v>
      </c>
      <c r="S41">
        <v>26.973275000000001</v>
      </c>
      <c r="T41">
        <v>-13.612159999999999</v>
      </c>
      <c r="U41">
        <v>2.544487500000097</v>
      </c>
      <c r="V41">
        <v>27.120874999999931</v>
      </c>
      <c r="W41">
        <v>43.231387500000032</v>
      </c>
      <c r="X41">
        <v>22.745750000000019</v>
      </c>
      <c r="Y41">
        <v>-69.672062500000038</v>
      </c>
      <c r="Z41">
        <v>-95.358624999999932</v>
      </c>
      <c r="AA41">
        <v>-532.82574999999974</v>
      </c>
      <c r="AB41">
        <v>-94.711337500000027</v>
      </c>
      <c r="AC41">
        <v>-117.3563750000001</v>
      </c>
      <c r="AD41">
        <v>38.11774999999993</v>
      </c>
      <c r="AE41">
        <v>-215.51814999999999</v>
      </c>
      <c r="AF41">
        <v>91.616374999999906</v>
      </c>
      <c r="AG41">
        <v>132.44787500000029</v>
      </c>
      <c r="AH41">
        <v>0.71075000000009148</v>
      </c>
      <c r="AI41">
        <v>0.33652057999999968</v>
      </c>
      <c r="AJ41">
        <v>0.65582472999999986</v>
      </c>
      <c r="AK41">
        <v>-0.14943171999999999</v>
      </c>
      <c r="AL41">
        <v>2.8100231999999972</v>
      </c>
      <c r="AM41">
        <v>4.3675053999999998</v>
      </c>
      <c r="AN41">
        <v>1.358392</v>
      </c>
      <c r="AO41">
        <v>0.22112366</v>
      </c>
      <c r="AP41">
        <v>-3.5116531251999978</v>
      </c>
      <c r="AQ41">
        <v>4.5526916000000002</v>
      </c>
      <c r="AR41">
        <v>0.13402420000000001</v>
      </c>
      <c r="AS41">
        <v>0.32501638999999999</v>
      </c>
      <c r="AT41">
        <v>-8.3623083999999963</v>
      </c>
    </row>
    <row r="42" spans="1:46" x14ac:dyDescent="0.25">
      <c r="A42">
        <v>40</v>
      </c>
      <c r="B42">
        <v>9.1154999999999973</v>
      </c>
      <c r="C42">
        <v>0.53242923076923077</v>
      </c>
      <c r="D42">
        <v>0.29286323143984672</v>
      </c>
      <c r="E42">
        <v>-7.6393329267350249E-2</v>
      </c>
      <c r="F42">
        <v>3.7613961688305828</v>
      </c>
      <c r="G42">
        <v>9.2344919999999995</v>
      </c>
      <c r="H42">
        <v>-12.305440000000001</v>
      </c>
      <c r="I42">
        <v>-6.5111319999999999</v>
      </c>
      <c r="J42">
        <v>13.80814</v>
      </c>
      <c r="K42">
        <v>5.8804679999999996</v>
      </c>
      <c r="L42">
        <v>-10.320919999999999</v>
      </c>
      <c r="M42">
        <v>24.13204</v>
      </c>
      <c r="N42">
        <v>2.0630000000000002</v>
      </c>
      <c r="O42">
        <v>-16.662120000000002</v>
      </c>
      <c r="P42">
        <v>49.790120000000002</v>
      </c>
      <c r="Q42">
        <v>-5.0695480000000011</v>
      </c>
      <c r="R42">
        <v>16.675180000000001</v>
      </c>
      <c r="S42">
        <v>27.101600000000001</v>
      </c>
      <c r="T42">
        <v>-13.599399999999999</v>
      </c>
      <c r="U42">
        <v>0.87300000000007438</v>
      </c>
      <c r="V42">
        <v>30.227500000000031</v>
      </c>
      <c r="W42">
        <v>44.819500000000019</v>
      </c>
      <c r="X42">
        <v>19.795000000000002</v>
      </c>
      <c r="Y42">
        <v>-74.426250000000039</v>
      </c>
      <c r="Z42">
        <v>-81.942499999999939</v>
      </c>
      <c r="AA42">
        <v>-543.79499999999985</v>
      </c>
      <c r="AB42">
        <v>-112.00149999999999</v>
      </c>
      <c r="AC42">
        <v>-123.5949999999999</v>
      </c>
      <c r="AD42">
        <v>17.027499999999598</v>
      </c>
      <c r="AE42">
        <v>-209.244</v>
      </c>
      <c r="AF42">
        <v>89.444999999999808</v>
      </c>
      <c r="AG42">
        <v>99.072500000000204</v>
      </c>
      <c r="AH42">
        <v>15.59500000000007</v>
      </c>
      <c r="AI42">
        <v>0.1077157999999994</v>
      </c>
      <c r="AJ42">
        <v>0.54356079999999973</v>
      </c>
      <c r="AK42">
        <v>-0.13128119999999999</v>
      </c>
      <c r="AL42">
        <v>0.87506199999999446</v>
      </c>
      <c r="AM42">
        <v>4.4682340000000007</v>
      </c>
      <c r="AN42">
        <v>1.35178</v>
      </c>
      <c r="AO42">
        <v>0.2256146</v>
      </c>
      <c r="AP42">
        <v>-2.0391389519999961</v>
      </c>
      <c r="AQ42">
        <v>4.5432260000000007</v>
      </c>
      <c r="AR42">
        <v>0.140178</v>
      </c>
      <c r="AS42">
        <v>0.32422440000000002</v>
      </c>
      <c r="AT42">
        <v>-5.7179839999999933</v>
      </c>
    </row>
    <row r="43" spans="1:46" x14ac:dyDescent="0.25">
      <c r="A43">
        <v>41</v>
      </c>
      <c r="B43">
        <v>9.1205750000000005</v>
      </c>
      <c r="C43">
        <v>0.53242556593406587</v>
      </c>
      <c r="D43">
        <v>0.30664927046587531</v>
      </c>
      <c r="E43">
        <v>-8.1207906733677712E-2</v>
      </c>
      <c r="F43">
        <v>3.745053975471865</v>
      </c>
      <c r="G43">
        <v>9.2372238000000007</v>
      </c>
      <c r="H43">
        <v>-12.271625999999999</v>
      </c>
      <c r="I43">
        <v>-6.4617798000000004</v>
      </c>
      <c r="J43">
        <v>13.831891000000001</v>
      </c>
      <c r="K43">
        <v>5.7966956999999999</v>
      </c>
      <c r="L43">
        <v>-10.422623</v>
      </c>
      <c r="M43">
        <v>23.505465999999998</v>
      </c>
      <c r="N43">
        <v>1.9400255</v>
      </c>
      <c r="O43">
        <v>-16.804857999999999</v>
      </c>
      <c r="P43">
        <v>49.819612999999997</v>
      </c>
      <c r="Q43">
        <v>-5.3191886999999989</v>
      </c>
      <c r="R43">
        <v>16.783581999999999</v>
      </c>
      <c r="S43">
        <v>27.229925000000001</v>
      </c>
      <c r="T43">
        <v>-13.586639999999999</v>
      </c>
      <c r="U43">
        <v>-0.7984874999999354</v>
      </c>
      <c r="V43">
        <v>33.334125000000121</v>
      </c>
      <c r="W43">
        <v>46.407612499999999</v>
      </c>
      <c r="X43">
        <v>16.844249999999999</v>
      </c>
      <c r="Y43">
        <v>-79.180437500000011</v>
      </c>
      <c r="Z43">
        <v>-68.526375000000058</v>
      </c>
      <c r="AA43">
        <v>-554.76424999999983</v>
      </c>
      <c r="AB43">
        <v>-129.29166249999989</v>
      </c>
      <c r="AC43">
        <v>-129.8336249999997</v>
      </c>
      <c r="AD43">
        <v>-4.0627500000005838</v>
      </c>
      <c r="AE43">
        <v>-202.96985000000001</v>
      </c>
      <c r="AF43">
        <v>87.273624999999726</v>
      </c>
      <c r="AG43">
        <v>65.697125000000383</v>
      </c>
      <c r="AH43">
        <v>30.47924999999994</v>
      </c>
      <c r="AI43">
        <v>-0.1210889799999993</v>
      </c>
      <c r="AJ43">
        <v>0.43129687000000028</v>
      </c>
      <c r="AK43">
        <v>-0.11313068</v>
      </c>
      <c r="AL43">
        <v>-1.059899199999994</v>
      </c>
      <c r="AM43">
        <v>4.5689625999999999</v>
      </c>
      <c r="AN43">
        <v>1.3451679999999999</v>
      </c>
      <c r="AO43">
        <v>0.23010554</v>
      </c>
      <c r="AP43">
        <v>-0.56662477880000406</v>
      </c>
      <c r="AQ43">
        <v>4.5337604000000002</v>
      </c>
      <c r="AR43">
        <v>0.14633180000000001</v>
      </c>
      <c r="AS43">
        <v>0.32343241</v>
      </c>
      <c r="AT43">
        <v>-3.073659600000008</v>
      </c>
    </row>
    <row r="44" spans="1:46" x14ac:dyDescent="0.25">
      <c r="A44">
        <v>42</v>
      </c>
      <c r="B44">
        <v>9.1265500000000035</v>
      </c>
      <c r="C44">
        <v>0.53246334065934064</v>
      </c>
      <c r="D44">
        <v>0.32412664614236719</v>
      </c>
      <c r="E44">
        <v>-8.5544893736465941E-2</v>
      </c>
      <c r="F44">
        <v>3.724069766165667</v>
      </c>
      <c r="G44">
        <v>9.2345015999999998</v>
      </c>
      <c r="H44">
        <v>-12.230090000000001</v>
      </c>
      <c r="I44">
        <v>-6.4059980000000003</v>
      </c>
      <c r="J44">
        <v>13.848801999999999</v>
      </c>
      <c r="K44">
        <v>5.7003000000000004</v>
      </c>
      <c r="L44">
        <v>-10.489424</v>
      </c>
      <c r="M44">
        <v>22.851856000000002</v>
      </c>
      <c r="N44">
        <v>1.7740849999999999</v>
      </c>
      <c r="O44">
        <v>-16.960771999999999</v>
      </c>
      <c r="P44">
        <v>49.795124000000001</v>
      </c>
      <c r="Q44">
        <v>-5.5477802000000001</v>
      </c>
      <c r="R44">
        <v>16.881903999999999</v>
      </c>
      <c r="S44">
        <v>27.275324000000001</v>
      </c>
      <c r="T44">
        <v>-13.537699999999999</v>
      </c>
      <c r="U44">
        <v>-3.1337249999999681</v>
      </c>
      <c r="V44">
        <v>36.42275000000015</v>
      </c>
      <c r="W44">
        <v>49.222874999999988</v>
      </c>
      <c r="X44">
        <v>14.222000000000021</v>
      </c>
      <c r="Y44">
        <v>-84.303400000000011</v>
      </c>
      <c r="Z44">
        <v>-54.541000000000039</v>
      </c>
      <c r="AA44">
        <v>-565.54674999999986</v>
      </c>
      <c r="AB44">
        <v>-146.26727500000001</v>
      </c>
      <c r="AC44">
        <v>-134.7807499999997</v>
      </c>
      <c r="AD44">
        <v>-25.924750000000628</v>
      </c>
      <c r="AE44">
        <v>-193.86182500000001</v>
      </c>
      <c r="AF44">
        <v>82.159249999999787</v>
      </c>
      <c r="AG44">
        <v>31.96400000000029</v>
      </c>
      <c r="AH44">
        <v>44.623249999999928</v>
      </c>
      <c r="AI44">
        <v>-0.31698453999999981</v>
      </c>
      <c r="AJ44">
        <v>0.30934451200000018</v>
      </c>
      <c r="AK44">
        <v>-9.1447336000000018E-2</v>
      </c>
      <c r="AL44">
        <v>-2.759999999999998</v>
      </c>
      <c r="AM44">
        <v>4.6409506</v>
      </c>
      <c r="AN44">
        <v>1.3280871999999999</v>
      </c>
      <c r="AO44">
        <v>0.23534869999999999</v>
      </c>
      <c r="AP44">
        <v>1.0920093655999981</v>
      </c>
      <c r="AQ44">
        <v>4.5112627999999999</v>
      </c>
      <c r="AR44">
        <v>0.15168856</v>
      </c>
      <c r="AS44">
        <v>0.32182087999999998</v>
      </c>
      <c r="AT44">
        <v>-0.39484540000000368</v>
      </c>
    </row>
    <row r="45" spans="1:46" x14ac:dyDescent="0.25">
      <c r="A45">
        <v>43</v>
      </c>
      <c r="B45">
        <v>9.1330750000000052</v>
      </c>
      <c r="C45">
        <v>0.53252643956043955</v>
      </c>
      <c r="D45">
        <v>0.34487509997730098</v>
      </c>
      <c r="E45">
        <v>-8.8031905119794931E-2</v>
      </c>
      <c r="F45">
        <v>3.6997493616940158</v>
      </c>
      <c r="G45">
        <v>9.228446400000001</v>
      </c>
      <c r="H45">
        <v>-12.183835</v>
      </c>
      <c r="I45">
        <v>-6.3462870000000002</v>
      </c>
      <c r="J45">
        <v>13.861533</v>
      </c>
      <c r="K45">
        <v>5.59619</v>
      </c>
      <c r="L45">
        <v>-10.534896</v>
      </c>
      <c r="M45">
        <v>22.181723999999999</v>
      </c>
      <c r="N45">
        <v>1.5818874999999999</v>
      </c>
      <c r="O45">
        <v>-17.124738000000001</v>
      </c>
      <c r="P45">
        <v>49.737645999999998</v>
      </c>
      <c r="Q45">
        <v>-5.7635082999999998</v>
      </c>
      <c r="R45">
        <v>16.974066000000001</v>
      </c>
      <c r="S45">
        <v>27.270046000000001</v>
      </c>
      <c r="T45">
        <v>-13.46665</v>
      </c>
      <c r="U45">
        <v>-5.8745875000000103</v>
      </c>
      <c r="V45">
        <v>39.500375000000133</v>
      </c>
      <c r="W45">
        <v>52.788062500000002</v>
      </c>
      <c r="X45">
        <v>11.80050000000006</v>
      </c>
      <c r="Y45">
        <v>-89.651725000000027</v>
      </c>
      <c r="Z45">
        <v>-40.207749999999997</v>
      </c>
      <c r="AA45">
        <v>-576.21512500000006</v>
      </c>
      <c r="AB45">
        <v>-163.05066249999999</v>
      </c>
      <c r="AC45">
        <v>-138.9386249999998</v>
      </c>
      <c r="AD45">
        <v>-48.258375000000513</v>
      </c>
      <c r="AE45">
        <v>-183.02198749999999</v>
      </c>
      <c r="AF45">
        <v>75.246374999999915</v>
      </c>
      <c r="AG45">
        <v>-1.9877499999998349</v>
      </c>
      <c r="AH45">
        <v>58.314874999999908</v>
      </c>
      <c r="AI45">
        <v>-0.49276891</v>
      </c>
      <c r="AJ45">
        <v>0.18147144800000001</v>
      </c>
      <c r="AK45">
        <v>-6.7605043999999989E-2</v>
      </c>
      <c r="AL45">
        <v>-4.3165750000000003</v>
      </c>
      <c r="AM45">
        <v>4.6953749</v>
      </c>
      <c r="AN45">
        <v>1.3046088</v>
      </c>
      <c r="AO45">
        <v>0.24105155</v>
      </c>
      <c r="AP45">
        <v>2.8643834924</v>
      </c>
      <c r="AQ45">
        <v>4.4808012000000002</v>
      </c>
      <c r="AR45">
        <v>0.15655823999999999</v>
      </c>
      <c r="AS45">
        <v>0.31970852000000011</v>
      </c>
      <c r="AT45">
        <v>2.305045900000001</v>
      </c>
    </row>
    <row r="46" spans="1:46" x14ac:dyDescent="0.25">
      <c r="A46">
        <v>44</v>
      </c>
      <c r="B46">
        <v>9.1396000000000086</v>
      </c>
      <c r="C46">
        <v>0.53258953846153845</v>
      </c>
      <c r="D46">
        <v>0.36779158757885799</v>
      </c>
      <c r="E46">
        <v>-9.0088082661100147E-2</v>
      </c>
      <c r="F46">
        <v>3.6667894241673999</v>
      </c>
      <c r="G46">
        <v>9.2223912000000006</v>
      </c>
      <c r="H46">
        <v>-12.13758</v>
      </c>
      <c r="I46">
        <v>-6.2865760000000002</v>
      </c>
      <c r="J46">
        <v>13.874264</v>
      </c>
      <c r="K46">
        <v>5.4920799999999996</v>
      </c>
      <c r="L46">
        <v>-10.580368</v>
      </c>
      <c r="M46">
        <v>21.511592</v>
      </c>
      <c r="N46">
        <v>1.3896900000000001</v>
      </c>
      <c r="O46">
        <v>-17.288703999999999</v>
      </c>
      <c r="P46">
        <v>49.680167999999988</v>
      </c>
      <c r="Q46">
        <v>-5.9792363999999996</v>
      </c>
      <c r="R46">
        <v>17.066227999999999</v>
      </c>
      <c r="S46">
        <v>27.264768</v>
      </c>
      <c r="T46">
        <v>-13.3956</v>
      </c>
      <c r="U46">
        <v>-8.6154500000000525</v>
      </c>
      <c r="V46">
        <v>42.578000000000102</v>
      </c>
      <c r="W46">
        <v>56.353250000000003</v>
      </c>
      <c r="X46">
        <v>9.3790000000000937</v>
      </c>
      <c r="Y46">
        <v>-95.000050000000059</v>
      </c>
      <c r="Z46">
        <v>-25.874499999999969</v>
      </c>
      <c r="AA46">
        <v>-586.88350000000025</v>
      </c>
      <c r="AB46">
        <v>-179.83404999999999</v>
      </c>
      <c r="AC46">
        <v>-143.09649999999991</v>
      </c>
      <c r="AD46">
        <v>-70.592000000000397</v>
      </c>
      <c r="AE46">
        <v>-172.18215000000001</v>
      </c>
      <c r="AF46">
        <v>68.333500000000043</v>
      </c>
      <c r="AG46">
        <v>-35.939499999999967</v>
      </c>
      <c r="AH46">
        <v>72.006499999999889</v>
      </c>
      <c r="AI46">
        <v>-0.66855328000000025</v>
      </c>
      <c r="AJ46">
        <v>5.3598383999999777E-2</v>
      </c>
      <c r="AK46">
        <v>-4.376275199999996E-2</v>
      </c>
      <c r="AL46">
        <v>-5.8731500000000034</v>
      </c>
      <c r="AM46">
        <v>4.7497992</v>
      </c>
      <c r="AN46">
        <v>1.2811303999999999</v>
      </c>
      <c r="AO46">
        <v>0.24675440000000001</v>
      </c>
      <c r="AP46">
        <v>4.6367576192000044</v>
      </c>
      <c r="AQ46">
        <v>4.4503396000000004</v>
      </c>
      <c r="AR46">
        <v>0.16142792</v>
      </c>
      <c r="AS46">
        <v>0.31759616000000002</v>
      </c>
      <c r="AT46">
        <v>5.0049372000000041</v>
      </c>
    </row>
    <row r="47" spans="1:46" x14ac:dyDescent="0.25">
      <c r="A47">
        <v>45</v>
      </c>
      <c r="B47">
        <v>9.1463125000000094</v>
      </c>
      <c r="C47">
        <v>0.53266321428571439</v>
      </c>
      <c r="D47">
        <v>0.39186080573393101</v>
      </c>
      <c r="E47">
        <v>-9.3254297783707862E-2</v>
      </c>
      <c r="F47">
        <v>3.6374099068392169</v>
      </c>
      <c r="G47">
        <v>9.2140705000000001</v>
      </c>
      <c r="H47">
        <v>-12.089225000000001</v>
      </c>
      <c r="I47">
        <v>-6.2237335000000007</v>
      </c>
      <c r="J47">
        <v>13.885555</v>
      </c>
      <c r="K47">
        <v>5.3840994999999996</v>
      </c>
      <c r="L47">
        <v>-10.615765</v>
      </c>
      <c r="M47">
        <v>20.834254999999999</v>
      </c>
      <c r="N47">
        <v>1.1862780000000011</v>
      </c>
      <c r="O47">
        <v>-17.454744999999999</v>
      </c>
      <c r="P47">
        <v>49.606879999999997</v>
      </c>
      <c r="Q47">
        <v>-6.1858599999999999</v>
      </c>
      <c r="R47">
        <v>17.151655000000002</v>
      </c>
      <c r="S47">
        <v>27.235695</v>
      </c>
      <c r="T47">
        <v>-13.315715000000001</v>
      </c>
      <c r="U47">
        <v>-11.539437500000069</v>
      </c>
      <c r="V47">
        <v>45.641875000000063</v>
      </c>
      <c r="W47">
        <v>60.240562499999967</v>
      </c>
      <c r="X47">
        <v>7.0962500000001318</v>
      </c>
      <c r="Y47">
        <v>-100.4205625</v>
      </c>
      <c r="Z47">
        <v>-11.510000000000041</v>
      </c>
      <c r="AA47">
        <v>-597.44937500000026</v>
      </c>
      <c r="AB47">
        <v>-196.34186874999989</v>
      </c>
      <c r="AC47">
        <v>-146.845</v>
      </c>
      <c r="AD47">
        <v>-93.120000000000132</v>
      </c>
      <c r="AE47">
        <v>-160.55287500000011</v>
      </c>
      <c r="AF47">
        <v>60.340625000000237</v>
      </c>
      <c r="AG47">
        <v>-70.197499999999849</v>
      </c>
      <c r="AH47">
        <v>85.331874999999798</v>
      </c>
      <c r="AI47">
        <v>-0.84869999999999923</v>
      </c>
      <c r="AJ47">
        <v>-7.8365269999999446E-2</v>
      </c>
      <c r="AK47">
        <v>-1.8477535000000111E-2</v>
      </c>
      <c r="AL47">
        <v>-7.4737074999999944</v>
      </c>
      <c r="AM47">
        <v>4.8034564999999994</v>
      </c>
      <c r="AN47">
        <v>1.2556825</v>
      </c>
      <c r="AO47">
        <v>0.25286995000000001</v>
      </c>
      <c r="AP47">
        <v>6.4450124999999927</v>
      </c>
      <c r="AQ47">
        <v>4.4170595000000006</v>
      </c>
      <c r="AR47">
        <v>0.1665121</v>
      </c>
      <c r="AS47">
        <v>0.31543080000000001</v>
      </c>
      <c r="AT47">
        <v>7.6928084999999902</v>
      </c>
    </row>
    <row r="48" spans="1:46" x14ac:dyDescent="0.25">
      <c r="A48">
        <v>46</v>
      </c>
      <c r="B48">
        <v>9.153925000000001</v>
      </c>
      <c r="C48">
        <v>0.53278765934065941</v>
      </c>
      <c r="D48">
        <v>0.41403394426836693</v>
      </c>
      <c r="E48">
        <v>-9.5160149306198968E-2</v>
      </c>
      <c r="F48">
        <v>3.604530604180971</v>
      </c>
      <c r="G48">
        <v>9.1948754000000008</v>
      </c>
      <c r="H48">
        <v>-12.03079</v>
      </c>
      <c r="I48">
        <v>-6.1458598000000002</v>
      </c>
      <c r="J48">
        <v>13.889934</v>
      </c>
      <c r="K48">
        <v>5.2575405999999996</v>
      </c>
      <c r="L48">
        <v>-10.602802000000001</v>
      </c>
      <c r="M48">
        <v>20.122333999999999</v>
      </c>
      <c r="N48">
        <v>0.92903639999999998</v>
      </c>
      <c r="O48">
        <v>-17.630745999999998</v>
      </c>
      <c r="P48">
        <v>49.457704</v>
      </c>
      <c r="Q48">
        <v>-6.3487819999999999</v>
      </c>
      <c r="R48">
        <v>17.204754000000001</v>
      </c>
      <c r="S48">
        <v>27.092406</v>
      </c>
      <c r="T48">
        <v>-13.193422</v>
      </c>
      <c r="U48">
        <v>-15.342425000000089</v>
      </c>
      <c r="V48">
        <v>48.639750000000042</v>
      </c>
      <c r="W48">
        <v>65.674074999999988</v>
      </c>
      <c r="X48">
        <v>5.4795000000000949</v>
      </c>
      <c r="Y48">
        <v>-106.18757500000009</v>
      </c>
      <c r="Z48">
        <v>3.0044999999999908</v>
      </c>
      <c r="AA48">
        <v>-607.5232500000003</v>
      </c>
      <c r="AB48">
        <v>-211.52695750000001</v>
      </c>
      <c r="AC48">
        <v>-148.62850000000009</v>
      </c>
      <c r="AD48">
        <v>-116.5810000000001</v>
      </c>
      <c r="AE48">
        <v>-145.1343</v>
      </c>
      <c r="AF48">
        <v>47.163750000000249</v>
      </c>
      <c r="AG48">
        <v>-105.9255</v>
      </c>
      <c r="AH48">
        <v>96.899249999999853</v>
      </c>
      <c r="AI48">
        <v>-1.0497860000000001</v>
      </c>
      <c r="AJ48">
        <v>-0.22996375599999999</v>
      </c>
      <c r="AK48">
        <v>1.3733722000000011E-2</v>
      </c>
      <c r="AL48">
        <v>-9.2853809999999992</v>
      </c>
      <c r="AM48">
        <v>4.8534322000000003</v>
      </c>
      <c r="AN48">
        <v>1.2207809999999999</v>
      </c>
      <c r="AO48">
        <v>0.26096646000000001</v>
      </c>
      <c r="AP48">
        <v>8.4254949999999997</v>
      </c>
      <c r="AQ48">
        <v>4.3702506000000003</v>
      </c>
      <c r="AR48">
        <v>0.17262588000000001</v>
      </c>
      <c r="AS48">
        <v>0.31301104000000002</v>
      </c>
      <c r="AT48">
        <v>10.322983799999999</v>
      </c>
    </row>
    <row r="49" spans="1:46" x14ac:dyDescent="0.25">
      <c r="A49">
        <v>47</v>
      </c>
      <c r="B49">
        <v>9.1615374999999943</v>
      </c>
      <c r="C49">
        <v>0.53291210439560444</v>
      </c>
      <c r="D49">
        <v>0.43451253234239512</v>
      </c>
      <c r="E49">
        <v>-9.775104334458859E-2</v>
      </c>
      <c r="F49">
        <v>3.5668001570137542</v>
      </c>
      <c r="G49">
        <v>9.1756802999999998</v>
      </c>
      <c r="H49">
        <v>-11.972355</v>
      </c>
      <c r="I49">
        <v>-6.0679860999999997</v>
      </c>
      <c r="J49">
        <v>13.894313</v>
      </c>
      <c r="K49">
        <v>5.1309817000000004</v>
      </c>
      <c r="L49">
        <v>-10.589839</v>
      </c>
      <c r="M49">
        <v>19.410412999999998</v>
      </c>
      <c r="N49">
        <v>0.67179479999999914</v>
      </c>
      <c r="O49">
        <v>-17.806747000000001</v>
      </c>
      <c r="P49">
        <v>49.308528000000003</v>
      </c>
      <c r="Q49">
        <v>-6.5117040000000008</v>
      </c>
      <c r="R49">
        <v>17.257853000000001</v>
      </c>
      <c r="S49">
        <v>26.949117000000001</v>
      </c>
      <c r="T49">
        <v>-13.071129000000001</v>
      </c>
      <c r="U49">
        <v>-19.14541250000012</v>
      </c>
      <c r="V49">
        <v>51.637625000000021</v>
      </c>
      <c r="W49">
        <v>71.107587500000008</v>
      </c>
      <c r="X49">
        <v>3.8627500000000579</v>
      </c>
      <c r="Y49">
        <v>-111.9545875000001</v>
      </c>
      <c r="Z49">
        <v>17.51900000000003</v>
      </c>
      <c r="AA49">
        <v>-617.59712500000023</v>
      </c>
      <c r="AB49">
        <v>-226.71204624999999</v>
      </c>
      <c r="AC49">
        <v>-150.41200000000021</v>
      </c>
      <c r="AD49">
        <v>-140.0420000000002</v>
      </c>
      <c r="AE49">
        <v>-129.71572499999999</v>
      </c>
      <c r="AF49">
        <v>33.986875000000261</v>
      </c>
      <c r="AG49">
        <v>-141.65350000000021</v>
      </c>
      <c r="AH49">
        <v>108.46662499999989</v>
      </c>
      <c r="AI49">
        <v>-1.2508720000000011</v>
      </c>
      <c r="AJ49">
        <v>-0.38156224200000038</v>
      </c>
      <c r="AK49">
        <v>4.5944979000000122E-2</v>
      </c>
      <c r="AL49">
        <v>-11.097054500000009</v>
      </c>
      <c r="AM49">
        <v>4.9034079000000004</v>
      </c>
      <c r="AN49">
        <v>1.1858795</v>
      </c>
      <c r="AO49">
        <v>0.26906297000000001</v>
      </c>
      <c r="AP49">
        <v>10.405977500000009</v>
      </c>
      <c r="AQ49">
        <v>4.3234417000000001</v>
      </c>
      <c r="AR49">
        <v>0.17873965999999999</v>
      </c>
      <c r="AS49">
        <v>0.31059128000000003</v>
      </c>
      <c r="AT49">
        <v>12.953159100000009</v>
      </c>
    </row>
    <row r="50" spans="1:46" x14ac:dyDescent="0.25">
      <c r="A50">
        <v>48</v>
      </c>
      <c r="B50">
        <v>9.1691499999999859</v>
      </c>
      <c r="C50">
        <v>0.53303654945054946</v>
      </c>
      <c r="D50">
        <v>0.45244595911075269</v>
      </c>
      <c r="E50">
        <v>-0.1002564180139482</v>
      </c>
      <c r="F50">
        <v>3.531662787987655</v>
      </c>
      <c r="G50">
        <v>9.1564852000000005</v>
      </c>
      <c r="H50">
        <v>-11.913919999999999</v>
      </c>
      <c r="I50">
        <v>-5.9901124000000001</v>
      </c>
      <c r="J50">
        <v>13.898692</v>
      </c>
      <c r="K50">
        <v>5.0044228000000004</v>
      </c>
      <c r="L50">
        <v>-10.576876</v>
      </c>
      <c r="M50">
        <v>18.698492000000002</v>
      </c>
      <c r="N50">
        <v>0.41455320000000012</v>
      </c>
      <c r="O50">
        <v>-17.982748000000001</v>
      </c>
      <c r="P50">
        <v>49.159351999999998</v>
      </c>
      <c r="Q50">
        <v>-6.6746259999999999</v>
      </c>
      <c r="R50">
        <v>17.310952</v>
      </c>
      <c r="S50">
        <v>26.805828000000002</v>
      </c>
      <c r="T50">
        <v>-12.948836</v>
      </c>
      <c r="U50">
        <v>-22.94840000000011</v>
      </c>
      <c r="V50">
        <v>54.635499999999979</v>
      </c>
      <c r="W50">
        <v>76.5411</v>
      </c>
      <c r="X50">
        <v>2.246000000000032</v>
      </c>
      <c r="Y50">
        <v>-117.72160000000009</v>
      </c>
      <c r="Z50">
        <v>32.033499999999947</v>
      </c>
      <c r="AA50">
        <v>-627.67100000000016</v>
      </c>
      <c r="AB50">
        <v>-241.89713499999999</v>
      </c>
      <c r="AC50">
        <v>-152.19550000000029</v>
      </c>
      <c r="AD50">
        <v>-163.50299999999999</v>
      </c>
      <c r="AE50">
        <v>-114.29715</v>
      </c>
      <c r="AF50">
        <v>20.810000000000361</v>
      </c>
      <c r="AG50">
        <v>-177.3815000000001</v>
      </c>
      <c r="AH50">
        <v>120.03399999999991</v>
      </c>
      <c r="AI50">
        <v>-1.4519580000000001</v>
      </c>
      <c r="AJ50">
        <v>-0.53316072799999992</v>
      </c>
      <c r="AK50">
        <v>7.8156236000000004E-2</v>
      </c>
      <c r="AL50">
        <v>-12.908728</v>
      </c>
      <c r="AM50">
        <v>4.9533836000000004</v>
      </c>
      <c r="AN50">
        <v>1.1509780000000001</v>
      </c>
      <c r="AO50">
        <v>0.27715948000000001</v>
      </c>
      <c r="AP50">
        <v>12.38646</v>
      </c>
      <c r="AQ50">
        <v>4.2766327999999998</v>
      </c>
      <c r="AR50">
        <v>0.18485344000000001</v>
      </c>
      <c r="AS50">
        <v>0.30817151999999998</v>
      </c>
      <c r="AT50">
        <v>15.5833344</v>
      </c>
    </row>
    <row r="51" spans="1:46" x14ac:dyDescent="0.25">
      <c r="A51">
        <v>49</v>
      </c>
      <c r="B51">
        <v>9.177812499999991</v>
      </c>
      <c r="C51">
        <v>0.53320057142857147</v>
      </c>
      <c r="D51">
        <v>0.46981392661332633</v>
      </c>
      <c r="E51">
        <v>-0.1018045465754279</v>
      </c>
      <c r="F51">
        <v>3.4942827254283202</v>
      </c>
      <c r="G51">
        <v>9.1247740999999998</v>
      </c>
      <c r="H51">
        <v>-11.846938</v>
      </c>
      <c r="I51">
        <v>-5.8939140999999999</v>
      </c>
      <c r="J51">
        <v>13.899753</v>
      </c>
      <c r="K51">
        <v>4.8607110999999996</v>
      </c>
      <c r="L51">
        <v>-10.522144000000001</v>
      </c>
      <c r="M51">
        <v>17.958473000000001</v>
      </c>
      <c r="N51">
        <v>0.1164437099999993</v>
      </c>
      <c r="O51">
        <v>-18.160366</v>
      </c>
      <c r="P51">
        <v>48.940666</v>
      </c>
      <c r="Q51">
        <v>-6.7864655000000003</v>
      </c>
      <c r="R51">
        <v>17.316002999999998</v>
      </c>
      <c r="S51">
        <v>26.555502000000001</v>
      </c>
      <c r="T51">
        <v>-12.796639000000001</v>
      </c>
      <c r="U51">
        <v>-27.456725000000102</v>
      </c>
      <c r="V51">
        <v>57.53887499999999</v>
      </c>
      <c r="W51">
        <v>83.171350000000004</v>
      </c>
      <c r="X51">
        <v>1.4220000000000179</v>
      </c>
      <c r="Y51">
        <v>-123.60306249999999</v>
      </c>
      <c r="Z51">
        <v>46.146112499999973</v>
      </c>
      <c r="AA51">
        <v>-637.0702500000001</v>
      </c>
      <c r="AB51">
        <v>-255.14817625000001</v>
      </c>
      <c r="AC51">
        <v>-152.24125000000021</v>
      </c>
      <c r="AD51">
        <v>-187.65174999999999</v>
      </c>
      <c r="AE51">
        <v>-96.028349999999946</v>
      </c>
      <c r="AF51">
        <v>2.7558750000001879</v>
      </c>
      <c r="AG51">
        <v>-215.42212500000019</v>
      </c>
      <c r="AH51">
        <v>129.69300000000001</v>
      </c>
      <c r="AI51">
        <v>-1.663716200000001</v>
      </c>
      <c r="AJ51">
        <v>-0.69829279000000033</v>
      </c>
      <c r="AK51">
        <v>0.1155079990000001</v>
      </c>
      <c r="AL51">
        <v>-14.812791000000001</v>
      </c>
      <c r="AM51">
        <v>4.9981429000000004</v>
      </c>
      <c r="AN51">
        <v>1.1048419199999999</v>
      </c>
      <c r="AO51">
        <v>0.28428431999999998</v>
      </c>
      <c r="AP51">
        <v>14.465002</v>
      </c>
      <c r="AQ51">
        <v>4.2195695999999998</v>
      </c>
      <c r="AR51">
        <v>0.18944807999999999</v>
      </c>
      <c r="AS51">
        <v>0.30467487999999998</v>
      </c>
      <c r="AT51">
        <v>18.076575000000009</v>
      </c>
    </row>
    <row r="52" spans="1:46" x14ac:dyDescent="0.25">
      <c r="A52">
        <v>50</v>
      </c>
      <c r="B52">
        <v>9.1868750000000006</v>
      </c>
      <c r="C52">
        <v>0.53337967032967037</v>
      </c>
      <c r="D52">
        <v>0.48407170862467008</v>
      </c>
      <c r="E52">
        <v>-0.1033491016779928</v>
      </c>
      <c r="F52">
        <v>3.4556681952438622</v>
      </c>
      <c r="G52">
        <v>9.0882949999999987</v>
      </c>
      <c r="H52">
        <v>-11.7767</v>
      </c>
      <c r="I52">
        <v>-5.7907349999999997</v>
      </c>
      <c r="J52">
        <v>13.89955</v>
      </c>
      <c r="K52">
        <v>4.7104649999999992</v>
      </c>
      <c r="L52">
        <v>-10.451499999999999</v>
      </c>
      <c r="M52">
        <v>17.207750000000001</v>
      </c>
      <c r="N52">
        <v>-0.19723450000000109</v>
      </c>
      <c r="O52">
        <v>-18.3386</v>
      </c>
      <c r="P52">
        <v>48.695500000000003</v>
      </c>
      <c r="Q52">
        <v>-6.8788450000000001</v>
      </c>
      <c r="R52">
        <v>17.30275</v>
      </c>
      <c r="S52">
        <v>26.264399999999998</v>
      </c>
      <c r="T52">
        <v>-12.633050000000001</v>
      </c>
      <c r="U52">
        <v>-32.233750000000079</v>
      </c>
      <c r="V52">
        <v>60.406250000000007</v>
      </c>
      <c r="W52">
        <v>90.257500000000007</v>
      </c>
      <c r="X52">
        <v>0.90000000000001001</v>
      </c>
      <c r="Y52">
        <v>-129.52812499999999</v>
      </c>
      <c r="Z52">
        <v>60.105624999999989</v>
      </c>
      <c r="AA52">
        <v>-646.21249999999998</v>
      </c>
      <c r="AB52">
        <v>-267.66243750000001</v>
      </c>
      <c r="AC52">
        <v>-151.62500000000011</v>
      </c>
      <c r="AD52">
        <v>-212.06250000000011</v>
      </c>
      <c r="AE52">
        <v>-76.673749999999913</v>
      </c>
      <c r="AF52">
        <v>-17.15625000000005</v>
      </c>
      <c r="AG52">
        <v>-254.3437500000002</v>
      </c>
      <c r="AH52">
        <v>138.625</v>
      </c>
      <c r="AI52">
        <v>-1.8795400000000011</v>
      </c>
      <c r="AJ52">
        <v>-0.86858050000000064</v>
      </c>
      <c r="AK52">
        <v>0.15481805000000021</v>
      </c>
      <c r="AL52">
        <v>-16.752050000000011</v>
      </c>
      <c r="AM52">
        <v>5.040915</v>
      </c>
      <c r="AN52">
        <v>1.0544260000000001</v>
      </c>
      <c r="AO52">
        <v>0.29103899999999999</v>
      </c>
      <c r="AP52">
        <v>16.58090000000001</v>
      </c>
      <c r="AQ52">
        <v>4.1585999999999999</v>
      </c>
      <c r="AR52">
        <v>0.193464</v>
      </c>
      <c r="AS52">
        <v>0.30076799999999998</v>
      </c>
      <c r="AT52">
        <v>20.51765000000001</v>
      </c>
    </row>
    <row r="53" spans="1:46" x14ac:dyDescent="0.25">
      <c r="A53">
        <v>51</v>
      </c>
      <c r="B53">
        <v>9.1959375000000083</v>
      </c>
      <c r="C53">
        <v>0.53355876923076917</v>
      </c>
      <c r="D53">
        <v>0.50202996397120236</v>
      </c>
      <c r="E53">
        <v>-0.1029707356105715</v>
      </c>
      <c r="F53">
        <v>3.4126947413116691</v>
      </c>
      <c r="G53">
        <v>9.0518158999999994</v>
      </c>
      <c r="H53">
        <v>-11.706462</v>
      </c>
      <c r="I53">
        <v>-5.6875559000000004</v>
      </c>
      <c r="J53">
        <v>13.899347000000001</v>
      </c>
      <c r="K53">
        <v>4.5602188999999989</v>
      </c>
      <c r="L53">
        <v>-10.380856</v>
      </c>
      <c r="M53">
        <v>16.457027</v>
      </c>
      <c r="N53">
        <v>-0.51091271000000171</v>
      </c>
      <c r="O53">
        <v>-18.516833999999999</v>
      </c>
      <c r="P53">
        <v>48.450333999999998</v>
      </c>
      <c r="Q53">
        <v>-6.9712245000000008</v>
      </c>
      <c r="R53">
        <v>17.289497000000001</v>
      </c>
      <c r="S53">
        <v>25.973298</v>
      </c>
      <c r="T53">
        <v>-12.469461000000001</v>
      </c>
      <c r="U53">
        <v>-37.010775000000052</v>
      </c>
      <c r="V53">
        <v>63.273625000000017</v>
      </c>
      <c r="W53">
        <v>97.343650000000025</v>
      </c>
      <c r="X53">
        <v>0.37800000000000228</v>
      </c>
      <c r="Y53">
        <v>-135.45318750000001</v>
      </c>
      <c r="Z53">
        <v>74.06513750000002</v>
      </c>
      <c r="AA53">
        <v>-655.35474999999997</v>
      </c>
      <c r="AB53">
        <v>-280.17669875000001</v>
      </c>
      <c r="AC53">
        <v>-151.00874999999999</v>
      </c>
      <c r="AD53">
        <v>-236.47325000000021</v>
      </c>
      <c r="AE53">
        <v>-57.319149999999887</v>
      </c>
      <c r="AF53">
        <v>-37.068375000000302</v>
      </c>
      <c r="AG53">
        <v>-293.26537500000018</v>
      </c>
      <c r="AH53">
        <v>147.5570000000001</v>
      </c>
      <c r="AI53">
        <v>-2.0953638000000012</v>
      </c>
      <c r="AJ53">
        <v>-1.0388682100000011</v>
      </c>
      <c r="AK53">
        <v>0.19412810100000019</v>
      </c>
      <c r="AL53">
        <v>-18.691309000000011</v>
      </c>
      <c r="AM53">
        <v>5.0836870999999997</v>
      </c>
      <c r="AN53">
        <v>1.00401008</v>
      </c>
      <c r="AO53">
        <v>0.29779368000000001</v>
      </c>
      <c r="AP53">
        <v>18.696798000000008</v>
      </c>
      <c r="AQ53">
        <v>4.0976303999999999</v>
      </c>
      <c r="AR53">
        <v>0.19747992</v>
      </c>
      <c r="AS53">
        <v>0.29686111999999992</v>
      </c>
      <c r="AT53">
        <v>22.958725000000019</v>
      </c>
    </row>
    <row r="54" spans="1:46" x14ac:dyDescent="0.25">
      <c r="A54">
        <v>52</v>
      </c>
      <c r="B54">
        <v>9.2053000000000154</v>
      </c>
      <c r="C54">
        <v>0.53375096703296698</v>
      </c>
      <c r="D54">
        <v>0.51791433691180577</v>
      </c>
      <c r="E54">
        <v>-0.1029995060155847</v>
      </c>
      <c r="F54">
        <v>3.3740297418211078</v>
      </c>
      <c r="G54">
        <v>9.0095624000000001</v>
      </c>
      <c r="H54">
        <v>-11.633152000000001</v>
      </c>
      <c r="I54">
        <v>-5.5757192</v>
      </c>
      <c r="J54">
        <v>13.899255999999999</v>
      </c>
      <c r="K54">
        <v>4.4034312</v>
      </c>
      <c r="L54">
        <v>-10.2953168</v>
      </c>
      <c r="M54">
        <v>15.696832000000001</v>
      </c>
      <c r="N54">
        <v>-0.83663987999999978</v>
      </c>
      <c r="O54">
        <v>-18.693092</v>
      </c>
      <c r="P54">
        <v>48.177775999999987</v>
      </c>
      <c r="Q54">
        <v>-7.0403504000000003</v>
      </c>
      <c r="R54">
        <v>17.250603999999999</v>
      </c>
      <c r="S54">
        <v>25.637076</v>
      </c>
      <c r="T54">
        <v>-12.297552</v>
      </c>
      <c r="U54">
        <v>-42.0124</v>
      </c>
      <c r="V54">
        <v>66.090000000000018</v>
      </c>
      <c r="W54">
        <v>104.79900000000001</v>
      </c>
      <c r="X54">
        <v>0.23199999999999171</v>
      </c>
      <c r="Y54">
        <v>-141.3297499999999</v>
      </c>
      <c r="Z54">
        <v>87.678649999999934</v>
      </c>
      <c r="AA54">
        <v>-664.12999999999977</v>
      </c>
      <c r="AB54">
        <v>-291.69236000000001</v>
      </c>
      <c r="AC54">
        <v>-149.80149999999989</v>
      </c>
      <c r="AD54">
        <v>-261.05799999999999</v>
      </c>
      <c r="AE54">
        <v>-37.247949999999989</v>
      </c>
      <c r="AF54">
        <v>-58.634500000000308</v>
      </c>
      <c r="AG54">
        <v>-333.44299999999998</v>
      </c>
      <c r="AH54">
        <v>155.7360000000001</v>
      </c>
      <c r="AI54">
        <v>-2.3140692</v>
      </c>
      <c r="AJ54">
        <v>-1.2073688</v>
      </c>
      <c r="AK54">
        <v>0.23319767999999999</v>
      </c>
      <c r="AL54">
        <v>-20.645351999999999</v>
      </c>
      <c r="AM54">
        <v>5.1228151999999998</v>
      </c>
      <c r="AN54">
        <v>0.95137256000000003</v>
      </c>
      <c r="AO54">
        <v>0.30416140000000003</v>
      </c>
      <c r="AP54">
        <v>20.815296</v>
      </c>
      <c r="AQ54">
        <v>4.0326464000000009</v>
      </c>
      <c r="AR54">
        <v>0.20101376000000001</v>
      </c>
      <c r="AS54">
        <v>0.29293007999999998</v>
      </c>
      <c r="AT54">
        <v>25.306784</v>
      </c>
    </row>
    <row r="55" spans="1:46" x14ac:dyDescent="0.25">
      <c r="A55">
        <v>53</v>
      </c>
      <c r="B55">
        <v>9.215450000000013</v>
      </c>
      <c r="C55">
        <v>0.53397754945054943</v>
      </c>
      <c r="D55">
        <v>0.5327889176554863</v>
      </c>
      <c r="E55">
        <v>-0.1037200568789145</v>
      </c>
      <c r="F55">
        <v>3.3302290553544118</v>
      </c>
      <c r="G55">
        <v>8.9521511</v>
      </c>
      <c r="H55">
        <v>-11.551778000000001</v>
      </c>
      <c r="I55">
        <v>-5.4411563000000003</v>
      </c>
      <c r="J55">
        <v>13.899459</v>
      </c>
      <c r="K55">
        <v>4.2294717999999998</v>
      </c>
      <c r="L55">
        <v>-10.170677700000001</v>
      </c>
      <c r="M55">
        <v>14.911773</v>
      </c>
      <c r="N55">
        <v>-1.19399557</v>
      </c>
      <c r="O55">
        <v>-18.864163000000001</v>
      </c>
      <c r="P55">
        <v>47.833313999999987</v>
      </c>
      <c r="Q55">
        <v>-7.0484356000000004</v>
      </c>
      <c r="R55">
        <v>17.144406</v>
      </c>
      <c r="S55">
        <v>25.182414000000001</v>
      </c>
      <c r="T55">
        <v>-12.103802999999999</v>
      </c>
      <c r="U55">
        <v>-47.6036</v>
      </c>
      <c r="V55">
        <v>68.772500000000008</v>
      </c>
      <c r="W55">
        <v>113.2235</v>
      </c>
      <c r="X55">
        <v>1.0729999999999651</v>
      </c>
      <c r="Y55">
        <v>-147.07900000000001</v>
      </c>
      <c r="Z55">
        <v>100.38391249999999</v>
      </c>
      <c r="AA55">
        <v>-671.94187499999975</v>
      </c>
      <c r="AB55">
        <v>-300.58669624999999</v>
      </c>
      <c r="AC55">
        <v>-147.0428749999999</v>
      </c>
      <c r="AD55">
        <v>-286.09949999999992</v>
      </c>
      <c r="AE55">
        <v>-15.295674999999971</v>
      </c>
      <c r="AF55">
        <v>-84.542375000000249</v>
      </c>
      <c r="AG55">
        <v>-376.9176250000001</v>
      </c>
      <c r="AH55">
        <v>161.93837500000009</v>
      </c>
      <c r="AI55">
        <v>-2.5403387999999998</v>
      </c>
      <c r="AJ55">
        <v>-1.3711781999999999</v>
      </c>
      <c r="AK55">
        <v>0.27163601999999998</v>
      </c>
      <c r="AL55">
        <v>-22.638203000000001</v>
      </c>
      <c r="AM55">
        <v>5.1523778</v>
      </c>
      <c r="AN55">
        <v>0.89290333999999993</v>
      </c>
      <c r="AO55">
        <v>0.30951335000000002</v>
      </c>
      <c r="AP55">
        <v>22.940619000000002</v>
      </c>
      <c r="AQ55">
        <v>3.9571246000000002</v>
      </c>
      <c r="AR55">
        <v>0.20328214</v>
      </c>
      <c r="AS55">
        <v>0.28893561999999989</v>
      </c>
      <c r="AT55">
        <v>27.410675999999999</v>
      </c>
    </row>
    <row r="56" spans="1:46" x14ac:dyDescent="0.25">
      <c r="A56">
        <v>54</v>
      </c>
      <c r="B56">
        <v>9.2256000000000125</v>
      </c>
      <c r="C56">
        <v>0.53420413186813187</v>
      </c>
      <c r="D56">
        <v>0.54602179568342479</v>
      </c>
      <c r="E56">
        <v>-0.10330299477627999</v>
      </c>
      <c r="F56">
        <v>3.2875920634629021</v>
      </c>
      <c r="G56">
        <v>8.8947398</v>
      </c>
      <c r="H56">
        <v>-11.470404</v>
      </c>
      <c r="I56">
        <v>-5.3065933999999997</v>
      </c>
      <c r="J56">
        <v>13.899661999999999</v>
      </c>
      <c r="K56">
        <v>4.0555123999999996</v>
      </c>
      <c r="L56">
        <v>-10.046038599999999</v>
      </c>
      <c r="M56">
        <v>14.126714</v>
      </c>
      <c r="N56">
        <v>-1.551351260000001</v>
      </c>
      <c r="O56">
        <v>-19.035233999999999</v>
      </c>
      <c r="P56">
        <v>47.488852000000001</v>
      </c>
      <c r="Q56">
        <v>-7.0565208000000004</v>
      </c>
      <c r="R56">
        <v>17.038208000000001</v>
      </c>
      <c r="S56">
        <v>24.727751999999999</v>
      </c>
      <c r="T56">
        <v>-11.910054000000001</v>
      </c>
      <c r="U56">
        <v>-53.194800000000001</v>
      </c>
      <c r="V56">
        <v>71.455000000000013</v>
      </c>
      <c r="W56">
        <v>121.648</v>
      </c>
      <c r="X56">
        <v>1.913999999999938</v>
      </c>
      <c r="Y56">
        <v>-152.82825</v>
      </c>
      <c r="Z56">
        <v>113.089175</v>
      </c>
      <c r="AA56">
        <v>-679.75374999999985</v>
      </c>
      <c r="AB56">
        <v>-309.48103250000003</v>
      </c>
      <c r="AC56">
        <v>-144.2842499999999</v>
      </c>
      <c r="AD56">
        <v>-311.14099999999979</v>
      </c>
      <c r="AE56">
        <v>6.6566000000000543</v>
      </c>
      <c r="AF56">
        <v>-110.4502500000002</v>
      </c>
      <c r="AG56">
        <v>-420.39225000000022</v>
      </c>
      <c r="AH56">
        <v>168.1407500000002</v>
      </c>
      <c r="AI56">
        <v>-2.7666084</v>
      </c>
      <c r="AJ56">
        <v>-1.5349876</v>
      </c>
      <c r="AK56">
        <v>0.3100743600000001</v>
      </c>
      <c r="AL56">
        <v>-24.63105400000001</v>
      </c>
      <c r="AM56">
        <v>5.1819404000000002</v>
      </c>
      <c r="AN56">
        <v>0.83443411999999983</v>
      </c>
      <c r="AO56">
        <v>0.31486530000000001</v>
      </c>
      <c r="AP56">
        <v>25.06594200000001</v>
      </c>
      <c r="AQ56">
        <v>3.8816028</v>
      </c>
      <c r="AR56">
        <v>0.20555051999999999</v>
      </c>
      <c r="AS56">
        <v>0.28494116000000003</v>
      </c>
      <c r="AT56">
        <v>29.514568000000011</v>
      </c>
    </row>
    <row r="57" spans="1:46" x14ac:dyDescent="0.25">
      <c r="A57">
        <v>55</v>
      </c>
      <c r="B57">
        <v>9.2357500000000119</v>
      </c>
      <c r="C57">
        <v>0.53443071428571431</v>
      </c>
      <c r="D57">
        <v>0.55724234065460054</v>
      </c>
      <c r="E57">
        <v>-0.10334421427679839</v>
      </c>
      <c r="F57">
        <v>3.242481785518895</v>
      </c>
      <c r="G57">
        <v>8.8373284999999999</v>
      </c>
      <c r="H57">
        <v>-11.38903</v>
      </c>
      <c r="I57">
        <v>-5.1720305</v>
      </c>
      <c r="J57">
        <v>13.899865</v>
      </c>
      <c r="K57">
        <v>3.8815529999999989</v>
      </c>
      <c r="L57">
        <v>-9.9213994999999997</v>
      </c>
      <c r="M57">
        <v>13.341654999999999</v>
      </c>
      <c r="N57">
        <v>-1.908706950000002</v>
      </c>
      <c r="O57">
        <v>-19.206305</v>
      </c>
      <c r="P57">
        <v>47.144390000000001</v>
      </c>
      <c r="Q57">
        <v>-7.0646059999999986</v>
      </c>
      <c r="R57">
        <v>16.932009999999998</v>
      </c>
      <c r="S57">
        <v>24.27309</v>
      </c>
      <c r="T57">
        <v>-11.716305</v>
      </c>
      <c r="U57">
        <v>-58.785999999999987</v>
      </c>
      <c r="V57">
        <v>74.137500000000003</v>
      </c>
      <c r="W57">
        <v>130.07249999999999</v>
      </c>
      <c r="X57">
        <v>2.7549999999999111</v>
      </c>
      <c r="Y57">
        <v>-158.57749999999999</v>
      </c>
      <c r="Z57">
        <v>125.7944375000001</v>
      </c>
      <c r="AA57">
        <v>-687.56562499999984</v>
      </c>
      <c r="AB57">
        <v>-318.37536875000001</v>
      </c>
      <c r="AC57">
        <v>-141.52562499999991</v>
      </c>
      <c r="AD57">
        <v>-336.18249999999972</v>
      </c>
      <c r="AE57">
        <v>28.608875000000079</v>
      </c>
      <c r="AF57">
        <v>-136.35812500000009</v>
      </c>
      <c r="AG57">
        <v>-463.86687500000028</v>
      </c>
      <c r="AH57">
        <v>174.34312500000021</v>
      </c>
      <c r="AI57">
        <v>-2.992878000000001</v>
      </c>
      <c r="AJ57">
        <v>-1.698797000000001</v>
      </c>
      <c r="AK57">
        <v>0.34851270000000012</v>
      </c>
      <c r="AL57">
        <v>-26.623905000000011</v>
      </c>
      <c r="AM57">
        <v>5.2115030000000004</v>
      </c>
      <c r="AN57">
        <v>0.77596489999999974</v>
      </c>
      <c r="AO57">
        <v>0.32021725000000001</v>
      </c>
      <c r="AP57">
        <v>27.191265000000008</v>
      </c>
      <c r="AQ57">
        <v>3.8060809999999998</v>
      </c>
      <c r="AR57">
        <v>0.2078189</v>
      </c>
      <c r="AS57">
        <v>0.28094669999999999</v>
      </c>
      <c r="AT57">
        <v>31.61846000000001</v>
      </c>
    </row>
    <row r="58" spans="1:46" x14ac:dyDescent="0.25">
      <c r="A58">
        <v>56</v>
      </c>
      <c r="B58">
        <v>9.2465000000000028</v>
      </c>
      <c r="C58">
        <v>0.53469026373626372</v>
      </c>
      <c r="D58">
        <v>0.56893799323149818</v>
      </c>
      <c r="E58">
        <v>-0.1045115026146439</v>
      </c>
      <c r="F58">
        <v>3.1973871704629881</v>
      </c>
      <c r="G58">
        <v>8.7602227999999993</v>
      </c>
      <c r="H58">
        <v>-11.299111999999999</v>
      </c>
      <c r="I58">
        <v>-5.0076644000000003</v>
      </c>
      <c r="J58">
        <v>13.9053</v>
      </c>
      <c r="K58">
        <v>3.6891544000000001</v>
      </c>
      <c r="L58">
        <v>-9.7573284000000005</v>
      </c>
      <c r="M58">
        <v>12.533291999999999</v>
      </c>
      <c r="N58">
        <v>-2.2888023999999989</v>
      </c>
      <c r="O58">
        <v>-19.36504</v>
      </c>
      <c r="P58">
        <v>46.716312000000002</v>
      </c>
      <c r="Q58">
        <v>-6.9971128</v>
      </c>
      <c r="R58">
        <v>16.731204000000002</v>
      </c>
      <c r="S58">
        <v>23.665956000000001</v>
      </c>
      <c r="T58">
        <v>-11.506451999999999</v>
      </c>
      <c r="U58">
        <v>-64.858699999999942</v>
      </c>
      <c r="V58">
        <v>76.633999999999986</v>
      </c>
      <c r="W58">
        <v>139.27670000000001</v>
      </c>
      <c r="X58">
        <v>4.8709999999998876</v>
      </c>
      <c r="Y58">
        <v>-163.86595</v>
      </c>
      <c r="Z58">
        <v>136.96610000000001</v>
      </c>
      <c r="AA58">
        <v>-693.87119999999982</v>
      </c>
      <c r="AB58">
        <v>-323.68104499999998</v>
      </c>
      <c r="AC58">
        <v>-137.36899999999989</v>
      </c>
      <c r="AD58">
        <v>-361.32899999999972</v>
      </c>
      <c r="AE58">
        <v>51.098749999999953</v>
      </c>
      <c r="AF58">
        <v>-165.66499999999991</v>
      </c>
      <c r="AG58">
        <v>-511.96449999999999</v>
      </c>
      <c r="AH58">
        <v>178.47850000000011</v>
      </c>
      <c r="AI58">
        <v>-3.1822859999999999</v>
      </c>
      <c r="AJ58">
        <v>-1.8323448</v>
      </c>
      <c r="AK58">
        <v>0.38132831999999989</v>
      </c>
      <c r="AL58">
        <v>-28.234148000000001</v>
      </c>
      <c r="AM58">
        <v>5.2010696000000003</v>
      </c>
      <c r="AN58">
        <v>0.71130824000000015</v>
      </c>
      <c r="AO58">
        <v>0.32405432000000001</v>
      </c>
      <c r="AP58">
        <v>29.022516</v>
      </c>
      <c r="AQ58">
        <v>3.7116207999999999</v>
      </c>
      <c r="AR58">
        <v>0.20849152000000001</v>
      </c>
      <c r="AS58">
        <v>0.27815055999999999</v>
      </c>
      <c r="AT58">
        <v>33.226776000000001</v>
      </c>
    </row>
    <row r="59" spans="1:46" x14ac:dyDescent="0.25">
      <c r="A59">
        <v>57</v>
      </c>
      <c r="B59">
        <v>9.2573749999999926</v>
      </c>
      <c r="C59">
        <v>0.53495668131868135</v>
      </c>
      <c r="D59">
        <v>0.58201244404683261</v>
      </c>
      <c r="E59">
        <v>-0.1036825442619133</v>
      </c>
      <c r="F59">
        <v>3.1465631289505351</v>
      </c>
      <c r="G59">
        <v>8.6790140999999998</v>
      </c>
      <c r="H59">
        <v>-11.207414</v>
      </c>
      <c r="I59">
        <v>-4.8370893000000006</v>
      </c>
      <c r="J59">
        <v>13.911825</v>
      </c>
      <c r="K59">
        <v>3.4929142999999998</v>
      </c>
      <c r="L59">
        <v>-9.5850423000000013</v>
      </c>
      <c r="M59">
        <v>11.720074</v>
      </c>
      <c r="N59">
        <v>-2.6736352999999999</v>
      </c>
      <c r="O59">
        <v>-19.521204999999998</v>
      </c>
      <c r="P59">
        <v>46.270814000000001</v>
      </c>
      <c r="Q59">
        <v>-6.9138741000000001</v>
      </c>
      <c r="R59">
        <v>16.510687999999998</v>
      </c>
      <c r="S59">
        <v>23.027056999999999</v>
      </c>
      <c r="T59">
        <v>-11.293244</v>
      </c>
      <c r="U59">
        <v>-71.031712499999941</v>
      </c>
      <c r="V59">
        <v>79.091750000000005</v>
      </c>
      <c r="W59">
        <v>148.6433375</v>
      </c>
      <c r="X59">
        <v>7.2526249999998784</v>
      </c>
      <c r="Y59">
        <v>-169.05840000000001</v>
      </c>
      <c r="Z59">
        <v>147.8182625</v>
      </c>
      <c r="AA59">
        <v>-699.86296249999998</v>
      </c>
      <c r="AB59">
        <v>-328.23908375000002</v>
      </c>
      <c r="AC59">
        <v>-132.92112499999979</v>
      </c>
      <c r="AD59">
        <v>-386.49737499999992</v>
      </c>
      <c r="AE59">
        <v>73.700624999999974</v>
      </c>
      <c r="AF59">
        <v>-195.67999999999989</v>
      </c>
      <c r="AG59">
        <v>-561.02525000000014</v>
      </c>
      <c r="AH59">
        <v>182.1832500000001</v>
      </c>
      <c r="AI59">
        <v>-3.3640145000000001</v>
      </c>
      <c r="AJ59">
        <v>-1.9595880999999999</v>
      </c>
      <c r="AK59">
        <v>0.41297254</v>
      </c>
      <c r="AL59">
        <v>-29.764681</v>
      </c>
      <c r="AM59">
        <v>5.1823037000000003</v>
      </c>
      <c r="AN59">
        <v>0.64536252999999999</v>
      </c>
      <c r="AO59">
        <v>0.32757578999999998</v>
      </c>
      <c r="AP59">
        <v>30.792501999999999</v>
      </c>
      <c r="AQ59">
        <v>3.6132151000000001</v>
      </c>
      <c r="AR59">
        <v>0.20883168999999999</v>
      </c>
      <c r="AS59">
        <v>0.27560406999999998</v>
      </c>
      <c r="AT59">
        <v>34.731847000000002</v>
      </c>
    </row>
    <row r="60" spans="1:46" x14ac:dyDescent="0.25">
      <c r="A60">
        <v>58</v>
      </c>
      <c r="B60">
        <v>9.2682499999999823</v>
      </c>
      <c r="C60">
        <v>0.53522309890109887</v>
      </c>
      <c r="D60">
        <v>0.59613642438630865</v>
      </c>
      <c r="E60">
        <v>-0.1028069105026425</v>
      </c>
      <c r="F60">
        <v>3.08728866925426</v>
      </c>
      <c r="G60">
        <v>8.5978054000000004</v>
      </c>
      <c r="H60">
        <v>-11.115716000000001</v>
      </c>
      <c r="I60">
        <v>-4.6665141999999999</v>
      </c>
      <c r="J60">
        <v>13.91835</v>
      </c>
      <c r="K60">
        <v>3.2966742</v>
      </c>
      <c r="L60">
        <v>-9.4127562000000005</v>
      </c>
      <c r="M60">
        <v>10.906855999999999</v>
      </c>
      <c r="N60">
        <v>-3.058468200000001</v>
      </c>
      <c r="O60">
        <v>-19.67737</v>
      </c>
      <c r="P60">
        <v>45.825316000000001</v>
      </c>
      <c r="Q60">
        <v>-6.8306354000000002</v>
      </c>
      <c r="R60">
        <v>16.290171999999998</v>
      </c>
      <c r="S60">
        <v>22.388158000000001</v>
      </c>
      <c r="T60">
        <v>-11.080036</v>
      </c>
      <c r="U60">
        <v>-77.204724999999939</v>
      </c>
      <c r="V60">
        <v>81.549500000000009</v>
      </c>
      <c r="W60">
        <v>158.00997500000011</v>
      </c>
      <c r="X60">
        <v>9.6342499999998701</v>
      </c>
      <c r="Y60">
        <v>-174.25085000000001</v>
      </c>
      <c r="Z60">
        <v>158.67042499999999</v>
      </c>
      <c r="AA60">
        <v>-705.85472500000003</v>
      </c>
      <c r="AB60">
        <v>-332.7971225</v>
      </c>
      <c r="AC60">
        <v>-128.47324999999969</v>
      </c>
      <c r="AD60">
        <v>-411.66575000000017</v>
      </c>
      <c r="AE60">
        <v>96.302500000000009</v>
      </c>
      <c r="AF60">
        <v>-225.69499999999991</v>
      </c>
      <c r="AG60">
        <v>-610.08600000000024</v>
      </c>
      <c r="AH60">
        <v>185.88800000000001</v>
      </c>
      <c r="AI60">
        <v>-3.5457429999999999</v>
      </c>
      <c r="AJ60">
        <v>-2.0868313999999999</v>
      </c>
      <c r="AK60">
        <v>0.44461676000000011</v>
      </c>
      <c r="AL60">
        <v>-31.295214000000001</v>
      </c>
      <c r="AM60">
        <v>5.1635378000000003</v>
      </c>
      <c r="AN60">
        <v>0.57941681999999983</v>
      </c>
      <c r="AO60">
        <v>0.33109726</v>
      </c>
      <c r="AP60">
        <v>32.562488000000002</v>
      </c>
      <c r="AQ60">
        <v>3.5148093999999999</v>
      </c>
      <c r="AR60">
        <v>0.20917185999999999</v>
      </c>
      <c r="AS60">
        <v>0.27305758000000002</v>
      </c>
      <c r="AT60">
        <v>36.236918000000003</v>
      </c>
    </row>
    <row r="61" spans="1:46" x14ac:dyDescent="0.25">
      <c r="A61">
        <v>59</v>
      </c>
      <c r="B61">
        <v>9.2793999999999777</v>
      </c>
      <c r="C61">
        <v>0.53550178571428575</v>
      </c>
      <c r="D61">
        <v>0.60922091105216658</v>
      </c>
      <c r="E61">
        <v>-0.1002405781932227</v>
      </c>
      <c r="F61">
        <v>3.0272168525322649</v>
      </c>
      <c r="G61">
        <v>8.5068914000000007</v>
      </c>
      <c r="H61">
        <v>-11.020476</v>
      </c>
      <c r="I61">
        <v>-4.4811760000000014</v>
      </c>
      <c r="J61">
        <v>13.929703999999999</v>
      </c>
      <c r="K61">
        <v>3.0931290000000011</v>
      </c>
      <c r="L61">
        <v>-9.225612400000001</v>
      </c>
      <c r="M61">
        <v>10.0861371</v>
      </c>
      <c r="N61">
        <v>-3.4467099999999991</v>
      </c>
      <c r="O61">
        <v>-19.825692</v>
      </c>
      <c r="P61">
        <v>45.341768999999999</v>
      </c>
      <c r="Q61">
        <v>-6.7134518000000014</v>
      </c>
      <c r="R61">
        <v>16.021937999999999</v>
      </c>
      <c r="S61">
        <v>21.670268</v>
      </c>
      <c r="T61">
        <v>-10.862966999999999</v>
      </c>
      <c r="U61">
        <v>-83.490212499999899</v>
      </c>
      <c r="V61">
        <v>83.906874999999985</v>
      </c>
      <c r="W61">
        <v>167.55824999999999</v>
      </c>
      <c r="X61">
        <v>12.612624999999859</v>
      </c>
      <c r="Y61">
        <v>-179.08043749999999</v>
      </c>
      <c r="Z61">
        <v>168.64959999999991</v>
      </c>
      <c r="AA61">
        <v>-710.93307500000014</v>
      </c>
      <c r="AB61">
        <v>-335.55914999999999</v>
      </c>
      <c r="AC61">
        <v>-123.6059999999997</v>
      </c>
      <c r="AD61">
        <v>-436.59625000000011</v>
      </c>
      <c r="AE61">
        <v>118.2535874999999</v>
      </c>
      <c r="AF61">
        <v>-256.2091249999998</v>
      </c>
      <c r="AG61">
        <v>-661.40174999999988</v>
      </c>
      <c r="AH61">
        <v>188.81284999999991</v>
      </c>
      <c r="AI61">
        <v>-3.700946099999999</v>
      </c>
      <c r="AJ61">
        <v>-2.1948984</v>
      </c>
      <c r="AK61">
        <v>0.47139996999999989</v>
      </c>
      <c r="AL61">
        <v>-32.563869999999987</v>
      </c>
      <c r="AM61">
        <v>5.1194466000000007</v>
      </c>
      <c r="AN61">
        <v>0.51227904000000035</v>
      </c>
      <c r="AO61">
        <v>0.33263774000000002</v>
      </c>
      <c r="AP61">
        <v>34.045879999999997</v>
      </c>
      <c r="AQ61">
        <v>3.4087994000000008</v>
      </c>
      <c r="AR61">
        <v>0.20856097000000001</v>
      </c>
      <c r="AS61">
        <v>0.27048238000000002</v>
      </c>
      <c r="AT61">
        <v>37.440511999999998</v>
      </c>
    </row>
    <row r="62" spans="1:46" x14ac:dyDescent="0.25">
      <c r="A62">
        <v>60</v>
      </c>
      <c r="B62">
        <v>9.2909999999999844</v>
      </c>
      <c r="C62">
        <v>0.53580054945054945</v>
      </c>
      <c r="D62">
        <v>0.62286288051301719</v>
      </c>
      <c r="E62">
        <v>-9.648402881809881E-2</v>
      </c>
      <c r="F62">
        <v>2.960947172978118</v>
      </c>
      <c r="G62">
        <v>8.4000959999999996</v>
      </c>
      <c r="H62">
        <v>-10.91944</v>
      </c>
      <c r="I62">
        <v>-4.2716800000000008</v>
      </c>
      <c r="J62">
        <v>13.94896</v>
      </c>
      <c r="K62">
        <v>2.8776300000000008</v>
      </c>
      <c r="L62">
        <v>-9.0141560000000016</v>
      </c>
      <c r="M62">
        <v>9.2531440000000025</v>
      </c>
      <c r="N62">
        <v>-3.8405299999999989</v>
      </c>
      <c r="O62">
        <v>-19.961179999999999</v>
      </c>
      <c r="P62">
        <v>44.795960000000001</v>
      </c>
      <c r="Q62">
        <v>-6.5407220000000006</v>
      </c>
      <c r="R62">
        <v>15.67562</v>
      </c>
      <c r="S62">
        <v>20.823119999999999</v>
      </c>
      <c r="T62">
        <v>-10.63958</v>
      </c>
      <c r="U62">
        <v>-89.9597499999999</v>
      </c>
      <c r="V62">
        <v>86.099999999999966</v>
      </c>
      <c r="W62">
        <v>177.40375</v>
      </c>
      <c r="X62">
        <v>16.567499999999921</v>
      </c>
      <c r="Y62">
        <v>-183.31625</v>
      </c>
      <c r="Z62">
        <v>177.20025000000001</v>
      </c>
      <c r="AA62">
        <v>-714.51675000000012</v>
      </c>
      <c r="AB62">
        <v>-335.38225</v>
      </c>
      <c r="AC62">
        <v>-118.0524999999998</v>
      </c>
      <c r="AD62">
        <v>-461.13750000000022</v>
      </c>
      <c r="AE62">
        <v>139.13974999999991</v>
      </c>
      <c r="AF62">
        <v>-287.53999999999991</v>
      </c>
      <c r="AG62">
        <v>-716.4074999999998</v>
      </c>
      <c r="AH62">
        <v>190.46149999999989</v>
      </c>
      <c r="AI62">
        <v>-3.8127439999999999</v>
      </c>
      <c r="AJ62">
        <v>-2.2715860000000001</v>
      </c>
      <c r="AK62">
        <v>0.49022879999999991</v>
      </c>
      <c r="AL62">
        <v>-33.404000000000003</v>
      </c>
      <c r="AM62">
        <v>5.0339140000000002</v>
      </c>
      <c r="AN62">
        <v>0.44319060000000021</v>
      </c>
      <c r="AO62">
        <v>0.33093660000000003</v>
      </c>
      <c r="AP62">
        <v>35.060299999999998</v>
      </c>
      <c r="AQ62">
        <v>3.290346</v>
      </c>
      <c r="AR62">
        <v>0.20639379999999999</v>
      </c>
      <c r="AS62">
        <v>0.26786019999999999</v>
      </c>
      <c r="AT62">
        <v>38.150779999999997</v>
      </c>
    </row>
    <row r="63" spans="1:46" x14ac:dyDescent="0.25">
      <c r="A63">
        <v>61</v>
      </c>
      <c r="B63">
        <v>9.3025999999999911</v>
      </c>
      <c r="C63">
        <v>0.53609931318681314</v>
      </c>
      <c r="D63">
        <v>0.63352785704219083</v>
      </c>
      <c r="E63">
        <v>-9.2980472792754426E-2</v>
      </c>
      <c r="F63">
        <v>2.8941565573678809</v>
      </c>
      <c r="G63">
        <v>8.2933006000000002</v>
      </c>
      <c r="H63">
        <v>-10.818403999999999</v>
      </c>
      <c r="I63">
        <v>-4.0621840000000002</v>
      </c>
      <c r="J63">
        <v>13.968216</v>
      </c>
      <c r="K63">
        <v>2.662131</v>
      </c>
      <c r="L63">
        <v>-8.8026996000000004</v>
      </c>
      <c r="M63">
        <v>8.4201509000000012</v>
      </c>
      <c r="N63">
        <v>-4.2343500000000001</v>
      </c>
      <c r="O63">
        <v>-20.096668000000001</v>
      </c>
      <c r="P63">
        <v>44.250151000000002</v>
      </c>
      <c r="Q63">
        <v>-6.3679921999999998</v>
      </c>
      <c r="R63">
        <v>15.329302</v>
      </c>
      <c r="S63">
        <v>19.975971999999999</v>
      </c>
      <c r="T63">
        <v>-10.416193</v>
      </c>
      <c r="U63">
        <v>-96.429287499999901</v>
      </c>
      <c r="V63">
        <v>88.293124999999947</v>
      </c>
      <c r="W63">
        <v>187.24924999999999</v>
      </c>
      <c r="X63">
        <v>20.522374999999979</v>
      </c>
      <c r="Y63">
        <v>-187.55206250000001</v>
      </c>
      <c r="Z63">
        <v>185.7509</v>
      </c>
      <c r="AA63">
        <v>-718.10042500000009</v>
      </c>
      <c r="AB63">
        <v>-335.20535000000001</v>
      </c>
      <c r="AC63">
        <v>-112.4989999999998</v>
      </c>
      <c r="AD63">
        <v>-485.67875000000021</v>
      </c>
      <c r="AE63">
        <v>160.0259125</v>
      </c>
      <c r="AF63">
        <v>-318.87087500000001</v>
      </c>
      <c r="AG63">
        <v>-771.41324999999983</v>
      </c>
      <c r="AH63">
        <v>192.11014999999989</v>
      </c>
      <c r="AI63">
        <v>-3.9245418999999999</v>
      </c>
      <c r="AJ63">
        <v>-2.3482736000000002</v>
      </c>
      <c r="AK63">
        <v>0.50905762999999993</v>
      </c>
      <c r="AL63">
        <v>-34.244129999999998</v>
      </c>
      <c r="AM63">
        <v>4.9483813999999997</v>
      </c>
      <c r="AN63">
        <v>0.37410216000000007</v>
      </c>
      <c r="AO63">
        <v>0.32923545999999998</v>
      </c>
      <c r="AP63">
        <v>36.074719999999999</v>
      </c>
      <c r="AQ63">
        <v>3.1718926000000001</v>
      </c>
      <c r="AR63">
        <v>0.20422662999999999</v>
      </c>
      <c r="AS63">
        <v>0.26523802000000002</v>
      </c>
      <c r="AT63">
        <v>38.861047999999997</v>
      </c>
    </row>
    <row r="64" spans="1:46" x14ac:dyDescent="0.25">
      <c r="A64">
        <v>62</v>
      </c>
      <c r="B64">
        <v>9.3141999999999978</v>
      </c>
      <c r="C64">
        <v>0.53639807692307695</v>
      </c>
      <c r="D64">
        <v>0.64755246505827213</v>
      </c>
      <c r="E64">
        <v>-9.0808175239926237E-2</v>
      </c>
      <c r="F64">
        <v>2.8161031649992929</v>
      </c>
      <c r="G64">
        <v>8.1865052000000009</v>
      </c>
      <c r="H64">
        <v>-10.717368</v>
      </c>
      <c r="I64">
        <v>-3.8526880000000001</v>
      </c>
      <c r="J64">
        <v>13.987472</v>
      </c>
      <c r="K64">
        <v>2.4466320000000001</v>
      </c>
      <c r="L64">
        <v>-8.591243200000001</v>
      </c>
      <c r="M64">
        <v>7.5871578</v>
      </c>
      <c r="N64">
        <v>-4.6281700000000008</v>
      </c>
      <c r="O64">
        <v>-20.232156</v>
      </c>
      <c r="P64">
        <v>43.704341999999997</v>
      </c>
      <c r="Q64">
        <v>-6.1952623999999998</v>
      </c>
      <c r="R64">
        <v>14.982984</v>
      </c>
      <c r="S64">
        <v>19.128824000000002</v>
      </c>
      <c r="T64">
        <v>-10.192805999999999</v>
      </c>
      <c r="U64">
        <v>-102.8988249999999</v>
      </c>
      <c r="V64">
        <v>90.486249999999913</v>
      </c>
      <c r="W64">
        <v>197.09475</v>
      </c>
      <c r="X64">
        <v>24.477250000000051</v>
      </c>
      <c r="Y64">
        <v>-191.78787500000001</v>
      </c>
      <c r="Z64">
        <v>194.30155000000011</v>
      </c>
      <c r="AA64">
        <v>-721.68410000000006</v>
      </c>
      <c r="AB64">
        <v>-335.02845000000002</v>
      </c>
      <c r="AC64">
        <v>-106.9454999999999</v>
      </c>
      <c r="AD64">
        <v>-510.2200000000002</v>
      </c>
      <c r="AE64">
        <v>180.91207499999999</v>
      </c>
      <c r="AF64">
        <v>-350.20175000000012</v>
      </c>
      <c r="AG64">
        <v>-826.41899999999976</v>
      </c>
      <c r="AH64">
        <v>193.75879999999989</v>
      </c>
      <c r="AI64">
        <v>-4.0363398000000004</v>
      </c>
      <c r="AJ64">
        <v>-2.4249611999999998</v>
      </c>
      <c r="AK64">
        <v>0.52788645999999995</v>
      </c>
      <c r="AL64">
        <v>-35.08426</v>
      </c>
      <c r="AM64">
        <v>4.8628487999999992</v>
      </c>
      <c r="AN64">
        <v>0.30501371999999999</v>
      </c>
      <c r="AO64">
        <v>0.32753431999999988</v>
      </c>
      <c r="AP64">
        <v>37.08914</v>
      </c>
      <c r="AQ64">
        <v>3.0534392000000001</v>
      </c>
      <c r="AR64">
        <v>0.20205946</v>
      </c>
      <c r="AS64">
        <v>0.26261583999999999</v>
      </c>
      <c r="AT64">
        <v>39.571316000000003</v>
      </c>
    </row>
    <row r="65" spans="1:46" x14ac:dyDescent="0.25">
      <c r="A65">
        <v>63</v>
      </c>
      <c r="B65">
        <v>9.325462500000004</v>
      </c>
      <c r="C65">
        <v>0.53671983516483512</v>
      </c>
      <c r="D65">
        <v>0.6550027788315147</v>
      </c>
      <c r="E65">
        <v>-8.6513913115234986E-2</v>
      </c>
      <c r="F65">
        <v>2.738803041526956</v>
      </c>
      <c r="G65">
        <v>8.0553450000000009</v>
      </c>
      <c r="H65">
        <v>-10.608691</v>
      </c>
      <c r="I65">
        <v>-3.606096700000001</v>
      </c>
      <c r="J65">
        <v>14.024331999999999</v>
      </c>
      <c r="K65">
        <v>2.217514200000001</v>
      </c>
      <c r="L65">
        <v>-8.3525681000000009</v>
      </c>
      <c r="M65">
        <v>6.7458838000000032</v>
      </c>
      <c r="N65">
        <v>-5.012305099999999</v>
      </c>
      <c r="O65">
        <v>-20.345531000000001</v>
      </c>
      <c r="P65">
        <v>43.069136</v>
      </c>
      <c r="Q65">
        <v>-5.9502860000000011</v>
      </c>
      <c r="R65">
        <v>14.520431</v>
      </c>
      <c r="S65">
        <v>18.065864999999999</v>
      </c>
      <c r="T65">
        <v>-9.9666164000000013</v>
      </c>
      <c r="U65">
        <v>-109.3467624999999</v>
      </c>
      <c r="V65">
        <v>92.413762499999933</v>
      </c>
      <c r="W65">
        <v>206.90683749999999</v>
      </c>
      <c r="X65">
        <v>29.75512500000006</v>
      </c>
      <c r="Y65">
        <v>-194.78894374999999</v>
      </c>
      <c r="Z65">
        <v>200.457975</v>
      </c>
      <c r="AA65">
        <v>-722.4358125</v>
      </c>
      <c r="AB65">
        <v>-330.43941249999989</v>
      </c>
      <c r="AC65">
        <v>-100.93300000000001</v>
      </c>
      <c r="AD65">
        <v>-533.18512500000008</v>
      </c>
      <c r="AE65">
        <v>197.91023749999991</v>
      </c>
      <c r="AF65">
        <v>-379.75062500000001</v>
      </c>
      <c r="AG65">
        <v>-886.17337499999962</v>
      </c>
      <c r="AH65">
        <v>194.0216749999999</v>
      </c>
      <c r="AI65">
        <v>-4.0972588999999999</v>
      </c>
      <c r="AJ65">
        <v>-2.4631036000000002</v>
      </c>
      <c r="AK65">
        <v>0.53592041999999984</v>
      </c>
      <c r="AL65">
        <v>-35.416978999999998</v>
      </c>
      <c r="AM65">
        <v>4.7290348</v>
      </c>
      <c r="AN65">
        <v>0.2372293260000003</v>
      </c>
      <c r="AO65">
        <v>0.32057034000000001</v>
      </c>
      <c r="AP65">
        <v>37.275713000000003</v>
      </c>
      <c r="AQ65">
        <v>2.9218286999999998</v>
      </c>
      <c r="AR65">
        <v>0.19858981000000001</v>
      </c>
      <c r="AS65">
        <v>0.26007114999999997</v>
      </c>
      <c r="AT65">
        <v>39.459784999999997</v>
      </c>
    </row>
    <row r="66" spans="1:46" x14ac:dyDescent="0.25">
      <c r="A66">
        <v>64</v>
      </c>
      <c r="B66">
        <v>9.3367000000000093</v>
      </c>
      <c r="C66">
        <v>0.53704329670329676</v>
      </c>
      <c r="D66">
        <v>0.66193082230264311</v>
      </c>
      <c r="E66">
        <v>-8.2534718686294237E-2</v>
      </c>
      <c r="F66">
        <v>2.6495997032050389</v>
      </c>
      <c r="G66">
        <v>7.9223800000000004</v>
      </c>
      <c r="H66">
        <v>-10.499447999999999</v>
      </c>
      <c r="I66">
        <v>-3.3567575999999999</v>
      </c>
      <c r="J66">
        <v>14.062495999999999</v>
      </c>
      <c r="K66">
        <v>1.9873875999999999</v>
      </c>
      <c r="L66">
        <v>-8.111876800000001</v>
      </c>
      <c r="M66">
        <v>5.9039963999999996</v>
      </c>
      <c r="N66">
        <v>-5.3957227999999997</v>
      </c>
      <c r="O66">
        <v>-20.457267999999999</v>
      </c>
      <c r="P66">
        <v>42.427307999999996</v>
      </c>
      <c r="Q66">
        <v>-5.6999579999999996</v>
      </c>
      <c r="R66">
        <v>14.049268</v>
      </c>
      <c r="S66">
        <v>16.986920000000001</v>
      </c>
      <c r="T66">
        <v>-9.7402192000000003</v>
      </c>
      <c r="U66">
        <v>-115.7931</v>
      </c>
      <c r="V66">
        <v>94.321599999999961</v>
      </c>
      <c r="W66">
        <v>216.71645000000001</v>
      </c>
      <c r="X66">
        <v>35.1310000000001</v>
      </c>
      <c r="Y66">
        <v>-197.69855000000001</v>
      </c>
      <c r="Z66">
        <v>206.43705000000011</v>
      </c>
      <c r="AA66">
        <v>-722.97775000000001</v>
      </c>
      <c r="AB66">
        <v>-325.52354999999989</v>
      </c>
      <c r="AC66">
        <v>-94.886499999999998</v>
      </c>
      <c r="AD66">
        <v>-556.03350000000012</v>
      </c>
      <c r="AE66">
        <v>214.62039999999999</v>
      </c>
      <c r="AF66">
        <v>-409.16750000000002</v>
      </c>
      <c r="AG66">
        <v>-946.27949999999987</v>
      </c>
      <c r="AH66">
        <v>194.18190000000001</v>
      </c>
      <c r="AI66">
        <v>-4.1544091999999999</v>
      </c>
      <c r="AJ66">
        <v>-2.4983908000000001</v>
      </c>
      <c r="AK66">
        <v>0.54315475999999996</v>
      </c>
      <c r="AL66">
        <v>-35.712111999999998</v>
      </c>
      <c r="AM66">
        <v>4.5916443999999998</v>
      </c>
      <c r="AN66">
        <v>0.169541528</v>
      </c>
      <c r="AO66">
        <v>0.31321652</v>
      </c>
      <c r="AP66">
        <v>37.400964000000002</v>
      </c>
      <c r="AQ66">
        <v>2.7892435999999998</v>
      </c>
      <c r="AR66">
        <v>0.19502368</v>
      </c>
      <c r="AS66">
        <v>0.25753219999999999</v>
      </c>
      <c r="AT66">
        <v>39.287379999999999</v>
      </c>
    </row>
    <row r="67" spans="1:46" x14ac:dyDescent="0.25">
      <c r="A67">
        <v>65</v>
      </c>
      <c r="B67">
        <v>9.3479375000000164</v>
      </c>
      <c r="C67">
        <v>0.53736675824175828</v>
      </c>
      <c r="D67">
        <v>0.66782900187580085</v>
      </c>
      <c r="E67">
        <v>-7.5693299687967286E-2</v>
      </c>
      <c r="F67">
        <v>2.5621453873877029</v>
      </c>
      <c r="G67">
        <v>7.7894150000000009</v>
      </c>
      <c r="H67">
        <v>-10.390205</v>
      </c>
      <c r="I67">
        <v>-3.107418500000001</v>
      </c>
      <c r="J67">
        <v>14.10066</v>
      </c>
      <c r="K67">
        <v>1.7572610000000011</v>
      </c>
      <c r="L67">
        <v>-7.8711855000000011</v>
      </c>
      <c r="M67">
        <v>5.0621090000000031</v>
      </c>
      <c r="N67">
        <v>-5.7791404999999987</v>
      </c>
      <c r="O67">
        <v>-20.569005000000001</v>
      </c>
      <c r="P67">
        <v>41.78548</v>
      </c>
      <c r="Q67">
        <v>-5.4496300000000009</v>
      </c>
      <c r="R67">
        <v>13.578105000000001</v>
      </c>
      <c r="S67">
        <v>15.907975</v>
      </c>
      <c r="T67">
        <v>-9.5138220000000011</v>
      </c>
      <c r="U67">
        <v>-122.23943749999999</v>
      </c>
      <c r="V67">
        <v>96.229437499999989</v>
      </c>
      <c r="W67">
        <v>226.52606249999991</v>
      </c>
      <c r="X67">
        <v>40.506875000000107</v>
      </c>
      <c r="Y67">
        <v>-200.60815625000001</v>
      </c>
      <c r="Z67">
        <v>212.41612499999999</v>
      </c>
      <c r="AA67">
        <v>-723.51968749999992</v>
      </c>
      <c r="AB67">
        <v>-320.60768749999988</v>
      </c>
      <c r="AC67">
        <v>-88.840000000000074</v>
      </c>
      <c r="AD67">
        <v>-578.88187500000004</v>
      </c>
      <c r="AE67">
        <v>231.3305624999999</v>
      </c>
      <c r="AF67">
        <v>-438.58437499999991</v>
      </c>
      <c r="AG67">
        <v>-1006.385625</v>
      </c>
      <c r="AH67">
        <v>194.34212500000001</v>
      </c>
      <c r="AI67">
        <v>-4.2115594999999999</v>
      </c>
      <c r="AJ67">
        <v>-2.5336780000000001</v>
      </c>
      <c r="AK67">
        <v>0.55038909999999985</v>
      </c>
      <c r="AL67">
        <v>-36.007244999999998</v>
      </c>
      <c r="AM67">
        <v>4.4542540000000006</v>
      </c>
      <c r="AN67">
        <v>0.1018537300000002</v>
      </c>
      <c r="AO67">
        <v>0.30586269999999999</v>
      </c>
      <c r="AP67">
        <v>37.526215000000001</v>
      </c>
      <c r="AQ67">
        <v>2.6566584999999998</v>
      </c>
      <c r="AR67">
        <v>0.19145755</v>
      </c>
      <c r="AS67">
        <v>0.25499325</v>
      </c>
      <c r="AT67">
        <v>39.114975000000001</v>
      </c>
    </row>
    <row r="68" spans="1:46" x14ac:dyDescent="0.25">
      <c r="A68">
        <v>66</v>
      </c>
      <c r="B68">
        <v>9.3593500000000152</v>
      </c>
      <c r="C68">
        <v>0.537698989010989</v>
      </c>
      <c r="D68">
        <v>0.70282706401491823</v>
      </c>
      <c r="E68">
        <v>-7.4469244402788987E-2</v>
      </c>
      <c r="F68">
        <v>2.473083480304477</v>
      </c>
      <c r="G68">
        <v>7.6441873999999999</v>
      </c>
      <c r="H68">
        <v>-10.2775558</v>
      </c>
      <c r="I68">
        <v>-2.839428599999998</v>
      </c>
      <c r="J68">
        <v>14.150458</v>
      </c>
      <c r="K68">
        <v>1.522958899999999</v>
      </c>
      <c r="L68">
        <v>-7.6215159999999988</v>
      </c>
      <c r="M68">
        <v>4.2224223999999957</v>
      </c>
      <c r="N68">
        <v>-6.1485946000000018</v>
      </c>
      <c r="O68">
        <v>-20.668856000000002</v>
      </c>
      <c r="P68">
        <v>41.101764000000003</v>
      </c>
      <c r="Q68">
        <v>-5.1722273999999988</v>
      </c>
      <c r="R68">
        <v>13.053602</v>
      </c>
      <c r="S68">
        <v>14.708797999999989</v>
      </c>
      <c r="T68">
        <v>-9.2882591999999988</v>
      </c>
      <c r="U68">
        <v>-128.5102500000001</v>
      </c>
      <c r="V68">
        <v>97.988175000000012</v>
      </c>
      <c r="W68">
        <v>236.0597525</v>
      </c>
      <c r="X68">
        <v>46.413000000000167</v>
      </c>
      <c r="Y68">
        <v>-202.7395865</v>
      </c>
      <c r="Z68">
        <v>217.11542499999999</v>
      </c>
      <c r="AA68">
        <v>-722.29867499999989</v>
      </c>
      <c r="AB68">
        <v>-313.60914999999989</v>
      </c>
      <c r="AC68">
        <v>-82.805750000000046</v>
      </c>
      <c r="AD68">
        <v>-600.2287500000001</v>
      </c>
      <c r="AE68">
        <v>244.99327500000001</v>
      </c>
      <c r="AF68">
        <v>-465.54582500000009</v>
      </c>
      <c r="AG68">
        <v>-1067.607025</v>
      </c>
      <c r="AH68">
        <v>194.09145000000009</v>
      </c>
      <c r="AI68">
        <v>-4.241981</v>
      </c>
      <c r="AJ68">
        <v>-2.5439289999999999</v>
      </c>
      <c r="AK68">
        <v>0.55003137999999985</v>
      </c>
      <c r="AL68">
        <v>-36.043798000000002</v>
      </c>
      <c r="AM68">
        <v>4.293003399999999</v>
      </c>
      <c r="AN68">
        <v>4.0403267999999708E-2</v>
      </c>
      <c r="AO68">
        <v>0.29562263999999988</v>
      </c>
      <c r="AP68">
        <v>37.173897999999987</v>
      </c>
      <c r="AQ68">
        <v>2.5172609999999991</v>
      </c>
      <c r="AR68">
        <v>0.18600884000000001</v>
      </c>
      <c r="AS68">
        <v>0.25225592000000002</v>
      </c>
      <c r="AT68">
        <v>38.481759999999987</v>
      </c>
    </row>
    <row r="69" spans="1:46" x14ac:dyDescent="0.25">
      <c r="A69">
        <v>67</v>
      </c>
      <c r="B69">
        <v>9.3709500000000041</v>
      </c>
      <c r="C69">
        <v>0.53804061538461534</v>
      </c>
      <c r="D69">
        <v>0.67154798642429669</v>
      </c>
      <c r="E69">
        <v>-6.7313347097389647E-2</v>
      </c>
      <c r="F69">
        <v>2.4076110754008622</v>
      </c>
      <c r="G69">
        <v>7.4858212999999996</v>
      </c>
      <c r="H69">
        <v>-10.1612571</v>
      </c>
      <c r="I69">
        <v>-2.5514557000000009</v>
      </c>
      <c r="J69">
        <v>14.212721</v>
      </c>
      <c r="K69">
        <v>1.2841830500000011</v>
      </c>
      <c r="L69">
        <v>-7.3622270000000007</v>
      </c>
      <c r="M69">
        <v>3.3850938000000022</v>
      </c>
      <c r="N69">
        <v>-6.5030876999999991</v>
      </c>
      <c r="O69">
        <v>-20.755972</v>
      </c>
      <c r="P69">
        <v>40.373168</v>
      </c>
      <c r="Q69">
        <v>-4.8658163000000014</v>
      </c>
      <c r="R69">
        <v>12.471949</v>
      </c>
      <c r="S69">
        <v>13.380801</v>
      </c>
      <c r="T69">
        <v>-9.0635904000000007</v>
      </c>
      <c r="U69">
        <v>-134.59299999999999</v>
      </c>
      <c r="V69">
        <v>99.587162499999991</v>
      </c>
      <c r="W69">
        <v>245.29781125</v>
      </c>
      <c r="X69">
        <v>52.887250000000087</v>
      </c>
      <c r="Y69">
        <v>-204.03725675000001</v>
      </c>
      <c r="Z69">
        <v>220.44353749999999</v>
      </c>
      <c r="AA69">
        <v>-719.18878749999999</v>
      </c>
      <c r="AB69">
        <v>-304.37917499999998</v>
      </c>
      <c r="AC69">
        <v>-76.784625000000091</v>
      </c>
      <c r="AD69">
        <v>-619.96687499999996</v>
      </c>
      <c r="AE69">
        <v>255.39086249999991</v>
      </c>
      <c r="AF69">
        <v>-489.87646249999989</v>
      </c>
      <c r="AG69">
        <v>-1130.0233625000001</v>
      </c>
      <c r="AH69">
        <v>193.40052499999999</v>
      </c>
      <c r="AI69">
        <v>-4.2437645000000002</v>
      </c>
      <c r="AJ69">
        <v>-2.5273555000000001</v>
      </c>
      <c r="AK69">
        <v>0.54153931</v>
      </c>
      <c r="AL69">
        <v>-35.803300999999998</v>
      </c>
      <c r="AM69">
        <v>4.1061883000000003</v>
      </c>
      <c r="AN69">
        <v>-1.436433399999985E-2</v>
      </c>
      <c r="AO69">
        <v>0.28229018000000011</v>
      </c>
      <c r="AP69">
        <v>36.309901000000004</v>
      </c>
      <c r="AQ69">
        <v>2.3705645</v>
      </c>
      <c r="AR69">
        <v>0.17854307999999999</v>
      </c>
      <c r="AS69">
        <v>0.24930604000000001</v>
      </c>
      <c r="AT69">
        <v>37.354819999999997</v>
      </c>
    </row>
    <row r="70" spans="1:46" x14ac:dyDescent="0.25">
      <c r="A70">
        <v>68</v>
      </c>
      <c r="B70">
        <v>9.3825499999999931</v>
      </c>
      <c r="C70">
        <v>0.53838224175824179</v>
      </c>
      <c r="D70">
        <v>0.70566463403821966</v>
      </c>
      <c r="E70">
        <v>-6.8711085248181966E-2</v>
      </c>
      <c r="F70">
        <v>2.3018151277857011</v>
      </c>
      <c r="G70">
        <v>7.3274552000000019</v>
      </c>
      <c r="H70">
        <v>-10.044958400000001</v>
      </c>
      <c r="I70">
        <v>-2.2634828000000029</v>
      </c>
      <c r="J70">
        <v>14.274984</v>
      </c>
      <c r="K70">
        <v>1.0454072000000021</v>
      </c>
      <c r="L70">
        <v>-7.1029380000000026</v>
      </c>
      <c r="M70">
        <v>2.5477652000000082</v>
      </c>
      <c r="N70">
        <v>-6.8575807999999956</v>
      </c>
      <c r="O70">
        <v>-20.843088000000002</v>
      </c>
      <c r="P70">
        <v>39.644571999999997</v>
      </c>
      <c r="Q70">
        <v>-4.5594052000000032</v>
      </c>
      <c r="R70">
        <v>11.89029600000001</v>
      </c>
      <c r="S70">
        <v>12.052804000000011</v>
      </c>
      <c r="T70">
        <v>-8.8389216000000026</v>
      </c>
      <c r="U70">
        <v>-140.67574999999999</v>
      </c>
      <c r="V70">
        <v>101.18615</v>
      </c>
      <c r="W70">
        <v>254.5358699999999</v>
      </c>
      <c r="X70">
        <v>59.361500000000021</v>
      </c>
      <c r="Y70">
        <v>-205.33492699999999</v>
      </c>
      <c r="Z70">
        <v>223.77164999999999</v>
      </c>
      <c r="AA70">
        <v>-716.07889999999998</v>
      </c>
      <c r="AB70">
        <v>-295.14920000000012</v>
      </c>
      <c r="AC70">
        <v>-70.763500000000121</v>
      </c>
      <c r="AD70">
        <v>-639.7049999999997</v>
      </c>
      <c r="AE70">
        <v>265.7884499999999</v>
      </c>
      <c r="AF70">
        <v>-514.20709999999985</v>
      </c>
      <c r="AG70">
        <v>-1192.439699999999</v>
      </c>
      <c r="AH70">
        <v>192.70959999999999</v>
      </c>
      <c r="AI70">
        <v>-4.2455480000000003</v>
      </c>
      <c r="AJ70">
        <v>-2.5107819999999998</v>
      </c>
      <c r="AK70">
        <v>0.53304724000000003</v>
      </c>
      <c r="AL70">
        <v>-35.562804</v>
      </c>
      <c r="AM70">
        <v>3.9193732000000021</v>
      </c>
      <c r="AN70">
        <v>-6.9131935999999436E-2</v>
      </c>
      <c r="AO70">
        <v>0.26895772000000018</v>
      </c>
      <c r="AP70">
        <v>35.445904000000013</v>
      </c>
      <c r="AQ70">
        <v>2.2238680000000008</v>
      </c>
      <c r="AR70">
        <v>0.17107732000000009</v>
      </c>
      <c r="AS70">
        <v>0.24635615999999999</v>
      </c>
      <c r="AT70">
        <v>36.227880000000013</v>
      </c>
    </row>
    <row r="71" spans="1:46" x14ac:dyDescent="0.25">
      <c r="A71">
        <v>69</v>
      </c>
      <c r="B71">
        <v>9.3941374999999834</v>
      </c>
      <c r="C71">
        <v>0.53872428571428577</v>
      </c>
      <c r="D71">
        <v>0.71500535108543017</v>
      </c>
      <c r="E71">
        <v>-6.332158523112244E-2</v>
      </c>
      <c r="F71">
        <v>2.2003368500754208</v>
      </c>
      <c r="G71">
        <v>7.1682870000000003</v>
      </c>
      <c r="H71">
        <v>-9.9284619000000003</v>
      </c>
      <c r="I71">
        <v>-1.9742936700000011</v>
      </c>
      <c r="J71">
        <v>14.338202000000001</v>
      </c>
      <c r="K71">
        <v>0.80657162200000077</v>
      </c>
      <c r="L71">
        <v>-6.843372200000001</v>
      </c>
      <c r="M71">
        <v>1.711137300000003</v>
      </c>
      <c r="N71">
        <v>-7.2105250999999981</v>
      </c>
      <c r="O71">
        <v>-20.929392</v>
      </c>
      <c r="P71">
        <v>38.913522999999998</v>
      </c>
      <c r="Q71">
        <v>-4.2520597000000011</v>
      </c>
      <c r="R71">
        <v>11.305741100000001</v>
      </c>
      <c r="S71">
        <v>10.716176700000011</v>
      </c>
      <c r="T71">
        <v>-8.6143838000000006</v>
      </c>
      <c r="U71">
        <v>-146.73432500000001</v>
      </c>
      <c r="V71">
        <v>102.773775</v>
      </c>
      <c r="W71">
        <v>263.73603750000001</v>
      </c>
      <c r="X71">
        <v>65.856875000000045</v>
      </c>
      <c r="Y71">
        <v>-206.57143149999999</v>
      </c>
      <c r="Z71">
        <v>227.01197500000001</v>
      </c>
      <c r="AA71">
        <v>-712.82698749999997</v>
      </c>
      <c r="AB71">
        <v>-285.79870000000011</v>
      </c>
      <c r="AC71">
        <v>-64.756875000000079</v>
      </c>
      <c r="AD71">
        <v>-659.27487499999984</v>
      </c>
      <c r="AE71">
        <v>275.91997500000002</v>
      </c>
      <c r="AF71">
        <v>-538.26877500000012</v>
      </c>
      <c r="AG71">
        <v>-1254.74452875</v>
      </c>
      <c r="AH71">
        <v>192.01237499999999</v>
      </c>
      <c r="AI71">
        <v>-4.2453267000000006</v>
      </c>
      <c r="AJ71">
        <v>-2.4933838000000002</v>
      </c>
      <c r="AK71">
        <v>0.52431348</v>
      </c>
      <c r="AL71">
        <v>-35.303832</v>
      </c>
      <c r="AM71">
        <v>3.7309173000000011</v>
      </c>
      <c r="AN71">
        <v>-0.12370822999999979</v>
      </c>
      <c r="AO71">
        <v>0.25544159999999999</v>
      </c>
      <c r="AP71">
        <v>34.548313000000007</v>
      </c>
      <c r="AQ71">
        <v>2.0768400000000011</v>
      </c>
      <c r="AR71">
        <v>0.16347072000000001</v>
      </c>
      <c r="AS71">
        <v>0.24328511</v>
      </c>
      <c r="AT71">
        <v>35.071104000000012</v>
      </c>
    </row>
    <row r="72" spans="1:46" x14ac:dyDescent="0.25">
      <c r="A72">
        <v>70</v>
      </c>
      <c r="B72">
        <v>9.4053749999999887</v>
      </c>
      <c r="C72">
        <v>0.53907802197802202</v>
      </c>
      <c r="D72">
        <v>0.7309080351024374</v>
      </c>
      <c r="E72">
        <v>-5.5478254208907909E-2</v>
      </c>
      <c r="F72">
        <v>2.0898227684732742</v>
      </c>
      <c r="G72">
        <v>6.9866600000000014</v>
      </c>
      <c r="H72">
        <v>-9.8064270000000011</v>
      </c>
      <c r="I72">
        <v>-1.651050100000002</v>
      </c>
      <c r="J72">
        <v>14.42816</v>
      </c>
      <c r="K72">
        <v>0.56606366000000174</v>
      </c>
      <c r="L72">
        <v>-6.5760560000000021</v>
      </c>
      <c r="M72">
        <v>0.89412900000000584</v>
      </c>
      <c r="N72">
        <v>-7.5201029999999971</v>
      </c>
      <c r="O72">
        <v>-20.99296</v>
      </c>
      <c r="P72">
        <v>38.113790000000002</v>
      </c>
      <c r="Q72">
        <v>-3.918551000000003</v>
      </c>
      <c r="R72">
        <v>10.639932999999999</v>
      </c>
      <c r="S72">
        <v>9.1379010000000118</v>
      </c>
      <c r="T72">
        <v>-8.3935140000000015</v>
      </c>
      <c r="U72">
        <v>-152.11600000000001</v>
      </c>
      <c r="V72">
        <v>104.04325</v>
      </c>
      <c r="W72">
        <v>271.87524999999988</v>
      </c>
      <c r="X72">
        <v>72.94374999999998</v>
      </c>
      <c r="Y72">
        <v>-206.09529499999999</v>
      </c>
      <c r="Z72">
        <v>227.79425000000001</v>
      </c>
      <c r="AA72">
        <v>-705.59837500000003</v>
      </c>
      <c r="AB72">
        <v>-273.07350000000008</v>
      </c>
      <c r="AC72">
        <v>-59.156250000000149</v>
      </c>
      <c r="AD72">
        <v>-674.13374999999985</v>
      </c>
      <c r="AE72">
        <v>278.60174999999998</v>
      </c>
      <c r="AF72">
        <v>-554.79949999999997</v>
      </c>
      <c r="AG72">
        <v>-1313.9271125</v>
      </c>
      <c r="AH72">
        <v>191.13874999999999</v>
      </c>
      <c r="AI72">
        <v>-4.1889710000000004</v>
      </c>
      <c r="AJ72">
        <v>-2.4528940000000001</v>
      </c>
      <c r="AK72">
        <v>0.50881240000000005</v>
      </c>
      <c r="AL72">
        <v>-34.527560000000001</v>
      </c>
      <c r="AM72">
        <v>3.496519000000001</v>
      </c>
      <c r="AN72">
        <v>-0.17292789999999961</v>
      </c>
      <c r="AO72">
        <v>0.2367830000000001</v>
      </c>
      <c r="AP72">
        <v>32.710090000000022</v>
      </c>
      <c r="AQ72">
        <v>1.920530000000001</v>
      </c>
      <c r="AR72">
        <v>0.1519206000000001</v>
      </c>
      <c r="AS72">
        <v>0.23682130000000001</v>
      </c>
      <c r="AT72">
        <v>33.078920000000018</v>
      </c>
    </row>
    <row r="73" spans="1:46" x14ac:dyDescent="0.25">
      <c r="A73">
        <v>71</v>
      </c>
      <c r="B73">
        <v>9.4166124999999941</v>
      </c>
      <c r="C73">
        <v>0.53943175824175826</v>
      </c>
      <c r="D73">
        <v>0.72377160270619845</v>
      </c>
      <c r="E73">
        <v>-4.962947219423141E-2</v>
      </c>
      <c r="F73">
        <v>1.9800405302706989</v>
      </c>
      <c r="G73">
        <v>6.8050329999999999</v>
      </c>
      <c r="H73">
        <v>-9.6843921000000002</v>
      </c>
      <c r="I73">
        <v>-1.327806529999999</v>
      </c>
      <c r="J73">
        <v>14.518117999999999</v>
      </c>
      <c r="K73">
        <v>0.32555569799999923</v>
      </c>
      <c r="L73">
        <v>-6.3087397999999997</v>
      </c>
      <c r="M73">
        <v>7.7120699999997155E-2</v>
      </c>
      <c r="N73">
        <v>-7.8296809000000014</v>
      </c>
      <c r="O73">
        <v>-21.056528</v>
      </c>
      <c r="P73">
        <v>37.314056999999998</v>
      </c>
      <c r="Q73">
        <v>-3.5850422999999991</v>
      </c>
      <c r="R73">
        <v>9.9741248999999979</v>
      </c>
      <c r="S73">
        <v>7.5596252999999942</v>
      </c>
      <c r="T73">
        <v>-8.1726441999999988</v>
      </c>
      <c r="U73">
        <v>-157.49767499999999</v>
      </c>
      <c r="V73">
        <v>105.3127249999999</v>
      </c>
      <c r="W73">
        <v>280.01446249999998</v>
      </c>
      <c r="X73">
        <v>80.030625000000029</v>
      </c>
      <c r="Y73">
        <v>-205.6191585</v>
      </c>
      <c r="Z73">
        <v>228.576525</v>
      </c>
      <c r="AA73">
        <v>-698.36976249999998</v>
      </c>
      <c r="AB73">
        <v>-260.34829999999988</v>
      </c>
      <c r="AC73">
        <v>-53.555625000000127</v>
      </c>
      <c r="AD73">
        <v>-688.99262499999998</v>
      </c>
      <c r="AE73">
        <v>281.283525</v>
      </c>
      <c r="AF73">
        <v>-571.33022500000004</v>
      </c>
      <c r="AG73">
        <v>-1373.1096962500001</v>
      </c>
      <c r="AH73">
        <v>190.26512500000001</v>
      </c>
      <c r="AI73">
        <v>-4.1326153000000003</v>
      </c>
      <c r="AJ73">
        <v>-2.4124042000000001</v>
      </c>
      <c r="AK73">
        <v>0.49331131999999989</v>
      </c>
      <c r="AL73">
        <v>-33.751288000000002</v>
      </c>
      <c r="AM73">
        <v>3.2621206999999992</v>
      </c>
      <c r="AN73">
        <v>-0.22214757000000021</v>
      </c>
      <c r="AO73">
        <v>0.21812439999999991</v>
      </c>
      <c r="AP73">
        <v>30.871866999999991</v>
      </c>
      <c r="AQ73">
        <v>1.764219999999999</v>
      </c>
      <c r="AR73">
        <v>0.14037047999999999</v>
      </c>
      <c r="AS73">
        <v>0.23035749</v>
      </c>
      <c r="AT73">
        <v>31.086735999999991</v>
      </c>
    </row>
    <row r="74" spans="1:46" x14ac:dyDescent="0.25">
      <c r="A74">
        <v>72</v>
      </c>
      <c r="B74">
        <v>9.4278500000000012</v>
      </c>
      <c r="C74">
        <v>0.53978549450549451</v>
      </c>
      <c r="D74">
        <v>0.70528421729267099</v>
      </c>
      <c r="E74">
        <v>-4.5366785001683833E-2</v>
      </c>
      <c r="F74">
        <v>1.8581110041735951</v>
      </c>
      <c r="G74">
        <v>6.6234060000000001</v>
      </c>
      <c r="H74">
        <v>-9.562357200000001</v>
      </c>
      <c r="I74">
        <v>-1.0045629599999999</v>
      </c>
      <c r="J74">
        <v>14.608076000000001</v>
      </c>
      <c r="K74">
        <v>8.504773600000004E-2</v>
      </c>
      <c r="L74">
        <v>-6.0414235999999999</v>
      </c>
      <c r="M74">
        <v>-0.73988760000000009</v>
      </c>
      <c r="N74">
        <v>-8.1392588000000003</v>
      </c>
      <c r="O74">
        <v>-21.120096</v>
      </c>
      <c r="P74">
        <v>36.514324000000002</v>
      </c>
      <c r="Q74">
        <v>-3.2515336000000001</v>
      </c>
      <c r="R74">
        <v>9.3083168000000001</v>
      </c>
      <c r="S74">
        <v>5.9813495999999997</v>
      </c>
      <c r="T74">
        <v>-7.9517743999999997</v>
      </c>
      <c r="U74">
        <v>-162.87934999999999</v>
      </c>
      <c r="V74">
        <v>106.5821999999999</v>
      </c>
      <c r="W74">
        <v>288.15367500000002</v>
      </c>
      <c r="X74">
        <v>87.117499999999964</v>
      </c>
      <c r="Y74">
        <v>-205.143022</v>
      </c>
      <c r="Z74">
        <v>229.3588</v>
      </c>
      <c r="AA74">
        <v>-691.14114999999993</v>
      </c>
      <c r="AB74">
        <v>-247.62309999999999</v>
      </c>
      <c r="AC74">
        <v>-47.955000000000197</v>
      </c>
      <c r="AD74">
        <v>-703.85149999999999</v>
      </c>
      <c r="AE74">
        <v>283.96530000000001</v>
      </c>
      <c r="AF74">
        <v>-587.86095</v>
      </c>
      <c r="AG74">
        <v>-1432.2922799999999</v>
      </c>
      <c r="AH74">
        <v>189.39150000000001</v>
      </c>
      <c r="AI74">
        <v>-4.0762596000000002</v>
      </c>
      <c r="AJ74">
        <v>-2.3719144000000001</v>
      </c>
      <c r="AK74">
        <v>0.47781024000000011</v>
      </c>
      <c r="AL74">
        <v>-32.975015999999997</v>
      </c>
      <c r="AM74">
        <v>3.0277224</v>
      </c>
      <c r="AN74">
        <v>-0.27136724000000001</v>
      </c>
      <c r="AO74">
        <v>0.1994658</v>
      </c>
      <c r="AP74">
        <v>29.033643999999999</v>
      </c>
      <c r="AQ74">
        <v>1.60791</v>
      </c>
      <c r="AR74">
        <v>0.12882035999999999</v>
      </c>
      <c r="AS74">
        <v>0.22389368000000001</v>
      </c>
      <c r="AT74">
        <v>29.094552</v>
      </c>
    </row>
    <row r="75" spans="1:46" x14ac:dyDescent="0.25">
      <c r="A75">
        <v>73</v>
      </c>
      <c r="B75">
        <v>9.4384500000000031</v>
      </c>
      <c r="C75">
        <v>0.54014334065934066</v>
      </c>
      <c r="D75">
        <v>0.68398856885979953</v>
      </c>
      <c r="E75">
        <v>-4.1807758568077301E-2</v>
      </c>
      <c r="F75">
        <v>1.7653144562669949</v>
      </c>
      <c r="G75">
        <v>6.4301765000000008</v>
      </c>
      <c r="H75">
        <v>-9.4377315000000017</v>
      </c>
      <c r="I75">
        <v>-0.66382520000000123</v>
      </c>
      <c r="J75">
        <v>14.715033999999999</v>
      </c>
      <c r="K75">
        <v>-0.15221193399999919</v>
      </c>
      <c r="L75">
        <v>-5.7751444000000012</v>
      </c>
      <c r="M75">
        <v>-1.5349080999999971</v>
      </c>
      <c r="N75">
        <v>-8.4154894999999996</v>
      </c>
      <c r="O75">
        <v>-21.171202999999998</v>
      </c>
      <c r="P75">
        <v>35.686608999999997</v>
      </c>
      <c r="Q75">
        <v>-2.9213331000000009</v>
      </c>
      <c r="R75">
        <v>8.6143176000000015</v>
      </c>
      <c r="S75">
        <v>4.2722430900000061</v>
      </c>
      <c r="T75">
        <v>-7.7327746000000008</v>
      </c>
      <c r="U75">
        <v>-167.66390000000001</v>
      </c>
      <c r="V75">
        <v>107.65638749999989</v>
      </c>
      <c r="W75">
        <v>295.3673225</v>
      </c>
      <c r="X75">
        <v>94.227749999999929</v>
      </c>
      <c r="Y75">
        <v>-203.61977049999999</v>
      </c>
      <c r="Z75">
        <v>228.79956250000001</v>
      </c>
      <c r="AA75">
        <v>-681.37528750000001</v>
      </c>
      <c r="AB75">
        <v>-233.50815000000009</v>
      </c>
      <c r="AC75">
        <v>-42.732625000000212</v>
      </c>
      <c r="AD75">
        <v>-714.66862499999991</v>
      </c>
      <c r="AE75">
        <v>281.93238000000002</v>
      </c>
      <c r="AF75">
        <v>-598.68052499999999</v>
      </c>
      <c r="AG75">
        <v>-1484.67239875</v>
      </c>
      <c r="AH75">
        <v>188.79114999999999</v>
      </c>
      <c r="AI75">
        <v>-4.0060727000000007</v>
      </c>
      <c r="AJ75">
        <v>-2.3258724000000002</v>
      </c>
      <c r="AK75">
        <v>0.45916229000000008</v>
      </c>
      <c r="AL75">
        <v>-32.064239999999998</v>
      </c>
      <c r="AM75">
        <v>2.785609500000001</v>
      </c>
      <c r="AN75">
        <v>-0.31432376999999978</v>
      </c>
      <c r="AO75">
        <v>0.17868033000000011</v>
      </c>
      <c r="AP75">
        <v>26.894674000000009</v>
      </c>
      <c r="AQ75">
        <v>1.452552000000001</v>
      </c>
      <c r="AR75">
        <v>0.116268311</v>
      </c>
      <c r="AS75">
        <v>0.21290906000000001</v>
      </c>
      <c r="AT75">
        <v>26.782054000000009</v>
      </c>
    </row>
    <row r="76" spans="1:46" x14ac:dyDescent="0.25">
      <c r="A76">
        <v>74</v>
      </c>
      <c r="B76">
        <v>9.4486000000000026</v>
      </c>
      <c r="C76">
        <v>0.54050408791208793</v>
      </c>
      <c r="D76">
        <v>0.65717974624542475</v>
      </c>
      <c r="E76">
        <v>-3.5193140509876542E-2</v>
      </c>
      <c r="F76">
        <v>1.6463726481771761</v>
      </c>
      <c r="G76">
        <v>6.228756999999999</v>
      </c>
      <c r="H76">
        <v>-9.3112770000000005</v>
      </c>
      <c r="I76">
        <v>-0.31073859999999742</v>
      </c>
      <c r="J76">
        <v>14.833992</v>
      </c>
      <c r="K76">
        <v>-0.38717869200000171</v>
      </c>
      <c r="L76">
        <v>-5.5095971999999982</v>
      </c>
      <c r="M76">
        <v>-2.3144078000000059</v>
      </c>
      <c r="N76">
        <v>-8.6681810000000024</v>
      </c>
      <c r="O76">
        <v>-21.213514</v>
      </c>
      <c r="P76">
        <v>34.839142000000002</v>
      </c>
      <c r="Q76">
        <v>-2.5934677999999982</v>
      </c>
      <c r="R76">
        <v>7.9004187999999944</v>
      </c>
      <c r="S76">
        <v>2.470785419999987</v>
      </c>
      <c r="T76">
        <v>-7.5150947999999982</v>
      </c>
      <c r="U76">
        <v>-172.02695000000011</v>
      </c>
      <c r="V76">
        <v>108.592725</v>
      </c>
      <c r="W76">
        <v>301.92763000000008</v>
      </c>
      <c r="X76">
        <v>101.3545</v>
      </c>
      <c r="Y76">
        <v>-201.35737900000001</v>
      </c>
      <c r="Z76">
        <v>227.293375</v>
      </c>
      <c r="AA76">
        <v>-669.81842499999993</v>
      </c>
      <c r="AB76">
        <v>-218.4121999999999</v>
      </c>
      <c r="AC76">
        <v>-37.777250000000123</v>
      </c>
      <c r="AD76">
        <v>-722.63274999999999</v>
      </c>
      <c r="AE76">
        <v>276.57143999999988</v>
      </c>
      <c r="AF76">
        <v>-605.46870000000001</v>
      </c>
      <c r="AG76">
        <v>-1532.2507774999999</v>
      </c>
      <c r="AH76">
        <v>188.3837</v>
      </c>
      <c r="AI76">
        <v>-3.9261225999999998</v>
      </c>
      <c r="AJ76">
        <v>-2.275911199999999</v>
      </c>
      <c r="AK76">
        <v>0.43829301999999992</v>
      </c>
      <c r="AL76">
        <v>-31.058519999999991</v>
      </c>
      <c r="AM76">
        <v>2.5380509999999989</v>
      </c>
      <c r="AN76">
        <v>-0.35285926000000029</v>
      </c>
      <c r="AO76">
        <v>0.1563935399999998</v>
      </c>
      <c r="AP76">
        <v>24.543411999999979</v>
      </c>
      <c r="AQ76">
        <v>1.2978659999999991</v>
      </c>
      <c r="AR76">
        <v>0.1030090179999999</v>
      </c>
      <c r="AS76">
        <v>0.1987332799999999</v>
      </c>
      <c r="AT76">
        <v>24.24345199999998</v>
      </c>
    </row>
    <row r="77" spans="1:46" x14ac:dyDescent="0.25">
      <c r="A77">
        <v>75</v>
      </c>
      <c r="B77">
        <v>9.458750000000002</v>
      </c>
      <c r="C77">
        <v>0.54086483516483519</v>
      </c>
      <c r="D77">
        <v>0.6275212119689354</v>
      </c>
      <c r="E77">
        <v>-3.4682905977054007E-2</v>
      </c>
      <c r="F77">
        <v>1.5152230466881349</v>
      </c>
      <c r="G77">
        <v>6.0273374999999989</v>
      </c>
      <c r="H77">
        <v>-9.1848224999999992</v>
      </c>
      <c r="I77">
        <v>4.2348000000001378E-2</v>
      </c>
      <c r="J77">
        <v>14.95295</v>
      </c>
      <c r="K77">
        <v>-0.62214545000000077</v>
      </c>
      <c r="L77">
        <v>-5.2440499999999988</v>
      </c>
      <c r="M77">
        <v>-3.0939075000000029</v>
      </c>
      <c r="N77">
        <v>-8.9208725000000015</v>
      </c>
      <c r="O77">
        <v>-21.255825000000002</v>
      </c>
      <c r="P77">
        <v>33.991674999999987</v>
      </c>
      <c r="Q77">
        <v>-2.2656024999999991</v>
      </c>
      <c r="R77">
        <v>7.1865199999999971</v>
      </c>
      <c r="S77">
        <v>0.66932774999999367</v>
      </c>
      <c r="T77">
        <v>-7.2974149999999991</v>
      </c>
      <c r="U77">
        <v>-176.3900000000001</v>
      </c>
      <c r="V77">
        <v>109.52906249999999</v>
      </c>
      <c r="W77">
        <v>308.48793749999999</v>
      </c>
      <c r="X77">
        <v>108.48125</v>
      </c>
      <c r="Y77">
        <v>-199.0949875</v>
      </c>
      <c r="Z77">
        <v>225.78718749999999</v>
      </c>
      <c r="AA77">
        <v>-658.26156249999997</v>
      </c>
      <c r="AB77">
        <v>-203.31625</v>
      </c>
      <c r="AC77">
        <v>-32.821875000000091</v>
      </c>
      <c r="AD77">
        <v>-730.59687499999995</v>
      </c>
      <c r="AE77">
        <v>271.21049999999991</v>
      </c>
      <c r="AF77">
        <v>-612.25687500000004</v>
      </c>
      <c r="AG77">
        <v>-1579.8291562500001</v>
      </c>
      <c r="AH77">
        <v>187.97624999999999</v>
      </c>
      <c r="AI77">
        <v>-3.8461725000000002</v>
      </c>
      <c r="AJ77">
        <v>-2.2259500000000001</v>
      </c>
      <c r="AK77">
        <v>0.41742374999999993</v>
      </c>
      <c r="AL77">
        <v>-30.052800000000001</v>
      </c>
      <c r="AM77">
        <v>2.2904924999999992</v>
      </c>
      <c r="AN77">
        <v>-0.39139475000000012</v>
      </c>
      <c r="AO77">
        <v>0.13410674999999991</v>
      </c>
      <c r="AP77">
        <v>22.192149999999991</v>
      </c>
      <c r="AQ77">
        <v>1.143179999999999</v>
      </c>
      <c r="AR77">
        <v>8.9749724999999947E-2</v>
      </c>
      <c r="AS77">
        <v>0.1845574999999999</v>
      </c>
      <c r="AT77">
        <v>21.70484999999999</v>
      </c>
    </row>
    <row r="78" spans="1:46" x14ac:dyDescent="0.25">
      <c r="A78">
        <v>76</v>
      </c>
      <c r="B78">
        <v>9.4687000000000019</v>
      </c>
      <c r="C78">
        <v>0.54122595604395607</v>
      </c>
      <c r="D78">
        <v>0.59663369787922771</v>
      </c>
      <c r="E78">
        <v>-3.5805019355028708E-2</v>
      </c>
      <c r="F78">
        <v>1.394357975687317</v>
      </c>
      <c r="G78">
        <v>5.8238336000000004</v>
      </c>
      <c r="H78">
        <v>-9.0579444000000002</v>
      </c>
      <c r="I78">
        <v>0.39855727999999979</v>
      </c>
      <c r="J78">
        <v>15.075772000000001</v>
      </c>
      <c r="K78">
        <v>-0.85538007999999988</v>
      </c>
      <c r="L78">
        <v>-4.9799208000000004</v>
      </c>
      <c r="M78">
        <v>-3.8658283999999998</v>
      </c>
      <c r="N78">
        <v>-9.1647527999999987</v>
      </c>
      <c r="O78">
        <v>-21.2956</v>
      </c>
      <c r="P78">
        <v>33.142004</v>
      </c>
      <c r="Q78">
        <v>-1.94287432</v>
      </c>
      <c r="R78">
        <v>6.4717640000000003</v>
      </c>
      <c r="S78">
        <v>-1.153846479999999</v>
      </c>
      <c r="T78">
        <v>-7.0797447999999994</v>
      </c>
      <c r="U78">
        <v>-180.57385000000011</v>
      </c>
      <c r="V78">
        <v>110.419</v>
      </c>
      <c r="W78">
        <v>314.776475</v>
      </c>
      <c r="X78">
        <v>115.5335</v>
      </c>
      <c r="Y78">
        <v>-196.602799</v>
      </c>
      <c r="Z78">
        <v>224.0181</v>
      </c>
      <c r="AA78">
        <v>-646.12760000000003</v>
      </c>
      <c r="AB78">
        <v>-188.06735000000009</v>
      </c>
      <c r="AC78">
        <v>-27.966000000000069</v>
      </c>
      <c r="AD78">
        <v>-737.33799999999985</v>
      </c>
      <c r="AE78">
        <v>264.86266499999988</v>
      </c>
      <c r="AF78">
        <v>-617.56679999999994</v>
      </c>
      <c r="AG78">
        <v>-1624.4859349999999</v>
      </c>
      <c r="AH78">
        <v>187.7062</v>
      </c>
      <c r="AI78">
        <v>-3.7620779999999998</v>
      </c>
      <c r="AJ78">
        <v>-2.1791968000000002</v>
      </c>
      <c r="AK78">
        <v>0.39669231999999999</v>
      </c>
      <c r="AL78">
        <v>-29.012347999999999</v>
      </c>
      <c r="AM78">
        <v>2.0438356</v>
      </c>
      <c r="AN78">
        <v>-0.42963488</v>
      </c>
      <c r="AO78">
        <v>0.11155884000000001</v>
      </c>
      <c r="AP78">
        <v>19.827580000000001</v>
      </c>
      <c r="AQ78">
        <v>0.99211980000000011</v>
      </c>
      <c r="AR78">
        <v>7.7050400000000005E-2</v>
      </c>
      <c r="AS78">
        <v>0.16910216</v>
      </c>
      <c r="AT78">
        <v>19.185072000000002</v>
      </c>
    </row>
    <row r="79" spans="1:46" x14ac:dyDescent="0.25">
      <c r="A79">
        <v>77</v>
      </c>
      <c r="B79">
        <v>9.4774000000000012</v>
      </c>
      <c r="C79">
        <v>0.54158941208791211</v>
      </c>
      <c r="D79">
        <v>0.56272738544928813</v>
      </c>
      <c r="E79">
        <v>-3.2064038890676931E-2</v>
      </c>
      <c r="F79">
        <v>1.27647790756984</v>
      </c>
      <c r="G79">
        <v>5.6073021999999986</v>
      </c>
      <c r="H79">
        <v>-8.9284187999999993</v>
      </c>
      <c r="I79">
        <v>0.77428331000000228</v>
      </c>
      <c r="J79">
        <v>15.222744</v>
      </c>
      <c r="K79">
        <v>-1.0777889100000011</v>
      </c>
      <c r="L79">
        <v>-4.7246540999999986</v>
      </c>
      <c r="M79">
        <v>-4.5903818000000047</v>
      </c>
      <c r="N79">
        <v>-9.3535631000000006</v>
      </c>
      <c r="O79">
        <v>-21.319524999999999</v>
      </c>
      <c r="P79">
        <v>32.278557999999997</v>
      </c>
      <c r="Q79">
        <v>-1.652253139999998</v>
      </c>
      <c r="R79">
        <v>5.7516504999999958</v>
      </c>
      <c r="S79">
        <v>-3.112749210000012</v>
      </c>
      <c r="T79">
        <v>-6.8621345999999983</v>
      </c>
      <c r="U79">
        <v>-183.63770000000011</v>
      </c>
      <c r="V79">
        <v>111.01893750000001</v>
      </c>
      <c r="W79">
        <v>319.36644999999999</v>
      </c>
      <c r="X79">
        <v>122.120125</v>
      </c>
      <c r="Y79">
        <v>-192.67437924999999</v>
      </c>
      <c r="Z79">
        <v>220.60588749999999</v>
      </c>
      <c r="AA79">
        <v>-630.38676249999992</v>
      </c>
      <c r="AB79">
        <v>-171.86251250000001</v>
      </c>
      <c r="AC79">
        <v>-23.731999999999989</v>
      </c>
      <c r="AD79">
        <v>-736.43537499999991</v>
      </c>
      <c r="AE79">
        <v>252.34673624999991</v>
      </c>
      <c r="AF79">
        <v>-613.63766249999992</v>
      </c>
      <c r="AG79">
        <v>-1650.88271375</v>
      </c>
      <c r="AH79">
        <v>188.29490000000001</v>
      </c>
      <c r="AI79">
        <v>-3.652080999999999</v>
      </c>
      <c r="AJ79">
        <v>-2.1524936000000001</v>
      </c>
      <c r="AK79">
        <v>0.37682238999999979</v>
      </c>
      <c r="AL79">
        <v>-27.754820999999989</v>
      </c>
      <c r="AM79">
        <v>1.8028136999999991</v>
      </c>
      <c r="AN79">
        <v>-0.46602901000000019</v>
      </c>
      <c r="AO79">
        <v>8.7378929999999855E-2</v>
      </c>
      <c r="AP79">
        <v>17.379834999999989</v>
      </c>
      <c r="AQ79">
        <v>0.86372084999999921</v>
      </c>
      <c r="AR79">
        <v>6.7850874999999936E-2</v>
      </c>
      <c r="AS79">
        <v>0.14564956999999981</v>
      </c>
      <c r="AT79">
        <v>16.78294399999999</v>
      </c>
    </row>
    <row r="80" spans="1:46" x14ac:dyDescent="0.25">
      <c r="A80">
        <v>78</v>
      </c>
      <c r="B80">
        <v>9.4861000000000022</v>
      </c>
      <c r="C80">
        <v>0.54195286813186816</v>
      </c>
      <c r="D80">
        <v>0.49088646880734299</v>
      </c>
      <c r="E80">
        <v>-2.003435956214334E-2</v>
      </c>
      <c r="F80">
        <v>1.1475611924909881</v>
      </c>
      <c r="G80">
        <v>5.3907708000000003</v>
      </c>
      <c r="H80">
        <v>-8.7988932000000002</v>
      </c>
      <c r="I80">
        <v>1.1500093399999991</v>
      </c>
      <c r="J80">
        <v>15.369716</v>
      </c>
      <c r="K80">
        <v>-1.30019774</v>
      </c>
      <c r="L80">
        <v>-4.4693873999999996</v>
      </c>
      <c r="M80">
        <v>-5.314935199999999</v>
      </c>
      <c r="N80">
        <v>-9.5423733999999989</v>
      </c>
      <c r="O80">
        <v>-21.343450000000001</v>
      </c>
      <c r="P80">
        <v>31.415112000000001</v>
      </c>
      <c r="Q80">
        <v>-1.36163196</v>
      </c>
      <c r="R80">
        <v>5.031537000000001</v>
      </c>
      <c r="S80">
        <v>-5.0716519399999962</v>
      </c>
      <c r="T80">
        <v>-6.6445243999999999</v>
      </c>
      <c r="U80">
        <v>-186.70155000000011</v>
      </c>
      <c r="V80">
        <v>111.6188750000001</v>
      </c>
      <c r="W80">
        <v>323.95642500000002</v>
      </c>
      <c r="X80">
        <v>128.70674999999989</v>
      </c>
      <c r="Y80">
        <v>-188.7459595</v>
      </c>
      <c r="Z80">
        <v>217.19367500000001</v>
      </c>
      <c r="AA80">
        <v>-614.64592500000003</v>
      </c>
      <c r="AB80">
        <v>-155.6576750000001</v>
      </c>
      <c r="AC80">
        <v>-19.49799999999998</v>
      </c>
      <c r="AD80">
        <v>-735.53274999999996</v>
      </c>
      <c r="AE80">
        <v>239.83080749999999</v>
      </c>
      <c r="AF80">
        <v>-609.70852500000001</v>
      </c>
      <c r="AG80">
        <v>-1677.2794925000001</v>
      </c>
      <c r="AH80">
        <v>188.88359999999989</v>
      </c>
      <c r="AI80">
        <v>-3.542084</v>
      </c>
      <c r="AJ80">
        <v>-2.1257904000000001</v>
      </c>
      <c r="AK80">
        <v>0.35695246000000003</v>
      </c>
      <c r="AL80">
        <v>-26.497294</v>
      </c>
      <c r="AM80">
        <v>1.5617918</v>
      </c>
      <c r="AN80">
        <v>-0.50242313999999988</v>
      </c>
      <c r="AO80">
        <v>6.319902000000005E-2</v>
      </c>
      <c r="AP80">
        <v>14.932090000000001</v>
      </c>
      <c r="AQ80">
        <v>0.73532190000000019</v>
      </c>
      <c r="AR80">
        <v>5.8651350000000012E-2</v>
      </c>
      <c r="AS80">
        <v>0.12219698</v>
      </c>
      <c r="AT80">
        <v>14.380815999999999</v>
      </c>
    </row>
    <row r="81" spans="1:46" x14ac:dyDescent="0.25">
      <c r="A81">
        <v>79</v>
      </c>
      <c r="B81">
        <v>9.4948000000000015</v>
      </c>
      <c r="C81">
        <v>0.5423163241758242</v>
      </c>
      <c r="D81">
        <v>0.41898878289763669</v>
      </c>
      <c r="E81">
        <v>-1.8948689373976799E-2</v>
      </c>
      <c r="F81">
        <v>1.052579755577804</v>
      </c>
      <c r="G81">
        <v>5.1742394000000012</v>
      </c>
      <c r="H81">
        <v>-8.6693676000000011</v>
      </c>
      <c r="I81">
        <v>1.525735369999996</v>
      </c>
      <c r="J81">
        <v>15.516688</v>
      </c>
      <c r="K81">
        <v>-1.522606569999998</v>
      </c>
      <c r="L81">
        <v>-4.2141207000000023</v>
      </c>
      <c r="M81">
        <v>-6.0394885999999932</v>
      </c>
      <c r="N81">
        <v>-9.731183699999999</v>
      </c>
      <c r="O81">
        <v>-21.367374999999999</v>
      </c>
      <c r="P81">
        <v>30.551666000000012</v>
      </c>
      <c r="Q81">
        <v>-1.071010780000003</v>
      </c>
      <c r="R81">
        <v>4.3114235000000063</v>
      </c>
      <c r="S81">
        <v>-7.0305546699999812</v>
      </c>
      <c r="T81">
        <v>-6.4269142000000006</v>
      </c>
      <c r="U81">
        <v>-189.7654</v>
      </c>
      <c r="V81">
        <v>112.2188125000001</v>
      </c>
      <c r="W81">
        <v>328.54639999999989</v>
      </c>
      <c r="X81">
        <v>135.2933749999998</v>
      </c>
      <c r="Y81">
        <v>-184.81753975000001</v>
      </c>
      <c r="Z81">
        <v>213.78146250000009</v>
      </c>
      <c r="AA81">
        <v>-598.90508750000015</v>
      </c>
      <c r="AB81">
        <v>-139.45283750000019</v>
      </c>
      <c r="AC81">
        <v>-15.26399999999996</v>
      </c>
      <c r="AD81">
        <v>-734.63012500000002</v>
      </c>
      <c r="AE81">
        <v>227.3148787500001</v>
      </c>
      <c r="AF81">
        <v>-605.77938749999998</v>
      </c>
      <c r="AG81">
        <v>-1703.676271249999</v>
      </c>
      <c r="AH81">
        <v>189.4722999999999</v>
      </c>
      <c r="AI81">
        <v>-3.432087000000001</v>
      </c>
      <c r="AJ81">
        <v>-2.0990872</v>
      </c>
      <c r="AK81">
        <v>0.33708253000000021</v>
      </c>
      <c r="AL81">
        <v>-25.239767000000011</v>
      </c>
      <c r="AM81">
        <v>1.3207699000000019</v>
      </c>
      <c r="AN81">
        <v>-0.53881726999999957</v>
      </c>
      <c r="AO81">
        <v>3.9019110000000232E-2</v>
      </c>
      <c r="AP81">
        <v>12.484345000000021</v>
      </c>
      <c r="AQ81">
        <v>0.60692295000000129</v>
      </c>
      <c r="AR81">
        <v>4.9451825000000088E-2</v>
      </c>
      <c r="AS81">
        <v>9.8744390000000209E-2</v>
      </c>
      <c r="AT81">
        <v>11.97868800000002</v>
      </c>
    </row>
    <row r="82" spans="1:46" x14ac:dyDescent="0.25">
      <c r="A82">
        <v>80</v>
      </c>
      <c r="B82">
        <v>9.5022499999999983</v>
      </c>
      <c r="C82">
        <v>0.54267912087912085</v>
      </c>
      <c r="D82">
        <v>0.38484035122300803</v>
      </c>
      <c r="E82">
        <v>-1.4530490296386291E-2</v>
      </c>
      <c r="F82">
        <v>0.94079166382323198</v>
      </c>
      <c r="G82">
        <v>4.9512259999999992</v>
      </c>
      <c r="H82">
        <v>-8.5386500000000005</v>
      </c>
      <c r="I82">
        <v>1.9111720000000001</v>
      </c>
      <c r="J82">
        <v>15.680680000000001</v>
      </c>
      <c r="K82">
        <v>-1.732002</v>
      </c>
      <c r="L82">
        <v>-3.9705900000000001</v>
      </c>
      <c r="M82">
        <v>-6.71509</v>
      </c>
      <c r="N82">
        <v>-9.874644</v>
      </c>
      <c r="O82">
        <v>-21.38062</v>
      </c>
      <c r="P82">
        <v>29.704219999999999</v>
      </c>
      <c r="Q82">
        <v>-0.82375739999999997</v>
      </c>
      <c r="R82">
        <v>3.6172740000000001</v>
      </c>
      <c r="S82">
        <v>-9.0265120000000003</v>
      </c>
      <c r="T82">
        <v>-6.2060079999999997</v>
      </c>
      <c r="U82">
        <v>-191.77525</v>
      </c>
      <c r="V82">
        <v>112.5920000000001</v>
      </c>
      <c r="W82">
        <v>331.59219999999999</v>
      </c>
      <c r="X82">
        <v>141.15749999999991</v>
      </c>
      <c r="Y82">
        <v>-179.89570000000001</v>
      </c>
      <c r="Z82">
        <v>209.38274999999999</v>
      </c>
      <c r="AA82">
        <v>-580.64474999999993</v>
      </c>
      <c r="AB82">
        <v>-123.3245000000001</v>
      </c>
      <c r="AC82">
        <v>-11.494999999999941</v>
      </c>
      <c r="AD82">
        <v>-726.54750000000001</v>
      </c>
      <c r="AE82">
        <v>211.21607499999999</v>
      </c>
      <c r="AF82">
        <v>-594.51092499999993</v>
      </c>
      <c r="AG82">
        <v>-1710.35995</v>
      </c>
      <c r="AH82">
        <v>190.9202499999999</v>
      </c>
      <c r="AI82">
        <v>-3.3346939999999998</v>
      </c>
      <c r="AJ82">
        <v>-2.069976</v>
      </c>
      <c r="AK82">
        <v>0.31765199999999999</v>
      </c>
      <c r="AL82">
        <v>-24.073720000000002</v>
      </c>
      <c r="AM82">
        <v>1.1073734</v>
      </c>
      <c r="AN82">
        <v>-0.5632455999999999</v>
      </c>
      <c r="AO82">
        <v>1.96694E-2</v>
      </c>
      <c r="AP82">
        <v>10.345257999999999</v>
      </c>
      <c r="AQ82">
        <v>0.49771739999999998</v>
      </c>
      <c r="AR82">
        <v>4.4286899999999997E-2</v>
      </c>
      <c r="AS82">
        <v>7.5308379999999994E-2</v>
      </c>
      <c r="AT82">
        <v>9.8534699999999997</v>
      </c>
    </row>
    <row r="83" spans="1:46" x14ac:dyDescent="0.25">
      <c r="A83">
        <v>81</v>
      </c>
      <c r="B83">
        <v>9.5091374999999925</v>
      </c>
      <c r="C83">
        <v>0.54304162087912089</v>
      </c>
      <c r="D83">
        <v>0.353982141236723</v>
      </c>
      <c r="E83">
        <v>-1.151064109238454E-2</v>
      </c>
      <c r="F83">
        <v>0.83868880594178741</v>
      </c>
      <c r="G83">
        <v>4.7252957000000002</v>
      </c>
      <c r="H83">
        <v>-8.4073960000000003</v>
      </c>
      <c r="I83">
        <v>2.3009783999999991</v>
      </c>
      <c r="J83">
        <v>15.852331</v>
      </c>
      <c r="K83">
        <v>-1.9355413999999991</v>
      </c>
      <c r="L83">
        <v>-3.7323405000000012</v>
      </c>
      <c r="M83">
        <v>-7.368662999999998</v>
      </c>
      <c r="N83">
        <v>-9.9976967999999999</v>
      </c>
      <c r="O83">
        <v>-21.389059</v>
      </c>
      <c r="P83">
        <v>28.863973999999999</v>
      </c>
      <c r="Q83">
        <v>-0.59601953000000085</v>
      </c>
      <c r="R83">
        <v>2.934808300000002</v>
      </c>
      <c r="S83">
        <v>-11.03914389999999</v>
      </c>
      <c r="T83">
        <v>-5.9836186000000007</v>
      </c>
      <c r="U83">
        <v>-193.3108</v>
      </c>
      <c r="V83">
        <v>112.86315</v>
      </c>
      <c r="W83">
        <v>333.94312124999999</v>
      </c>
      <c r="X83">
        <v>146.6964999999999</v>
      </c>
      <c r="Y83">
        <v>-174.52682125000001</v>
      </c>
      <c r="Z83">
        <v>204.54011249999999</v>
      </c>
      <c r="AA83">
        <v>-561.25063750000004</v>
      </c>
      <c r="AB83">
        <v>-107.2305875000001</v>
      </c>
      <c r="AC83">
        <v>-7.9352500000000106</v>
      </c>
      <c r="AD83">
        <v>-715.23387500000001</v>
      </c>
      <c r="AE83">
        <v>193.50497750000011</v>
      </c>
      <c r="AF83">
        <v>-579.93976625000005</v>
      </c>
      <c r="AG83">
        <v>-1708.1727337499999</v>
      </c>
      <c r="AH83">
        <v>192.75486249999989</v>
      </c>
      <c r="AI83">
        <v>-3.2429728</v>
      </c>
      <c r="AJ83">
        <v>-2.0397812000000002</v>
      </c>
      <c r="AK83">
        <v>0.29841920000000011</v>
      </c>
      <c r="AL83">
        <v>-22.948839</v>
      </c>
      <c r="AM83">
        <v>0.90640833000000076</v>
      </c>
      <c r="AN83">
        <v>-0.58228931999999989</v>
      </c>
      <c r="AO83">
        <v>2.493280000000059E-3</v>
      </c>
      <c r="AP83">
        <v>8.3450671000000085</v>
      </c>
      <c r="AQ83">
        <v>0.39714888000000043</v>
      </c>
      <c r="AR83">
        <v>4.0937545000000013E-2</v>
      </c>
      <c r="AS83">
        <v>5.1879831000000078E-2</v>
      </c>
      <c r="AT83">
        <v>7.8528615000000066</v>
      </c>
    </row>
    <row r="84" spans="1:46" x14ac:dyDescent="0.25">
      <c r="A84">
        <v>82</v>
      </c>
      <c r="B84">
        <v>9.5160249999999849</v>
      </c>
      <c r="C84">
        <v>0.54340412087912082</v>
      </c>
      <c r="D84">
        <v>0.32608207070569728</v>
      </c>
      <c r="E84">
        <v>-1.183687729751127E-2</v>
      </c>
      <c r="F84">
        <v>0.72636394121093617</v>
      </c>
      <c r="G84">
        <v>4.4993654000000012</v>
      </c>
      <c r="H84">
        <v>-8.2761420000000001</v>
      </c>
      <c r="I84">
        <v>2.6907847999999972</v>
      </c>
      <c r="J84">
        <v>16.023982</v>
      </c>
      <c r="K84">
        <v>-2.139080799999999</v>
      </c>
      <c r="L84">
        <v>-3.4940910000000018</v>
      </c>
      <c r="M84">
        <v>-8.0222359999999959</v>
      </c>
      <c r="N84">
        <v>-10.1207496</v>
      </c>
      <c r="O84">
        <v>-21.397497999999999</v>
      </c>
      <c r="P84">
        <v>28.023728000000009</v>
      </c>
      <c r="Q84">
        <v>-0.36828166000000162</v>
      </c>
      <c r="R84">
        <v>2.2523426000000049</v>
      </c>
      <c r="S84">
        <v>-13.05177579999998</v>
      </c>
      <c r="T84">
        <v>-5.7612292000000016</v>
      </c>
      <c r="U84">
        <v>-194.84635</v>
      </c>
      <c r="V84">
        <v>113.1343</v>
      </c>
      <c r="W84">
        <v>336.29404249999999</v>
      </c>
      <c r="X84">
        <v>152.23549999999989</v>
      </c>
      <c r="Y84">
        <v>-169.15794249999999</v>
      </c>
      <c r="Z84">
        <v>199.697475</v>
      </c>
      <c r="AA84">
        <v>-541.85652500000015</v>
      </c>
      <c r="AB84">
        <v>-91.136675000000153</v>
      </c>
      <c r="AC84">
        <v>-4.375500000000077</v>
      </c>
      <c r="AD84">
        <v>-703.92025000000012</v>
      </c>
      <c r="AE84">
        <v>175.79388000000009</v>
      </c>
      <c r="AF84">
        <v>-565.36860750000005</v>
      </c>
      <c r="AG84">
        <v>-1705.9855175</v>
      </c>
      <c r="AH84">
        <v>194.58947499999999</v>
      </c>
      <c r="AI84">
        <v>-3.151251600000001</v>
      </c>
      <c r="AJ84">
        <v>-2.0095863999999999</v>
      </c>
      <c r="AK84">
        <v>0.27918640000000011</v>
      </c>
      <c r="AL84">
        <v>-21.823958000000012</v>
      </c>
      <c r="AM84">
        <v>0.70544326000000146</v>
      </c>
      <c r="AN84">
        <v>-0.60133303999999987</v>
      </c>
      <c r="AO84">
        <v>-1.4682839999999879E-2</v>
      </c>
      <c r="AP84">
        <v>6.344876200000015</v>
      </c>
      <c r="AQ84">
        <v>0.29658036000000071</v>
      </c>
      <c r="AR84">
        <v>3.7588190000000021E-2</v>
      </c>
      <c r="AS84">
        <v>2.8451282000000161E-2</v>
      </c>
      <c r="AT84">
        <v>5.8522530000000144</v>
      </c>
    </row>
    <row r="85" spans="1:46" x14ac:dyDescent="0.25">
      <c r="A85">
        <v>83</v>
      </c>
      <c r="B85">
        <v>9.5225624999999798</v>
      </c>
      <c r="C85">
        <v>0.54376550549450542</v>
      </c>
      <c r="D85">
        <v>0.28269442039928588</v>
      </c>
      <c r="E85">
        <v>-8.3631547231965246E-3</v>
      </c>
      <c r="F85">
        <v>0.62995390503643833</v>
      </c>
      <c r="G85">
        <v>4.2727385999999976</v>
      </c>
      <c r="H85">
        <v>-8.1447816</v>
      </c>
      <c r="I85">
        <v>3.0817322000000011</v>
      </c>
      <c r="J85">
        <v>16.200372000000002</v>
      </c>
      <c r="K85">
        <v>-2.336807400000001</v>
      </c>
      <c r="L85">
        <v>-3.2610851999999988</v>
      </c>
      <c r="M85">
        <v>-8.6554915000000019</v>
      </c>
      <c r="N85">
        <v>-10.228597000000001</v>
      </c>
      <c r="O85">
        <v>-21.402801</v>
      </c>
      <c r="P85">
        <v>27.199728999999991</v>
      </c>
      <c r="Q85">
        <v>-0.15956579999999951</v>
      </c>
      <c r="R85">
        <v>1.5889269099999981</v>
      </c>
      <c r="S85">
        <v>-15.04721500000001</v>
      </c>
      <c r="T85">
        <v>-5.5364506999999996</v>
      </c>
      <c r="U85">
        <v>-195.97581249999999</v>
      </c>
      <c r="V85">
        <v>113.33098750000001</v>
      </c>
      <c r="W85">
        <v>338.07566250000002</v>
      </c>
      <c r="X85">
        <v>157.43062499999999</v>
      </c>
      <c r="Y85">
        <v>-163.50947500000001</v>
      </c>
      <c r="Z85">
        <v>194.63512499999999</v>
      </c>
      <c r="AA85">
        <v>-521.79049999999984</v>
      </c>
      <c r="AB85">
        <v>-75.313574999999972</v>
      </c>
      <c r="AC85">
        <v>-0.94875000000006515</v>
      </c>
      <c r="AD85">
        <v>-689.92824999999993</v>
      </c>
      <c r="AE85">
        <v>157.46342249999989</v>
      </c>
      <c r="AF85">
        <v>-548.51943874999984</v>
      </c>
      <c r="AG85">
        <v>-1696.4686624999999</v>
      </c>
      <c r="AH85">
        <v>196.69524999999999</v>
      </c>
      <c r="AI85">
        <v>-3.0906615</v>
      </c>
      <c r="AJ85">
        <v>-1.9985548</v>
      </c>
      <c r="AK85">
        <v>0.26432860000000002</v>
      </c>
      <c r="AL85">
        <v>-20.895727999999998</v>
      </c>
      <c r="AM85">
        <v>0.53075254999999966</v>
      </c>
      <c r="AN85">
        <v>-0.62884963000000016</v>
      </c>
      <c r="AO85">
        <v>-3.1586408000000059E-2</v>
      </c>
      <c r="AP85">
        <v>4.6157308999999973</v>
      </c>
      <c r="AQ85">
        <v>0.20112106999999971</v>
      </c>
      <c r="AR85">
        <v>3.3184821199999971E-2</v>
      </c>
      <c r="AS85">
        <v>3.1479929999998859E-3</v>
      </c>
      <c r="AT85">
        <v>3.9604454999999938</v>
      </c>
    </row>
    <row r="86" spans="1:46" x14ac:dyDescent="0.25">
      <c r="A86">
        <v>84</v>
      </c>
      <c r="B86">
        <v>9.5279999999999738</v>
      </c>
      <c r="C86">
        <v>0.54412338461538456</v>
      </c>
      <c r="D86">
        <v>0.2309894864579087</v>
      </c>
      <c r="E86">
        <v>-6.4331217318522801E-3</v>
      </c>
      <c r="F86">
        <v>0.53139642889263528</v>
      </c>
      <c r="G86">
        <v>4.0439227999999998</v>
      </c>
      <c r="H86">
        <v>-8.0130868</v>
      </c>
      <c r="I86">
        <v>3.4762656000000001</v>
      </c>
      <c r="J86">
        <v>16.391656000000001</v>
      </c>
      <c r="K86">
        <v>-2.5162651999999999</v>
      </c>
      <c r="L86">
        <v>-3.0445595999999999</v>
      </c>
      <c r="M86">
        <v>-9.2248920000000005</v>
      </c>
      <c r="N86">
        <v>-10.288656</v>
      </c>
      <c r="O86">
        <v>-21.398247999999999</v>
      </c>
      <c r="P86">
        <v>26.426791999999999</v>
      </c>
      <c r="Q86">
        <v>-1.0633399999999991E-2</v>
      </c>
      <c r="R86">
        <v>0.98538268000000007</v>
      </c>
      <c r="S86">
        <v>-16.988620000000001</v>
      </c>
      <c r="T86">
        <v>-5.3041635999999999</v>
      </c>
      <c r="U86">
        <v>-195.82900000000001</v>
      </c>
      <c r="V86">
        <v>113.29365</v>
      </c>
      <c r="W86">
        <v>338.06805000000003</v>
      </c>
      <c r="X86">
        <v>161.5450000000001</v>
      </c>
      <c r="Y86">
        <v>-156.98230000000001</v>
      </c>
      <c r="Z86">
        <v>188.88225</v>
      </c>
      <c r="AA86">
        <v>-499.61274999999989</v>
      </c>
      <c r="AB86">
        <v>-60.341599999999993</v>
      </c>
      <c r="AC86">
        <v>2.0599999999999952</v>
      </c>
      <c r="AD86">
        <v>-667.5184999999999</v>
      </c>
      <c r="AE86">
        <v>137.18640500000001</v>
      </c>
      <c r="AF86">
        <v>-524.51080999999999</v>
      </c>
      <c r="AG86">
        <v>-1663.9158</v>
      </c>
      <c r="AH86">
        <v>199.65325000000001</v>
      </c>
      <c r="AI86">
        <v>-3.1279119999999998</v>
      </c>
      <c r="AJ86">
        <v>-2.0477504</v>
      </c>
      <c r="AK86">
        <v>0.26322079999999998</v>
      </c>
      <c r="AL86">
        <v>-20.585543999999999</v>
      </c>
      <c r="AM86">
        <v>0.43863839999999998</v>
      </c>
      <c r="AN86">
        <v>-0.68299524</v>
      </c>
      <c r="AO86">
        <v>-4.7633384000000001E-2</v>
      </c>
      <c r="AP86">
        <v>3.7384431999999999</v>
      </c>
      <c r="AQ86">
        <v>0.12171936</v>
      </c>
      <c r="AR86">
        <v>2.5468837599999999E-2</v>
      </c>
      <c r="AS86">
        <v>-2.804733600000001E-2</v>
      </c>
      <c r="AT86">
        <v>2.4105840000000001</v>
      </c>
    </row>
    <row r="87" spans="1:46" x14ac:dyDescent="0.25">
      <c r="A87">
        <v>85</v>
      </c>
      <c r="B87">
        <v>9.5334374999999696</v>
      </c>
      <c r="C87">
        <v>0.54448126373626371</v>
      </c>
      <c r="D87">
        <v>0.18039992418139281</v>
      </c>
      <c r="E87">
        <v>-7.4158104611309781E-3</v>
      </c>
      <c r="F87">
        <v>0.45192000512939973</v>
      </c>
      <c r="G87">
        <v>3.8151069999999971</v>
      </c>
      <c r="H87">
        <v>-7.8813919999999991</v>
      </c>
      <c r="I87">
        <v>3.8707990000000039</v>
      </c>
      <c r="J87">
        <v>16.582940000000001</v>
      </c>
      <c r="K87">
        <v>-2.6957230000000019</v>
      </c>
      <c r="L87">
        <v>-2.8280339999999971</v>
      </c>
      <c r="M87">
        <v>-9.7942925000000063</v>
      </c>
      <c r="N87">
        <v>-10.348715</v>
      </c>
      <c r="O87">
        <v>-21.393695000000001</v>
      </c>
      <c r="P87">
        <v>25.653854999999989</v>
      </c>
      <c r="Q87">
        <v>0.13829900000000159</v>
      </c>
      <c r="R87">
        <v>0.38183844999999361</v>
      </c>
      <c r="S87">
        <v>-18.930025000000018</v>
      </c>
      <c r="T87">
        <v>-5.0718764999999966</v>
      </c>
      <c r="U87">
        <v>-195.68218749999991</v>
      </c>
      <c r="V87">
        <v>113.25631250000001</v>
      </c>
      <c r="W87">
        <v>338.06043749999998</v>
      </c>
      <c r="X87">
        <v>165.65937500000021</v>
      </c>
      <c r="Y87">
        <v>-150.45512500000001</v>
      </c>
      <c r="Z87">
        <v>183.1293749999999</v>
      </c>
      <c r="AA87">
        <v>-477.43499999999972</v>
      </c>
      <c r="AB87">
        <v>-45.369624999999772</v>
      </c>
      <c r="AC87">
        <v>5.0687500000000982</v>
      </c>
      <c r="AD87">
        <v>-645.10874999999965</v>
      </c>
      <c r="AE87">
        <v>116.9093874999998</v>
      </c>
      <c r="AF87">
        <v>-500.50218124999969</v>
      </c>
      <c r="AG87">
        <v>-1631.3629375</v>
      </c>
      <c r="AH87">
        <v>202.61125000000001</v>
      </c>
      <c r="AI87">
        <v>-3.1651625000000001</v>
      </c>
      <c r="AJ87">
        <v>-2.096946</v>
      </c>
      <c r="AK87">
        <v>0.26211299999999998</v>
      </c>
      <c r="AL87">
        <v>-20.275359999999999</v>
      </c>
      <c r="AM87">
        <v>0.34652424999999898</v>
      </c>
      <c r="AN87">
        <v>-0.73714085000000062</v>
      </c>
      <c r="AO87">
        <v>-6.3680360000000158E-2</v>
      </c>
      <c r="AP87">
        <v>2.8611554999999909</v>
      </c>
      <c r="AQ87">
        <v>4.2317649999999152E-2</v>
      </c>
      <c r="AR87">
        <v>1.7752853999999919E-2</v>
      </c>
      <c r="AS87">
        <v>-5.924266500000034E-2</v>
      </c>
      <c r="AT87">
        <v>0.86072249999998318</v>
      </c>
    </row>
    <row r="88" spans="1:46" x14ac:dyDescent="0.25">
      <c r="A88">
        <v>86</v>
      </c>
      <c r="B88">
        <v>9.5388749999999654</v>
      </c>
      <c r="C88">
        <v>0.54483914285714286</v>
      </c>
      <c r="D88">
        <v>0.13432742281173179</v>
      </c>
      <c r="E88">
        <v>-5.3511334826032951E-3</v>
      </c>
      <c r="F88">
        <v>0.39120737324664762</v>
      </c>
      <c r="G88">
        <v>3.586291199999998</v>
      </c>
      <c r="H88">
        <v>-7.7496971999999991</v>
      </c>
      <c r="I88">
        <v>4.2653324000000028</v>
      </c>
      <c r="J88">
        <v>16.774224</v>
      </c>
      <c r="K88">
        <v>-2.8751808000000021</v>
      </c>
      <c r="L88">
        <v>-2.6115083999999991</v>
      </c>
      <c r="M88">
        <v>-10.363693</v>
      </c>
      <c r="N88">
        <v>-10.408773999999999</v>
      </c>
      <c r="O88">
        <v>-21.389142</v>
      </c>
      <c r="P88">
        <v>24.880917999999991</v>
      </c>
      <c r="Q88">
        <v>0.28723140000000108</v>
      </c>
      <c r="R88">
        <v>-0.22170578000000421</v>
      </c>
      <c r="S88">
        <v>-20.871430000000011</v>
      </c>
      <c r="T88">
        <v>-4.8395893999999986</v>
      </c>
      <c r="U88">
        <v>-195.5353749999999</v>
      </c>
      <c r="V88">
        <v>113.218975</v>
      </c>
      <c r="W88">
        <v>338.05282499999998</v>
      </c>
      <c r="X88">
        <v>169.77375000000029</v>
      </c>
      <c r="Y88">
        <v>-143.92795000000001</v>
      </c>
      <c r="Z88">
        <v>177.37649999999991</v>
      </c>
      <c r="AA88">
        <v>-455.25724999999977</v>
      </c>
      <c r="AB88">
        <v>-30.397649999999789</v>
      </c>
      <c r="AC88">
        <v>8.0775000000001587</v>
      </c>
      <c r="AD88">
        <v>-622.69899999999961</v>
      </c>
      <c r="AE88">
        <v>96.632369999999852</v>
      </c>
      <c r="AF88">
        <v>-476.49355249999979</v>
      </c>
      <c r="AG88">
        <v>-1598.8100750000001</v>
      </c>
      <c r="AH88">
        <v>205.5692500000001</v>
      </c>
      <c r="AI88">
        <v>-3.202413</v>
      </c>
      <c r="AJ88">
        <v>-2.1461416</v>
      </c>
      <c r="AK88">
        <v>0.26100519999999999</v>
      </c>
      <c r="AL88">
        <v>-19.965176</v>
      </c>
      <c r="AM88">
        <v>0.25441009999999942</v>
      </c>
      <c r="AN88">
        <v>-0.79128646000000036</v>
      </c>
      <c r="AO88">
        <v>-7.9727336000000107E-2</v>
      </c>
      <c r="AP88">
        <v>1.9838677999999941</v>
      </c>
      <c r="AQ88">
        <v>-3.7084060000000578E-2</v>
      </c>
      <c r="AR88">
        <v>1.0036870399999939E-2</v>
      </c>
      <c r="AS88">
        <v>-9.043799400000023E-2</v>
      </c>
      <c r="AT88">
        <v>-0.68913900000001149</v>
      </c>
    </row>
    <row r="89" spans="1:46" x14ac:dyDescent="0.25">
      <c r="A89">
        <v>87</v>
      </c>
      <c r="B89">
        <v>9.5420124999999807</v>
      </c>
      <c r="C89">
        <v>0.54519070329670327</v>
      </c>
      <c r="D89">
        <v>9.5961549677476998E-2</v>
      </c>
      <c r="E89">
        <v>-3.2413067788578699E-3</v>
      </c>
      <c r="F89">
        <v>0.33321338365795528</v>
      </c>
      <c r="G89">
        <v>3.3606954</v>
      </c>
      <c r="H89">
        <v>-7.6185888999999998</v>
      </c>
      <c r="I89">
        <v>4.6560684999999999</v>
      </c>
      <c r="J89">
        <v>16.976042</v>
      </c>
      <c r="K89">
        <v>-3.032324</v>
      </c>
      <c r="L89">
        <v>-2.4142545000000002</v>
      </c>
      <c r="M89">
        <v>-10.859137</v>
      </c>
      <c r="N89">
        <v>-10.423799000000001</v>
      </c>
      <c r="O89">
        <v>-21.375803000000001</v>
      </c>
      <c r="P89">
        <v>24.196784000000001</v>
      </c>
      <c r="Q89">
        <v>0.37001051000000001</v>
      </c>
      <c r="R89">
        <v>-0.73551229000000018</v>
      </c>
      <c r="S89">
        <v>-22.662783000000001</v>
      </c>
      <c r="T89">
        <v>-4.5963842000000001</v>
      </c>
      <c r="U89">
        <v>-193.98814999999991</v>
      </c>
      <c r="V89">
        <v>112.9637125</v>
      </c>
      <c r="W89">
        <v>336.20636250000001</v>
      </c>
      <c r="X89">
        <v>172.56275000000019</v>
      </c>
      <c r="Y89">
        <v>-136.70876250000001</v>
      </c>
      <c r="Z89">
        <v>171.324625</v>
      </c>
      <c r="AA89">
        <v>-431.76706249999989</v>
      </c>
      <c r="AB89">
        <v>-16.869499999999871</v>
      </c>
      <c r="AC89">
        <v>10.752750000000169</v>
      </c>
      <c r="AD89">
        <v>-591.85687499999983</v>
      </c>
      <c r="AE89">
        <v>76.494502499999982</v>
      </c>
      <c r="AF89">
        <v>-446.76856124999989</v>
      </c>
      <c r="AG89">
        <v>-1545.9456250000001</v>
      </c>
      <c r="AH89">
        <v>209.09305000000001</v>
      </c>
      <c r="AI89">
        <v>-3.2199387000000002</v>
      </c>
      <c r="AJ89">
        <v>-2.2050432</v>
      </c>
      <c r="AK89">
        <v>0.26441276000000002</v>
      </c>
      <c r="AL89">
        <v>-19.442311</v>
      </c>
      <c r="AM89">
        <v>0.191875882</v>
      </c>
      <c r="AN89">
        <v>-0.84552108000000004</v>
      </c>
      <c r="AO89">
        <v>-8.9087797999999996E-2</v>
      </c>
      <c r="AP89">
        <v>1.4539231100000001</v>
      </c>
      <c r="AQ89">
        <v>-8.9852460000000009E-2</v>
      </c>
      <c r="AR89">
        <v>4.3620356000000004E-3</v>
      </c>
      <c r="AS89">
        <v>-0.11569212399999999</v>
      </c>
      <c r="AT89">
        <v>-1.6236953000000001</v>
      </c>
    </row>
    <row r="90" spans="1:46" x14ac:dyDescent="0.25">
      <c r="A90">
        <v>88</v>
      </c>
      <c r="B90">
        <v>9.5445500000000028</v>
      </c>
      <c r="C90">
        <v>0.5455406153846154</v>
      </c>
      <c r="D90">
        <v>7.6908777511535756E-2</v>
      </c>
      <c r="E90">
        <v>8.5460053092588865E-3</v>
      </c>
      <c r="F90">
        <v>0.28983095431424338</v>
      </c>
      <c r="G90">
        <v>3.1359395999999991</v>
      </c>
      <c r="H90">
        <v>-7.4876335999999988</v>
      </c>
      <c r="I90">
        <v>5.0458140000000027</v>
      </c>
      <c r="J90">
        <v>17.180607999999999</v>
      </c>
      <c r="K90">
        <v>-3.1836460000000009</v>
      </c>
      <c r="L90">
        <v>-2.222027999999999</v>
      </c>
      <c r="M90">
        <v>-11.335288</v>
      </c>
      <c r="N90">
        <v>-10.427076</v>
      </c>
      <c r="O90">
        <v>-21.360171999999999</v>
      </c>
      <c r="P90">
        <v>23.535816000000001</v>
      </c>
      <c r="Q90">
        <v>0.43553224000000051</v>
      </c>
      <c r="R90">
        <v>-1.225908960000003</v>
      </c>
      <c r="S90">
        <v>-24.414992000000009</v>
      </c>
      <c r="T90">
        <v>-4.3503307999999983</v>
      </c>
      <c r="U90">
        <v>-192.07560000000001</v>
      </c>
      <c r="V90">
        <v>112.6516</v>
      </c>
      <c r="W90">
        <v>333.88019999999989</v>
      </c>
      <c r="X90">
        <v>175.0060000000002</v>
      </c>
      <c r="Y90">
        <v>-129.30905000000001</v>
      </c>
      <c r="Z90">
        <v>165.19474999999991</v>
      </c>
      <c r="AA90">
        <v>-407.93449999999967</v>
      </c>
      <c r="AB90">
        <v>-3.7179999999997899</v>
      </c>
      <c r="AC90">
        <v>13.341000000000211</v>
      </c>
      <c r="AD90">
        <v>-558.81499999999971</v>
      </c>
      <c r="AE90">
        <v>56.392934999999859</v>
      </c>
      <c r="AF90">
        <v>-415.55234499999978</v>
      </c>
      <c r="AG90">
        <v>-1487.7825</v>
      </c>
      <c r="AH90">
        <v>212.76445000000001</v>
      </c>
      <c r="AI90">
        <v>-3.2323187999999998</v>
      </c>
      <c r="AJ90">
        <v>-2.2664768</v>
      </c>
      <c r="AK90">
        <v>0.26899824000000011</v>
      </c>
      <c r="AL90">
        <v>-18.863963999999999</v>
      </c>
      <c r="AM90">
        <v>0.13705816799999959</v>
      </c>
      <c r="AN90">
        <v>-0.89977892000000037</v>
      </c>
      <c r="AO90">
        <v>-9.6703952000000051E-2</v>
      </c>
      <c r="AP90">
        <v>1.014589639999997</v>
      </c>
      <c r="AQ90">
        <v>-0.1356730400000003</v>
      </c>
      <c r="AR90">
        <v>-7.8032560000003415E-4</v>
      </c>
      <c r="AS90">
        <v>-0.13939637600000021</v>
      </c>
      <c r="AT90">
        <v>-2.3977372000000048</v>
      </c>
    </row>
    <row r="91" spans="1:46" x14ac:dyDescent="0.25">
      <c r="A91">
        <v>89</v>
      </c>
      <c r="B91">
        <v>9.5470875000000248</v>
      </c>
      <c r="C91">
        <v>0.54589052747252753</v>
      </c>
      <c r="D91">
        <v>4.2745938880389862E-2</v>
      </c>
      <c r="E91">
        <v>9.2998224065935654E-3</v>
      </c>
      <c r="F91">
        <v>0.28648869703098823</v>
      </c>
      <c r="G91">
        <v>2.9111837999999999</v>
      </c>
      <c r="H91">
        <v>-7.3566782999999996</v>
      </c>
      <c r="I91">
        <v>5.4355594999999992</v>
      </c>
      <c r="J91">
        <v>17.385173999999999</v>
      </c>
      <c r="K91">
        <v>-3.3349679999999999</v>
      </c>
      <c r="L91">
        <v>-2.0298015</v>
      </c>
      <c r="M91">
        <v>-11.811439</v>
      </c>
      <c r="N91">
        <v>-10.430353</v>
      </c>
      <c r="O91">
        <v>-21.344541</v>
      </c>
      <c r="P91">
        <v>22.874848</v>
      </c>
      <c r="Q91">
        <v>0.50105396999999996</v>
      </c>
      <c r="R91">
        <v>-1.716305629999999</v>
      </c>
      <c r="S91">
        <v>-26.167200999999999</v>
      </c>
      <c r="T91">
        <v>-4.1042774</v>
      </c>
      <c r="U91">
        <v>-190.16305</v>
      </c>
      <c r="V91">
        <v>112.3394875</v>
      </c>
      <c r="W91">
        <v>331.55403749999988</v>
      </c>
      <c r="X91">
        <v>177.44925000000021</v>
      </c>
      <c r="Y91">
        <v>-121.90933750000001</v>
      </c>
      <c r="Z91">
        <v>159.064875</v>
      </c>
      <c r="AA91">
        <v>-384.10193749999979</v>
      </c>
      <c r="AB91">
        <v>9.4335000000001124</v>
      </c>
      <c r="AC91">
        <v>15.929250000000209</v>
      </c>
      <c r="AD91">
        <v>-525.77312500000016</v>
      </c>
      <c r="AE91">
        <v>36.291367500000007</v>
      </c>
      <c r="AF91">
        <v>-384.33612875</v>
      </c>
      <c r="AG91">
        <v>-1429.619375</v>
      </c>
      <c r="AH91">
        <v>216.43584999999999</v>
      </c>
      <c r="AI91">
        <v>-3.2446988999999999</v>
      </c>
      <c r="AJ91">
        <v>-2.3279103999999999</v>
      </c>
      <c r="AK91">
        <v>0.27358371999999997</v>
      </c>
      <c r="AL91">
        <v>-18.285616999999998</v>
      </c>
      <c r="AM91">
        <v>8.2240454000000074E-2</v>
      </c>
      <c r="AN91">
        <v>-0.95403676000000004</v>
      </c>
      <c r="AO91">
        <v>-0.104320106</v>
      </c>
      <c r="AP91">
        <v>0.57525617000000051</v>
      </c>
      <c r="AQ91">
        <v>-0.18149361999999999</v>
      </c>
      <c r="AR91">
        <v>-5.9226867999999933E-3</v>
      </c>
      <c r="AS91">
        <v>-0.163100628</v>
      </c>
      <c r="AT91">
        <v>-3.1717790999999989</v>
      </c>
    </row>
    <row r="92" spans="1:46" x14ac:dyDescent="0.25">
      <c r="A92">
        <v>90</v>
      </c>
      <c r="B92">
        <v>9.5486250000000368</v>
      </c>
      <c r="C92">
        <v>0.54623653846153852</v>
      </c>
      <c r="D92">
        <v>3.2828601309355852E-2</v>
      </c>
      <c r="E92">
        <v>1.423731003648919E-2</v>
      </c>
      <c r="F92">
        <v>0.2253306590192089</v>
      </c>
      <c r="G92">
        <v>2.690304000000002</v>
      </c>
      <c r="H92">
        <v>-7.2263290000000007</v>
      </c>
      <c r="I92">
        <v>5.8205389999999966</v>
      </c>
      <c r="J92">
        <v>17.591899999999999</v>
      </c>
      <c r="K92">
        <v>-3.4755789999999989</v>
      </c>
      <c r="L92">
        <v>-1.8461060000000009</v>
      </c>
      <c r="M92">
        <v>-12.254</v>
      </c>
      <c r="N92">
        <v>-10.416930000000001</v>
      </c>
      <c r="O92">
        <v>-21.325589999999998</v>
      </c>
      <c r="P92">
        <v>22.26642</v>
      </c>
      <c r="Q92">
        <v>0.53988540000000007</v>
      </c>
      <c r="R92">
        <v>-2.1596049999999969</v>
      </c>
      <c r="S92">
        <v>-27.82419999999999</v>
      </c>
      <c r="T92">
        <v>-3.8528430000000018</v>
      </c>
      <c r="U92">
        <v>-187.642</v>
      </c>
      <c r="V92">
        <v>111.948875</v>
      </c>
      <c r="W92">
        <v>328.49237499999998</v>
      </c>
      <c r="X92">
        <v>179.28500000000011</v>
      </c>
      <c r="Y92">
        <v>-114.3022500000001</v>
      </c>
      <c r="Z92">
        <v>152.97536249999999</v>
      </c>
      <c r="AA92">
        <v>-360.12374999999997</v>
      </c>
      <c r="AB92">
        <v>21.836500000000019</v>
      </c>
      <c r="AC92">
        <v>18.423750000000169</v>
      </c>
      <c r="AD92">
        <v>-489.60625000000039</v>
      </c>
      <c r="AE92">
        <v>17.055200000000131</v>
      </c>
      <c r="AF92">
        <v>-351.66646250000031</v>
      </c>
      <c r="AG92">
        <v>-1365.75</v>
      </c>
      <c r="AH92">
        <v>220.17887499999989</v>
      </c>
      <c r="AI92">
        <v>-3.2377509999999998</v>
      </c>
      <c r="AJ92">
        <v>-2.349847</v>
      </c>
      <c r="AK92">
        <v>0.27219490000000007</v>
      </c>
      <c r="AL92">
        <v>-17.587150000000008</v>
      </c>
      <c r="AM92">
        <v>2.632166000000042E-2</v>
      </c>
      <c r="AN92">
        <v>-0.98497200000000018</v>
      </c>
      <c r="AO92">
        <v>-0.1093223</v>
      </c>
      <c r="AP92">
        <v>0.19099770000000199</v>
      </c>
      <c r="AQ92">
        <v>-0.21877329999999989</v>
      </c>
      <c r="AR92">
        <v>-8.6831950000000116E-3</v>
      </c>
      <c r="AS92">
        <v>-0.18193079999999989</v>
      </c>
      <c r="AT92">
        <v>-3.7464519999999988</v>
      </c>
    </row>
    <row r="93" spans="1:46" x14ac:dyDescent="0.25">
      <c r="A93">
        <v>91</v>
      </c>
      <c r="B93">
        <v>9.5482625000000283</v>
      </c>
      <c r="C93">
        <v>0.54657513736263741</v>
      </c>
      <c r="D93">
        <v>2.788343596375599E-2</v>
      </c>
      <c r="E93">
        <v>7.4569841331990072E-3</v>
      </c>
      <c r="F93">
        <v>0.18714221740178641</v>
      </c>
      <c r="G93">
        <v>2.476788599999999</v>
      </c>
      <c r="H93">
        <v>-7.0971310999999986</v>
      </c>
      <c r="I93">
        <v>6.1964631000000008</v>
      </c>
      <c r="J93">
        <v>17.80273</v>
      </c>
      <c r="K93">
        <v>-3.595839100000001</v>
      </c>
      <c r="L93">
        <v>-1.678619399999999</v>
      </c>
      <c r="M93">
        <v>-12.63274</v>
      </c>
      <c r="N93">
        <v>-10.371777</v>
      </c>
      <c r="O93">
        <v>-21.300331</v>
      </c>
      <c r="P93">
        <v>21.757818</v>
      </c>
      <c r="Q93">
        <v>0.52800525999999992</v>
      </c>
      <c r="R93">
        <v>-2.5134195000000008</v>
      </c>
      <c r="S93">
        <v>-29.300300000000011</v>
      </c>
      <c r="T93">
        <v>-3.591184699999999</v>
      </c>
      <c r="U93">
        <v>-183.9648</v>
      </c>
      <c r="V93">
        <v>111.40911250000001</v>
      </c>
      <c r="W93">
        <v>324.03326249999998</v>
      </c>
      <c r="X93">
        <v>179.96650000000011</v>
      </c>
      <c r="Y93">
        <v>-106.30115000000001</v>
      </c>
      <c r="Z93">
        <v>146.96253874999999</v>
      </c>
      <c r="AA93">
        <v>-335.86887499999978</v>
      </c>
      <c r="AB93">
        <v>32.81735000000009</v>
      </c>
      <c r="AC93">
        <v>20.74012500000007</v>
      </c>
      <c r="AD93">
        <v>-447.50187499999998</v>
      </c>
      <c r="AE93">
        <v>-0.53670750000006251</v>
      </c>
      <c r="AF93">
        <v>-316.23524124999989</v>
      </c>
      <c r="AG93">
        <v>-1291.0387499999999</v>
      </c>
      <c r="AH93">
        <v>224.0579875</v>
      </c>
      <c r="AI93">
        <v>-3.1940799000000002</v>
      </c>
      <c r="AJ93">
        <v>-2.2967393</v>
      </c>
      <c r="AK93">
        <v>0.25945490999999998</v>
      </c>
      <c r="AL93">
        <v>-16.660454999999999</v>
      </c>
      <c r="AM93">
        <v>-3.1689186000000188E-2</v>
      </c>
      <c r="AN93">
        <v>-0.97159430000000002</v>
      </c>
      <c r="AO93">
        <v>-0.10935797</v>
      </c>
      <c r="AP93">
        <v>-8.8618270000001054E-2</v>
      </c>
      <c r="AQ93">
        <v>-0.23982527000000009</v>
      </c>
      <c r="AR93">
        <v>-6.9181824999999929E-3</v>
      </c>
      <c r="AS93">
        <v>-0.19150022</v>
      </c>
      <c r="AT93">
        <v>-3.9423238000000009</v>
      </c>
    </row>
    <row r="94" spans="1:46" x14ac:dyDescent="0.25">
      <c r="A94">
        <v>92</v>
      </c>
      <c r="B94">
        <v>9.5479000000000198</v>
      </c>
      <c r="C94">
        <v>0.54691373626373629</v>
      </c>
      <c r="D94">
        <v>1.7791048795094421E-2</v>
      </c>
      <c r="E94">
        <v>-3.7225632283730738E-3</v>
      </c>
      <c r="F94">
        <v>0.1680463722935687</v>
      </c>
      <c r="G94">
        <v>2.2632732</v>
      </c>
      <c r="H94">
        <v>-6.9679332</v>
      </c>
      <c r="I94">
        <v>6.5723871999999997</v>
      </c>
      <c r="J94">
        <v>18.013559999999998</v>
      </c>
      <c r="K94">
        <v>-3.7160991999999999</v>
      </c>
      <c r="L94">
        <v>-1.5111327999999999</v>
      </c>
      <c r="M94">
        <v>-13.011480000000001</v>
      </c>
      <c r="N94">
        <v>-10.326624000000001</v>
      </c>
      <c r="O94">
        <v>-21.275072000000002</v>
      </c>
      <c r="P94">
        <v>21.249216000000001</v>
      </c>
      <c r="Q94">
        <v>0.51612511999999999</v>
      </c>
      <c r="R94">
        <v>-2.8672339999999998</v>
      </c>
      <c r="S94">
        <v>-30.776399999999999</v>
      </c>
      <c r="T94">
        <v>-3.3295264000000002</v>
      </c>
      <c r="U94">
        <v>-180.2876</v>
      </c>
      <c r="V94">
        <v>110.86935</v>
      </c>
      <c r="W94">
        <v>319.57414999999997</v>
      </c>
      <c r="X94">
        <v>180.64800000000011</v>
      </c>
      <c r="Y94">
        <v>-98.300049999999956</v>
      </c>
      <c r="Z94">
        <v>140.949715</v>
      </c>
      <c r="AA94">
        <v>-311.61399999999998</v>
      </c>
      <c r="AB94">
        <v>43.798199999999987</v>
      </c>
      <c r="AC94">
        <v>23.05649999999995</v>
      </c>
      <c r="AD94">
        <v>-405.39750000000021</v>
      </c>
      <c r="AE94">
        <v>-18.128615</v>
      </c>
      <c r="AF94">
        <v>-280.80401999999998</v>
      </c>
      <c r="AG94">
        <v>-1216.3275000000001</v>
      </c>
      <c r="AH94">
        <v>227.93709999999999</v>
      </c>
      <c r="AI94">
        <v>-3.1504088000000001</v>
      </c>
      <c r="AJ94">
        <v>-2.2436316000000001</v>
      </c>
      <c r="AK94">
        <v>0.24671492</v>
      </c>
      <c r="AL94">
        <v>-15.73376</v>
      </c>
      <c r="AM94">
        <v>-8.9700031999999971E-2</v>
      </c>
      <c r="AN94">
        <v>-0.95821660000000008</v>
      </c>
      <c r="AO94">
        <v>-0.10939364</v>
      </c>
      <c r="AP94">
        <v>-0.36823423999999999</v>
      </c>
      <c r="AQ94">
        <v>-0.26087724000000012</v>
      </c>
      <c r="AR94">
        <v>-5.1531699999999986E-3</v>
      </c>
      <c r="AS94">
        <v>-0.20106963999999999</v>
      </c>
      <c r="AT94">
        <v>-4.1381956000000004</v>
      </c>
    </row>
    <row r="95" spans="1:46" x14ac:dyDescent="0.25">
      <c r="A95">
        <v>93</v>
      </c>
      <c r="B95">
        <v>9.5475375000000131</v>
      </c>
      <c r="C95">
        <v>0.54725233516483518</v>
      </c>
      <c r="D95">
        <v>-3.542726007949392E-3</v>
      </c>
      <c r="E95">
        <v>-1.390289374302507E-2</v>
      </c>
      <c r="F95">
        <v>0.13768328650389111</v>
      </c>
      <c r="G95">
        <v>2.049757800000001</v>
      </c>
      <c r="H95">
        <v>-6.8387353000000006</v>
      </c>
      <c r="I95">
        <v>6.9483112999999994</v>
      </c>
      <c r="J95">
        <v>18.22439</v>
      </c>
      <c r="K95">
        <v>-3.8363592999999998</v>
      </c>
      <c r="L95">
        <v>-1.3436462000000009</v>
      </c>
      <c r="M95">
        <v>-13.390219999999999</v>
      </c>
      <c r="N95">
        <v>-10.281471</v>
      </c>
      <c r="O95">
        <v>-21.249813</v>
      </c>
      <c r="P95">
        <v>20.740614000000001</v>
      </c>
      <c r="Q95">
        <v>0.50424498000000006</v>
      </c>
      <c r="R95">
        <v>-3.221048499999998</v>
      </c>
      <c r="S95">
        <v>-32.252499999999998</v>
      </c>
      <c r="T95">
        <v>-3.067868100000001</v>
      </c>
      <c r="U95">
        <v>-176.6104</v>
      </c>
      <c r="V95">
        <v>110.3295875</v>
      </c>
      <c r="W95">
        <v>315.11503750000008</v>
      </c>
      <c r="X95">
        <v>181.3295</v>
      </c>
      <c r="Y95">
        <v>-90.298949999999962</v>
      </c>
      <c r="Z95">
        <v>134.93689125</v>
      </c>
      <c r="AA95">
        <v>-287.35912500000012</v>
      </c>
      <c r="AB95">
        <v>54.779049999999899</v>
      </c>
      <c r="AC95">
        <v>25.372874999999819</v>
      </c>
      <c r="AD95">
        <v>-363.29312500000032</v>
      </c>
      <c r="AE95">
        <v>-35.720522499999937</v>
      </c>
      <c r="AF95">
        <v>-245.3727987500001</v>
      </c>
      <c r="AG95">
        <v>-1141.61625</v>
      </c>
      <c r="AH95">
        <v>231.81621250000001</v>
      </c>
      <c r="AI95">
        <v>-3.1067377</v>
      </c>
      <c r="AJ95">
        <v>-2.190523900000001</v>
      </c>
      <c r="AK95">
        <v>0.23397493000000011</v>
      </c>
      <c r="AL95">
        <v>-14.807065</v>
      </c>
      <c r="AM95">
        <v>-0.1477108779999998</v>
      </c>
      <c r="AN95">
        <v>-0.94483890000000015</v>
      </c>
      <c r="AO95">
        <v>-0.10942931</v>
      </c>
      <c r="AP95">
        <v>-0.64785020999999898</v>
      </c>
      <c r="AQ95">
        <v>-0.28192920999999999</v>
      </c>
      <c r="AR95">
        <v>-3.388157500000006E-3</v>
      </c>
      <c r="AS95">
        <v>-0.21063905999999991</v>
      </c>
      <c r="AT95">
        <v>-4.3340673999999986</v>
      </c>
    </row>
    <row r="96" spans="1:46" x14ac:dyDescent="0.25">
      <c r="A96">
        <v>94</v>
      </c>
      <c r="B96">
        <v>9.5445750000000071</v>
      </c>
      <c r="C96">
        <v>0.5475783626373627</v>
      </c>
      <c r="D96">
        <v>-1.7165699286068668E-2</v>
      </c>
      <c r="E96">
        <v>-1.653486428556581E-2</v>
      </c>
      <c r="F96">
        <v>0.1133801315128941</v>
      </c>
      <c r="G96">
        <v>1.8525391999999989</v>
      </c>
      <c r="H96">
        <v>-6.7118331999999992</v>
      </c>
      <c r="I96">
        <v>7.3046444000000026</v>
      </c>
      <c r="J96">
        <v>18.434491999999999</v>
      </c>
      <c r="K96">
        <v>-3.927080800000001</v>
      </c>
      <c r="L96">
        <v>-1.1971054599999991</v>
      </c>
      <c r="M96">
        <v>-13.682328</v>
      </c>
      <c r="N96">
        <v>-10.2009788</v>
      </c>
      <c r="O96">
        <v>-21.216571999999999</v>
      </c>
      <c r="P96">
        <v>20.397397999999999</v>
      </c>
      <c r="Q96">
        <v>0.43558317999999951</v>
      </c>
      <c r="R96">
        <v>-3.4431886000000009</v>
      </c>
      <c r="S96">
        <v>-33.440286000000008</v>
      </c>
      <c r="T96">
        <v>-2.7923777999999979</v>
      </c>
      <c r="U96">
        <v>-171.43833000000001</v>
      </c>
      <c r="V96">
        <v>109.642275</v>
      </c>
      <c r="W96">
        <v>309.01305000000002</v>
      </c>
      <c r="X96">
        <v>180.4477499999999</v>
      </c>
      <c r="Y96">
        <v>-81.963424999999901</v>
      </c>
      <c r="Z96">
        <v>129.42242250000001</v>
      </c>
      <c r="AA96">
        <v>-263.79974999999979</v>
      </c>
      <c r="AB96">
        <v>63.792999999999999</v>
      </c>
      <c r="AC96">
        <v>27.53324999999986</v>
      </c>
      <c r="AD96">
        <v>-315.28024999999968</v>
      </c>
      <c r="AE96">
        <v>-49.632195000000102</v>
      </c>
      <c r="AF96">
        <v>-209.16622499999971</v>
      </c>
      <c r="AG96">
        <v>-1060.999749999999</v>
      </c>
      <c r="AH96">
        <v>235.45742500000009</v>
      </c>
      <c r="AI96">
        <v>-2.993365799999999</v>
      </c>
      <c r="AJ96">
        <v>-2.1468126000000001</v>
      </c>
      <c r="AK96">
        <v>0.2240668599999999</v>
      </c>
      <c r="AL96">
        <v>-13.636827999999991</v>
      </c>
      <c r="AM96">
        <v>-0.2285956400000006</v>
      </c>
      <c r="AN96">
        <v>-0.93018719999999988</v>
      </c>
      <c r="AO96">
        <v>-0.11059546000000001</v>
      </c>
      <c r="AP96">
        <v>-0.76678644000000074</v>
      </c>
      <c r="AQ96">
        <v>-0.28121762</v>
      </c>
      <c r="AR96">
        <v>-4.3535059999997742E-4</v>
      </c>
      <c r="AS96">
        <v>-0.2145891</v>
      </c>
      <c r="AT96">
        <v>-4.1326045999999979</v>
      </c>
    </row>
    <row r="97" spans="1:46" x14ac:dyDescent="0.25">
      <c r="A97">
        <v>95</v>
      </c>
      <c r="B97">
        <v>9.5413125000000019</v>
      </c>
      <c r="C97">
        <v>0.54790293956043956</v>
      </c>
      <c r="D97">
        <v>-2.2462800445580161E-2</v>
      </c>
      <c r="E97">
        <v>-5.4481615937435437E-5</v>
      </c>
      <c r="F97">
        <v>8.8652932831918885E-2</v>
      </c>
      <c r="G97">
        <v>1.657200999999999</v>
      </c>
      <c r="H97">
        <v>-6.5851959999999998</v>
      </c>
      <c r="I97">
        <v>7.6587170000000011</v>
      </c>
      <c r="J97">
        <v>18.64451</v>
      </c>
      <c r="K97">
        <v>-4.0143940000000002</v>
      </c>
      <c r="L97">
        <v>-1.052981549999999</v>
      </c>
      <c r="M97">
        <v>-13.96444</v>
      </c>
      <c r="N97">
        <v>-10.116409000000001</v>
      </c>
      <c r="O97">
        <v>-21.182410000000001</v>
      </c>
      <c r="P97">
        <v>20.073264999999999</v>
      </c>
      <c r="Q97">
        <v>0.36036964999999971</v>
      </c>
      <c r="R97">
        <v>-3.6501355000000011</v>
      </c>
      <c r="S97">
        <v>-34.594805000000001</v>
      </c>
      <c r="T97">
        <v>-2.5152914999999991</v>
      </c>
      <c r="U97">
        <v>-166.09377499999999</v>
      </c>
      <c r="V97">
        <v>108.9379375</v>
      </c>
      <c r="W97">
        <v>302.72149999999999</v>
      </c>
      <c r="X97">
        <v>179.38562499999981</v>
      </c>
      <c r="Y97">
        <v>-73.589312499999949</v>
      </c>
      <c r="Z97">
        <v>123.96545625</v>
      </c>
      <c r="AA97">
        <v>-240.32062499999989</v>
      </c>
      <c r="AB97">
        <v>72.57999999999997</v>
      </c>
      <c r="AC97">
        <v>29.675624999999879</v>
      </c>
      <c r="AD97">
        <v>-266.58562499999982</v>
      </c>
      <c r="AE97">
        <v>-63.11922500000005</v>
      </c>
      <c r="AF97">
        <v>-172.8701874999999</v>
      </c>
      <c r="AG97">
        <v>-979.70187499999963</v>
      </c>
      <c r="AH97">
        <v>239.07118750000001</v>
      </c>
      <c r="AI97">
        <v>-2.8719515000000002</v>
      </c>
      <c r="AJ97">
        <v>-2.1041854999999998</v>
      </c>
      <c r="AK97">
        <v>0.21448555</v>
      </c>
      <c r="AL97">
        <v>-12.43849</v>
      </c>
      <c r="AM97">
        <v>-0.31211970000000028</v>
      </c>
      <c r="AN97">
        <v>-0.91538849999999994</v>
      </c>
      <c r="AO97">
        <v>-0.11189205000000001</v>
      </c>
      <c r="AP97">
        <v>-0.86718270000000031</v>
      </c>
      <c r="AQ97">
        <v>-0.27799485000000002</v>
      </c>
      <c r="AR97">
        <v>2.6545095000000108E-3</v>
      </c>
      <c r="AS97">
        <v>-0.21789074999999999</v>
      </c>
      <c r="AT97">
        <v>-3.8852954999999989</v>
      </c>
    </row>
    <row r="98" spans="1:46" x14ac:dyDescent="0.25">
      <c r="A98">
        <v>96</v>
      </c>
      <c r="B98">
        <v>9.5380499999999966</v>
      </c>
      <c r="C98">
        <v>0.54822751648351642</v>
      </c>
      <c r="D98">
        <v>-1.547173183316224E-2</v>
      </c>
      <c r="E98">
        <v>-1.035617108812858E-2</v>
      </c>
      <c r="F98">
        <v>6.4154023645546149E-2</v>
      </c>
      <c r="G98">
        <v>1.4618628</v>
      </c>
      <c r="H98">
        <v>-6.4585587999999996</v>
      </c>
      <c r="I98">
        <v>8.0127895999999996</v>
      </c>
      <c r="J98">
        <v>18.854527999999998</v>
      </c>
      <c r="K98">
        <v>-4.1017071999999999</v>
      </c>
      <c r="L98">
        <v>-0.90885764000000002</v>
      </c>
      <c r="M98">
        <v>-14.246551999999999</v>
      </c>
      <c r="N98">
        <v>-10.0318392</v>
      </c>
      <c r="O98">
        <v>-21.148247999999999</v>
      </c>
      <c r="P98">
        <v>19.749131999999999</v>
      </c>
      <c r="Q98">
        <v>0.28515612000000001</v>
      </c>
      <c r="R98">
        <v>-3.8570823999999999</v>
      </c>
      <c r="S98">
        <v>-35.749324000000001</v>
      </c>
      <c r="T98">
        <v>-2.2382051999999999</v>
      </c>
      <c r="U98">
        <v>-160.74922000000001</v>
      </c>
      <c r="V98">
        <v>108.2336000000001</v>
      </c>
      <c r="W98">
        <v>296.42995000000008</v>
      </c>
      <c r="X98">
        <v>178.32349999999971</v>
      </c>
      <c r="Y98">
        <v>-65.215199999999996</v>
      </c>
      <c r="Z98">
        <v>118.50848999999999</v>
      </c>
      <c r="AA98">
        <v>-216.8415</v>
      </c>
      <c r="AB98">
        <v>81.366999999999933</v>
      </c>
      <c r="AC98">
        <v>31.817999999999898</v>
      </c>
      <c r="AD98">
        <v>-217.89099999999979</v>
      </c>
      <c r="AE98">
        <v>-76.606255000000004</v>
      </c>
      <c r="AF98">
        <v>-136.57415</v>
      </c>
      <c r="AG98">
        <v>-898.40400000000011</v>
      </c>
      <c r="AH98">
        <v>242.68494999999999</v>
      </c>
      <c r="AI98">
        <v>-2.7505372000000001</v>
      </c>
      <c r="AJ98">
        <v>-2.0615584</v>
      </c>
      <c r="AK98">
        <v>0.20490423999999999</v>
      </c>
      <c r="AL98">
        <v>-11.240152</v>
      </c>
      <c r="AM98">
        <v>-0.39564376000000001</v>
      </c>
      <c r="AN98">
        <v>-0.90058979999999988</v>
      </c>
      <c r="AO98">
        <v>-0.11318863999999999</v>
      </c>
      <c r="AP98">
        <v>-0.96757895999999999</v>
      </c>
      <c r="AQ98">
        <v>-0.27477207999999997</v>
      </c>
      <c r="AR98">
        <v>5.7443696000000002E-3</v>
      </c>
      <c r="AS98">
        <v>-0.22119240000000001</v>
      </c>
      <c r="AT98">
        <v>-3.6379864</v>
      </c>
    </row>
    <row r="99" spans="1:46" x14ac:dyDescent="0.25">
      <c r="A99">
        <v>97</v>
      </c>
      <c r="B99">
        <v>9.5334874999999926</v>
      </c>
      <c r="C99">
        <v>0.5485451648351648</v>
      </c>
      <c r="D99">
        <v>-1.6040114548005219E-2</v>
      </c>
      <c r="E99">
        <v>-9.1612522554594782E-3</v>
      </c>
      <c r="F99">
        <v>5.7747702275448141E-2</v>
      </c>
      <c r="G99">
        <v>1.277542879999999</v>
      </c>
      <c r="H99">
        <v>-6.3332995999999993</v>
      </c>
      <c r="I99">
        <v>8.3540949000000033</v>
      </c>
      <c r="J99">
        <v>19.061101000000001</v>
      </c>
      <c r="K99">
        <v>-4.1737584000000014</v>
      </c>
      <c r="L99">
        <v>-0.77383060999999886</v>
      </c>
      <c r="M99">
        <v>-14.487779</v>
      </c>
      <c r="N99">
        <v>-9.9334269999999982</v>
      </c>
      <c r="O99">
        <v>-21.110393999999999</v>
      </c>
      <c r="P99">
        <v>19.516935</v>
      </c>
      <c r="Q99">
        <v>0.1899661399999989</v>
      </c>
      <c r="R99">
        <v>-3.9997014000000011</v>
      </c>
      <c r="S99">
        <v>-36.756449000000003</v>
      </c>
      <c r="T99">
        <v>-1.9550751999999969</v>
      </c>
      <c r="U99">
        <v>-154.7375537499999</v>
      </c>
      <c r="V99">
        <v>107.48831250000011</v>
      </c>
      <c r="W99">
        <v>289.48758750000002</v>
      </c>
      <c r="X99">
        <v>176.51874999999961</v>
      </c>
      <c r="Y99">
        <v>-56.762599999999928</v>
      </c>
      <c r="Z99">
        <v>113.44986325000001</v>
      </c>
      <c r="AA99">
        <v>-194.19274999999979</v>
      </c>
      <c r="AB99">
        <v>89.25569999999999</v>
      </c>
      <c r="AC99">
        <v>33.900249999999971</v>
      </c>
      <c r="AD99">
        <v>-167.57949999999931</v>
      </c>
      <c r="AE99">
        <v>-87.901761250000078</v>
      </c>
      <c r="AF99">
        <v>-101.34248749999971</v>
      </c>
      <c r="AG99">
        <v>-817.98362499999951</v>
      </c>
      <c r="AH99">
        <v>245.978121125</v>
      </c>
      <c r="AI99">
        <v>-2.6195587999999992</v>
      </c>
      <c r="AJ99">
        <v>-2.0125924999999989</v>
      </c>
      <c r="AK99">
        <v>0.19738550999999999</v>
      </c>
      <c r="AL99">
        <v>-10.09918819999999</v>
      </c>
      <c r="AM99">
        <v>-0.47907214000000081</v>
      </c>
      <c r="AN99">
        <v>-0.88232191999999976</v>
      </c>
      <c r="AO99">
        <v>-0.11335124000000001</v>
      </c>
      <c r="AP99">
        <v>-0.8927833979999974</v>
      </c>
      <c r="AQ99">
        <v>-0.26415282999999978</v>
      </c>
      <c r="AR99">
        <v>6.8401089999999883E-3</v>
      </c>
      <c r="AS99">
        <v>-0.22141343999999999</v>
      </c>
      <c r="AT99">
        <v>-3.3156958999999961</v>
      </c>
    </row>
    <row r="100" spans="1:46" x14ac:dyDescent="0.25">
      <c r="A100">
        <v>98</v>
      </c>
      <c r="B100">
        <v>9.5273249999999905</v>
      </c>
      <c r="C100">
        <v>0.54885428571428574</v>
      </c>
      <c r="D100">
        <v>-2.0437852962826901E-2</v>
      </c>
      <c r="E100">
        <v>-2.1543821093757852E-3</v>
      </c>
      <c r="F100">
        <v>5.416205821378195E-2</v>
      </c>
      <c r="G100">
        <v>1.10678392</v>
      </c>
      <c r="H100">
        <v>-6.2097363999999997</v>
      </c>
      <c r="I100">
        <v>8.6796866000000001</v>
      </c>
      <c r="J100">
        <v>19.263434</v>
      </c>
      <c r="K100">
        <v>-4.2270256000000002</v>
      </c>
      <c r="L100">
        <v>-0.64999973999999983</v>
      </c>
      <c r="M100">
        <v>-14.678686000000001</v>
      </c>
      <c r="N100">
        <v>-9.8179780000000001</v>
      </c>
      <c r="O100">
        <v>-21.067996000000001</v>
      </c>
      <c r="P100">
        <v>19.39789</v>
      </c>
      <c r="Q100">
        <v>7.0189759999999851E-2</v>
      </c>
      <c r="R100">
        <v>-4.0631475999999997</v>
      </c>
      <c r="S100">
        <v>-37.582166000000001</v>
      </c>
      <c r="T100">
        <v>-1.6645068000000001</v>
      </c>
      <c r="U100">
        <v>-147.90482750000001</v>
      </c>
      <c r="V100">
        <v>106.69262500000011</v>
      </c>
      <c r="W100">
        <v>281.74422500000009</v>
      </c>
      <c r="X100">
        <v>173.7999999999997</v>
      </c>
      <c r="Y100">
        <v>-48.213399999999993</v>
      </c>
      <c r="Z100">
        <v>108.8815005</v>
      </c>
      <c r="AA100">
        <v>-172.56599999999989</v>
      </c>
      <c r="AB100">
        <v>96.038799999999952</v>
      </c>
      <c r="AC100">
        <v>35.908500000000039</v>
      </c>
      <c r="AD100">
        <v>-115.27799999999981</v>
      </c>
      <c r="AE100">
        <v>-96.500007500000009</v>
      </c>
      <c r="AF100">
        <v>-67.420824999999951</v>
      </c>
      <c r="AG100">
        <v>-738.64325000000019</v>
      </c>
      <c r="AH100">
        <v>248.87671825000001</v>
      </c>
      <c r="AI100">
        <v>-2.4768091999999999</v>
      </c>
      <c r="AJ100">
        <v>-1.9558249999999999</v>
      </c>
      <c r="AK100">
        <v>0.19240534000000001</v>
      </c>
      <c r="AL100">
        <v>-9.0288387999999991</v>
      </c>
      <c r="AM100">
        <v>-0.56238276000000009</v>
      </c>
      <c r="AN100">
        <v>-0.85978427999999985</v>
      </c>
      <c r="AO100">
        <v>-0.11211815999999999</v>
      </c>
      <c r="AP100">
        <v>-0.60236713199999969</v>
      </c>
      <c r="AQ100">
        <v>-0.24443022</v>
      </c>
      <c r="AR100">
        <v>5.4815459999999986E-3</v>
      </c>
      <c r="AS100">
        <v>-0.21784296</v>
      </c>
      <c r="AT100">
        <v>-2.9011206</v>
      </c>
    </row>
    <row r="101" spans="1:46" x14ac:dyDescent="0.25">
      <c r="A101">
        <v>99</v>
      </c>
      <c r="B101">
        <v>9.5211624999999867</v>
      </c>
      <c r="C101">
        <v>0.54916340659340657</v>
      </c>
      <c r="D101">
        <v>-1.6843136028201412E-2</v>
      </c>
      <c r="E101">
        <v>4.8957983877610236E-3</v>
      </c>
      <c r="F101">
        <v>6.8043498731018309E-2</v>
      </c>
      <c r="G101">
        <v>0.93602495999999868</v>
      </c>
      <c r="H101">
        <v>-6.0861731999999993</v>
      </c>
      <c r="I101">
        <v>9.0052783000000041</v>
      </c>
      <c r="J101">
        <v>19.465767</v>
      </c>
      <c r="K101">
        <v>-4.2802928000000007</v>
      </c>
      <c r="L101">
        <v>-0.52616886999999901</v>
      </c>
      <c r="M101">
        <v>-14.869593</v>
      </c>
      <c r="N101">
        <v>-9.7025289999999984</v>
      </c>
      <c r="O101">
        <v>-21.025597999999999</v>
      </c>
      <c r="P101">
        <v>19.278845</v>
      </c>
      <c r="Q101">
        <v>-4.9586620000000942E-2</v>
      </c>
      <c r="R101">
        <v>-4.1265938000000002</v>
      </c>
      <c r="S101">
        <v>-38.407883000000012</v>
      </c>
      <c r="T101">
        <v>-1.3739383999999979</v>
      </c>
      <c r="U101">
        <v>-141.07210124999989</v>
      </c>
      <c r="V101">
        <v>105.89693750000001</v>
      </c>
      <c r="W101">
        <v>274.00086249999998</v>
      </c>
      <c r="X101">
        <v>171.0812499999997</v>
      </c>
      <c r="Y101">
        <v>-39.664199999999937</v>
      </c>
      <c r="Z101">
        <v>104.31313775</v>
      </c>
      <c r="AA101">
        <v>-150.93924999999979</v>
      </c>
      <c r="AB101">
        <v>102.8219</v>
      </c>
      <c r="AC101">
        <v>37.916750000000143</v>
      </c>
      <c r="AD101">
        <v>-62.976499999999533</v>
      </c>
      <c r="AE101">
        <v>-105.0982537500001</v>
      </c>
      <c r="AF101">
        <v>-33.499162499999727</v>
      </c>
      <c r="AG101">
        <v>-659.30287499999986</v>
      </c>
      <c r="AH101">
        <v>251.77531537499999</v>
      </c>
      <c r="AI101">
        <v>-2.3340595999999989</v>
      </c>
      <c r="AJ101">
        <v>-1.8990575000000001</v>
      </c>
      <c r="AK101">
        <v>0.18742516999999989</v>
      </c>
      <c r="AL101">
        <v>-7.9584893999999924</v>
      </c>
      <c r="AM101">
        <v>-0.64569338000000065</v>
      </c>
      <c r="AN101">
        <v>-0.83724663999999971</v>
      </c>
      <c r="AO101">
        <v>-0.11088508</v>
      </c>
      <c r="AP101">
        <v>-0.31195086599999777</v>
      </c>
      <c r="AQ101">
        <v>-0.22470760999999981</v>
      </c>
      <c r="AR101">
        <v>4.1229829999999898E-3</v>
      </c>
      <c r="AS101">
        <v>-0.21427247999999999</v>
      </c>
      <c r="AT101">
        <v>-2.4865452999999968</v>
      </c>
    </row>
    <row r="102" spans="1:46" x14ac:dyDescent="0.25">
      <c r="A102">
        <v>100</v>
      </c>
      <c r="B102">
        <v>9.5149999999999846</v>
      </c>
      <c r="C102">
        <v>0.54947252747252751</v>
      </c>
      <c r="D102">
        <v>-1.226640531875307E-2</v>
      </c>
      <c r="E102">
        <v>-9.1705484696007478E-3</v>
      </c>
      <c r="F102">
        <v>3.9575332348044327E-2</v>
      </c>
      <c r="G102">
        <v>0.765266</v>
      </c>
      <c r="H102">
        <v>-5.9626099999999997</v>
      </c>
      <c r="I102">
        <v>9.3308700000000009</v>
      </c>
      <c r="J102">
        <v>19.668099999999999</v>
      </c>
      <c r="K102">
        <v>-4.3335600000000003</v>
      </c>
      <c r="L102">
        <v>-0.40233799999999997</v>
      </c>
      <c r="M102">
        <v>-15.060499999999999</v>
      </c>
      <c r="N102">
        <v>-9.5870800000000003</v>
      </c>
      <c r="O102">
        <v>-20.9832</v>
      </c>
      <c r="P102">
        <v>19.159800000000001</v>
      </c>
      <c r="Q102">
        <v>-0.16936300000000001</v>
      </c>
      <c r="R102">
        <v>-4.1900399999999998</v>
      </c>
      <c r="S102">
        <v>-39.233600000000003</v>
      </c>
      <c r="T102">
        <v>-1.0833699999999999</v>
      </c>
      <c r="U102">
        <v>-134.239375</v>
      </c>
      <c r="V102">
        <v>105.10124999999999</v>
      </c>
      <c r="W102">
        <v>266.25750000000011</v>
      </c>
      <c r="X102">
        <v>168.36249999999981</v>
      </c>
      <c r="Y102">
        <v>-31.114999999999998</v>
      </c>
      <c r="Z102">
        <v>99.74477499999999</v>
      </c>
      <c r="AA102">
        <v>-129.31249999999989</v>
      </c>
      <c r="AB102">
        <v>109.6049999999999</v>
      </c>
      <c r="AC102">
        <v>39.92500000000021</v>
      </c>
      <c r="AD102">
        <v>-10.67499999999999</v>
      </c>
      <c r="AE102">
        <v>-113.6965</v>
      </c>
      <c r="AF102">
        <v>0.42249999999999233</v>
      </c>
      <c r="AG102">
        <v>-579.96250000000055</v>
      </c>
      <c r="AH102">
        <v>254.6739125</v>
      </c>
      <c r="AI102">
        <v>-2.1913100000000001</v>
      </c>
      <c r="AJ102">
        <v>-1.84229</v>
      </c>
      <c r="AK102">
        <v>0.182445</v>
      </c>
      <c r="AL102">
        <v>-6.8881399999999999</v>
      </c>
      <c r="AM102">
        <v>-0.72900399999999999</v>
      </c>
      <c r="AN102">
        <v>-0.81470899999999991</v>
      </c>
      <c r="AO102">
        <v>-0.109652</v>
      </c>
      <c r="AP102">
        <v>-2.1534600000000001E-2</v>
      </c>
      <c r="AQ102">
        <v>-0.204985</v>
      </c>
      <c r="AR102">
        <v>2.7644200000000001E-3</v>
      </c>
      <c r="AS102">
        <v>-0.210702</v>
      </c>
      <c r="AT102">
        <v>-2.0719699999999999</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422CC3-73B3-444A-B416-DD482F78EC5D}">
  <sheetPr codeName="Sheet10">
    <tabColor rgb="FF6495EC"/>
  </sheetPr>
  <dimension ref="A1:Q17"/>
  <sheetViews>
    <sheetView workbookViewId="0">
      <selection sqref="A1:XFD1048576"/>
    </sheetView>
  </sheetViews>
  <sheetFormatPr defaultRowHeight="15" x14ac:dyDescent="0.25"/>
  <cols>
    <col min="1" max="1" width="20.7109375" customWidth="1"/>
  </cols>
  <sheetData>
    <row r="1" spans="1:17" x14ac:dyDescent="0.25">
      <c r="A1" s="1" t="s">
        <v>0</v>
      </c>
      <c r="C1" s="1" t="s">
        <v>10</v>
      </c>
    </row>
    <row r="2" spans="1:17" x14ac:dyDescent="0.25">
      <c r="A2" s="1" t="s">
        <v>1</v>
      </c>
      <c r="B2" t="s">
        <v>120</v>
      </c>
      <c r="G2" s="1" t="s">
        <v>69</v>
      </c>
      <c r="H2" s="1" t="s">
        <v>70</v>
      </c>
      <c r="I2" s="1" t="s">
        <v>71</v>
      </c>
      <c r="J2" s="1" t="s">
        <v>72</v>
      </c>
      <c r="L2" s="1" t="s">
        <v>73</v>
      </c>
      <c r="M2" s="1" t="s">
        <v>74</v>
      </c>
      <c r="N2" s="1" t="s">
        <v>75</v>
      </c>
      <c r="O2" s="1" t="s">
        <v>76</v>
      </c>
      <c r="P2" s="1" t="s">
        <v>77</v>
      </c>
      <c r="Q2" s="1" t="s">
        <v>78</v>
      </c>
    </row>
    <row r="3" spans="1:17" x14ac:dyDescent="0.25">
      <c r="D3" s="1" t="s">
        <v>11</v>
      </c>
      <c r="F3" s="1" t="s">
        <v>117</v>
      </c>
      <c r="G3">
        <v>9.3462499999999977</v>
      </c>
      <c r="H3">
        <v>0.55588461538461542</v>
      </c>
      <c r="I3">
        <v>246.71</v>
      </c>
      <c r="J3">
        <v>11.607142857142859</v>
      </c>
      <c r="K3" s="1" t="s">
        <v>79</v>
      </c>
      <c r="L3">
        <v>17.097899999999999</v>
      </c>
      <c r="M3">
        <v>10.4725</v>
      </c>
      <c r="N3">
        <v>39.211599999999997</v>
      </c>
      <c r="O3">
        <v>48.211300000000001</v>
      </c>
      <c r="P3">
        <v>28.332699999999999</v>
      </c>
      <c r="Q3">
        <v>3.6288499999999999</v>
      </c>
    </row>
    <row r="4" spans="1:17" x14ac:dyDescent="0.25">
      <c r="A4" s="1" t="s">
        <v>3</v>
      </c>
      <c r="B4" t="s">
        <v>4</v>
      </c>
      <c r="C4" s="1" t="s">
        <v>12</v>
      </c>
      <c r="D4">
        <v>247.4227294921875</v>
      </c>
      <c r="F4" s="1" t="s">
        <v>113</v>
      </c>
      <c r="G4">
        <v>9.3037499999999795</v>
      </c>
      <c r="H4">
        <v>0.539178021978022</v>
      </c>
      <c r="K4" s="1" t="s">
        <v>80</v>
      </c>
      <c r="L4">
        <v>6.4579399999999998</v>
      </c>
      <c r="M4">
        <v>-6.4523799999999998</v>
      </c>
      <c r="N4">
        <v>0.83071499999999998</v>
      </c>
      <c r="O4">
        <v>1.87578</v>
      </c>
    </row>
    <row r="5" spans="1:17" x14ac:dyDescent="0.25">
      <c r="A5" s="1" t="s">
        <v>5</v>
      </c>
      <c r="B5">
        <v>70.360000610351563</v>
      </c>
      <c r="C5" s="1" t="s">
        <v>13</v>
      </c>
      <c r="D5">
        <v>9.3164653778076172</v>
      </c>
      <c r="F5" s="1" t="s">
        <v>114</v>
      </c>
      <c r="G5">
        <v>9.6274999999999977</v>
      </c>
      <c r="H5">
        <v>0.5514230769230769</v>
      </c>
      <c r="K5" s="1" t="s">
        <v>81</v>
      </c>
      <c r="L5">
        <v>1.2585599999999999</v>
      </c>
      <c r="M5">
        <v>8.1796399999999991</v>
      </c>
      <c r="N5">
        <v>-15.9922</v>
      </c>
      <c r="O5">
        <v>18.675899999999999</v>
      </c>
    </row>
    <row r="6" spans="1:17" x14ac:dyDescent="0.25">
      <c r="A6" s="1" t="s">
        <v>6</v>
      </c>
      <c r="B6">
        <v>1820</v>
      </c>
      <c r="C6" s="1" t="s">
        <v>14</v>
      </c>
      <c r="D6">
        <v>0.4849998950958252</v>
      </c>
      <c r="F6" s="1" t="s">
        <v>115</v>
      </c>
      <c r="G6">
        <v>4.250000000001819E-2</v>
      </c>
      <c r="H6">
        <v>1.6706593406593421E-2</v>
      </c>
      <c r="K6" s="1" t="s">
        <v>82</v>
      </c>
      <c r="L6">
        <v>9.5008199999999992</v>
      </c>
      <c r="M6">
        <v>10.687214000000001</v>
      </c>
      <c r="N6">
        <v>52.530500000000004</v>
      </c>
      <c r="O6">
        <v>24.255600000000001</v>
      </c>
      <c r="P6">
        <v>64.7072</v>
      </c>
      <c r="Q6">
        <v>14.792350000000001</v>
      </c>
    </row>
    <row r="7" spans="1:17" x14ac:dyDescent="0.25">
      <c r="A7" s="1" t="s">
        <v>7</v>
      </c>
      <c r="B7">
        <v>960</v>
      </c>
      <c r="C7" s="1" t="s">
        <v>15</v>
      </c>
      <c r="D7">
        <v>0.2399999797344208</v>
      </c>
      <c r="F7" s="1" t="s">
        <v>116</v>
      </c>
      <c r="G7">
        <v>1.030092283001204</v>
      </c>
      <c r="H7">
        <v>0.99197398463986708</v>
      </c>
      <c r="K7" s="1" t="s">
        <v>83</v>
      </c>
      <c r="L7">
        <v>9.2055699999999998</v>
      </c>
      <c r="M7">
        <v>4.7583199999999994</v>
      </c>
      <c r="N7">
        <v>10.001844999999999</v>
      </c>
      <c r="O7">
        <v>8.4746299999999994</v>
      </c>
    </row>
    <row r="8" spans="1:17" x14ac:dyDescent="0.25">
      <c r="A8" s="1" t="s">
        <v>8</v>
      </c>
      <c r="B8">
        <v>71</v>
      </c>
      <c r="C8" s="1" t="s">
        <v>16</v>
      </c>
      <c r="D8">
        <v>50.515453338623047</v>
      </c>
      <c r="K8" s="1" t="s">
        <v>84</v>
      </c>
      <c r="L8">
        <v>10.53392</v>
      </c>
      <c r="M8">
        <v>18.68234</v>
      </c>
      <c r="N8">
        <v>5.3005000000000004</v>
      </c>
      <c r="O8">
        <v>20.460529999999999</v>
      </c>
    </row>
    <row r="9" spans="1:17" x14ac:dyDescent="0.25">
      <c r="A9" s="1" t="s">
        <v>9</v>
      </c>
      <c r="B9">
        <v>76</v>
      </c>
      <c r="C9" s="1" t="s">
        <v>17</v>
      </c>
      <c r="D9">
        <v>23.09278678894043</v>
      </c>
      <c r="K9" s="1" t="s">
        <v>85</v>
      </c>
      <c r="L9">
        <v>235.77499999999981</v>
      </c>
      <c r="M9">
        <v>-16.249999999999879</v>
      </c>
      <c r="N9">
        <v>-107.2499999999998</v>
      </c>
      <c r="O9">
        <v>311.90000000000049</v>
      </c>
      <c r="P9">
        <v>872.98874999999998</v>
      </c>
      <c r="Q9">
        <v>329.52625</v>
      </c>
    </row>
    <row r="10" spans="1:17" x14ac:dyDescent="0.25">
      <c r="C10" s="1" t="s">
        <v>18</v>
      </c>
      <c r="D10">
        <v>4.5184845924377441</v>
      </c>
      <c r="K10" s="1" t="s">
        <v>86</v>
      </c>
      <c r="L10">
        <v>4.0175000000000072</v>
      </c>
      <c r="M10">
        <v>91.516249999999957</v>
      </c>
      <c r="N10">
        <v>143.54</v>
      </c>
      <c r="O10">
        <v>198.32374999999999</v>
      </c>
    </row>
    <row r="11" spans="1:17" x14ac:dyDescent="0.25">
      <c r="C11" s="1" t="s">
        <v>19</v>
      </c>
      <c r="D11">
        <v>2.2998538017272949</v>
      </c>
      <c r="K11" s="1" t="s">
        <v>87</v>
      </c>
      <c r="L11">
        <v>273.61799999999999</v>
      </c>
      <c r="M11">
        <v>285.68250000000012</v>
      </c>
      <c r="N11">
        <v>88.462499999999892</v>
      </c>
      <c r="O11">
        <v>417.53125</v>
      </c>
    </row>
    <row r="12" spans="1:17" x14ac:dyDescent="0.25">
      <c r="C12" s="1" t="s">
        <v>20</v>
      </c>
      <c r="D12">
        <v>16.688202321529388</v>
      </c>
    </row>
    <row r="13" spans="1:17" x14ac:dyDescent="0.25">
      <c r="C13" s="1" t="s">
        <v>21</v>
      </c>
      <c r="D13">
        <v>0</v>
      </c>
    </row>
    <row r="14" spans="1:17" x14ac:dyDescent="0.25">
      <c r="C14" s="1" t="s">
        <v>16</v>
      </c>
      <c r="D14">
        <v>50.515453338623047</v>
      </c>
    </row>
    <row r="15" spans="1:17" x14ac:dyDescent="0.25">
      <c r="C15" s="1" t="s">
        <v>22</v>
      </c>
      <c r="D15">
        <v>0.1839999854564667</v>
      </c>
    </row>
    <row r="16" spans="1:17" x14ac:dyDescent="0.25">
      <c r="C16" s="1" t="s">
        <v>23</v>
      </c>
      <c r="D16">
        <v>76.90721321105957</v>
      </c>
    </row>
    <row r="17" spans="3:4" x14ac:dyDescent="0.25">
      <c r="C17" s="1" t="s">
        <v>118</v>
      </c>
      <c r="D17">
        <v>37.938149537148327</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7491F6-E8CE-42EC-9207-E0E80D05A1E0}">
  <sheetPr codeName="Sheet11">
    <tabColor rgb="FF6495EC"/>
  </sheetPr>
  <dimension ref="A1:AT102"/>
  <sheetViews>
    <sheetView workbookViewId="0">
      <pane xSplit="1" ySplit="1" topLeftCell="G2" activePane="bottomRight" state="frozen"/>
      <selection pane="topRight" activeCell="B1" sqref="B1"/>
      <selection pane="bottomLeft" activeCell="A2" sqref="A2"/>
      <selection pane="bottomRight" sqref="A1:XFD1048576"/>
    </sheetView>
  </sheetViews>
  <sheetFormatPr defaultRowHeight="15" x14ac:dyDescent="0.25"/>
  <cols>
    <col min="1" max="47" width="25.7109375" customWidth="1"/>
  </cols>
  <sheetData>
    <row r="1" spans="1:46" x14ac:dyDescent="0.25">
      <c r="A1" s="2" t="s">
        <v>250</v>
      </c>
      <c r="B1" s="2" t="s">
        <v>24</v>
      </c>
      <c r="C1" s="2" t="s">
        <v>251</v>
      </c>
      <c r="D1" s="2" t="s">
        <v>26</v>
      </c>
      <c r="E1" s="2" t="s">
        <v>27</v>
      </c>
      <c r="F1" s="2" t="s">
        <v>28</v>
      </c>
      <c r="G1" s="2" t="s">
        <v>29</v>
      </c>
      <c r="H1" s="2" t="s">
        <v>30</v>
      </c>
      <c r="I1" s="2" t="s">
        <v>31</v>
      </c>
      <c r="J1" s="2" t="s">
        <v>32</v>
      </c>
      <c r="K1" s="2" t="s">
        <v>33</v>
      </c>
      <c r="L1" s="2" t="s">
        <v>34</v>
      </c>
      <c r="M1" s="2" t="s">
        <v>35</v>
      </c>
      <c r="N1" s="2" t="s">
        <v>36</v>
      </c>
      <c r="O1" s="2" t="s">
        <v>37</v>
      </c>
      <c r="P1" s="2" t="s">
        <v>38</v>
      </c>
      <c r="Q1" s="2" t="s">
        <v>39</v>
      </c>
      <c r="R1" s="2" t="s">
        <v>40</v>
      </c>
      <c r="S1" s="2" t="s">
        <v>41</v>
      </c>
      <c r="T1" s="2" t="s">
        <v>42</v>
      </c>
      <c r="U1" s="2" t="s">
        <v>43</v>
      </c>
      <c r="V1" s="2" t="s">
        <v>44</v>
      </c>
      <c r="W1" s="2" t="s">
        <v>45</v>
      </c>
      <c r="X1" s="2" t="s">
        <v>46</v>
      </c>
      <c r="Y1" s="2" t="s">
        <v>47</v>
      </c>
      <c r="Z1" s="2" t="s">
        <v>48</v>
      </c>
      <c r="AA1" s="2" t="s">
        <v>49</v>
      </c>
      <c r="AB1" s="2" t="s">
        <v>50</v>
      </c>
      <c r="AC1" s="2" t="s">
        <v>51</v>
      </c>
      <c r="AD1" s="2" t="s">
        <v>52</v>
      </c>
      <c r="AE1" s="2" t="s">
        <v>53</v>
      </c>
      <c r="AF1" s="2" t="s">
        <v>54</v>
      </c>
      <c r="AG1" s="2" t="s">
        <v>55</v>
      </c>
      <c r="AH1" s="2" t="s">
        <v>56</v>
      </c>
      <c r="AI1" s="2" t="s">
        <v>57</v>
      </c>
      <c r="AJ1" s="2" t="s">
        <v>58</v>
      </c>
      <c r="AK1" s="2" t="s">
        <v>59</v>
      </c>
      <c r="AL1" s="2" t="s">
        <v>60</v>
      </c>
      <c r="AM1" s="2" t="s">
        <v>61</v>
      </c>
      <c r="AN1" s="2" t="s">
        <v>62</v>
      </c>
      <c r="AO1" s="2" t="s">
        <v>63</v>
      </c>
      <c r="AP1" s="2" t="s">
        <v>64</v>
      </c>
      <c r="AQ1" s="2" t="s">
        <v>65</v>
      </c>
      <c r="AR1" s="2" t="s">
        <v>66</v>
      </c>
      <c r="AS1" s="2" t="s">
        <v>67</v>
      </c>
      <c r="AT1" s="2" t="s">
        <v>68</v>
      </c>
    </row>
    <row r="2" spans="1:46" x14ac:dyDescent="0.25">
      <c r="A2">
        <v>0</v>
      </c>
      <c r="B2">
        <v>9.3462499999999977</v>
      </c>
      <c r="C2">
        <v>0.55588461538461542</v>
      </c>
      <c r="D2">
        <v>3.2285128097609188E-2</v>
      </c>
      <c r="E2">
        <v>1.9347582526414431E-2</v>
      </c>
      <c r="F2">
        <v>0.13285885302019931</v>
      </c>
      <c r="G2">
        <v>10.4725</v>
      </c>
      <c r="H2">
        <v>-10.8996</v>
      </c>
      <c r="I2">
        <v>-10.502700000000001</v>
      </c>
      <c r="J2">
        <v>7.5970800000000001</v>
      </c>
      <c r="K2">
        <v>6.4579399999999998</v>
      </c>
      <c r="L2">
        <v>-1.07792</v>
      </c>
      <c r="M2">
        <v>39.211599999999997</v>
      </c>
      <c r="N2">
        <v>-1.83901</v>
      </c>
      <c r="O2">
        <v>-16.085999999999999</v>
      </c>
      <c r="P2">
        <v>38.085999999999999</v>
      </c>
      <c r="Q2">
        <v>1.87578</v>
      </c>
      <c r="R2">
        <v>6.6734499999999999</v>
      </c>
      <c r="S2">
        <v>-3.1049799999999999</v>
      </c>
      <c r="T2">
        <v>-7.6956499999999997</v>
      </c>
      <c r="U2">
        <v>-16.249999999999879</v>
      </c>
      <c r="V2">
        <v>-38.862500000000018</v>
      </c>
      <c r="W2">
        <v>109.7625</v>
      </c>
      <c r="X2">
        <v>90.408749999999927</v>
      </c>
      <c r="Y2">
        <v>0.49874999999999231</v>
      </c>
      <c r="Z2">
        <v>-178.155125</v>
      </c>
      <c r="AA2">
        <v>-308.3625000000003</v>
      </c>
      <c r="AB2">
        <v>143.54</v>
      </c>
      <c r="AC2">
        <v>19.637500000000419</v>
      </c>
      <c r="AD2">
        <v>309.86250000000041</v>
      </c>
      <c r="AE2">
        <v>-143.63999999999999</v>
      </c>
      <c r="AF2">
        <v>410.995</v>
      </c>
      <c r="AG2">
        <v>619.60512499999993</v>
      </c>
      <c r="AH2">
        <v>135.42999999999989</v>
      </c>
      <c r="AI2">
        <v>3.9012600000000002</v>
      </c>
      <c r="AJ2">
        <v>0.80850199999999994</v>
      </c>
      <c r="AK2">
        <v>-0.20860999999999999</v>
      </c>
      <c r="AL2">
        <v>24.203800000000001</v>
      </c>
      <c r="AM2">
        <v>-1.0666800000000001</v>
      </c>
      <c r="AN2">
        <v>0.25545400000000001</v>
      </c>
      <c r="AO2">
        <v>6.4691900000000011E-2</v>
      </c>
      <c r="AP2">
        <v>5.2344400000000002</v>
      </c>
      <c r="AQ2">
        <v>0.42643199999999998</v>
      </c>
      <c r="AR2">
        <v>0.101968</v>
      </c>
      <c r="AS2">
        <v>7.1161000000000002E-2</v>
      </c>
      <c r="AT2">
        <v>-3.9088799999999999</v>
      </c>
    </row>
    <row r="3" spans="1:46" x14ac:dyDescent="0.25">
      <c r="A3">
        <v>1</v>
      </c>
      <c r="B3">
        <v>9.3432124999999999</v>
      </c>
      <c r="C3">
        <v>0.55530159340659346</v>
      </c>
      <c r="D3">
        <v>-7.4450068096844485E-2</v>
      </c>
      <c r="E3">
        <v>-1.9171575172184839E-2</v>
      </c>
      <c r="F3">
        <v>1.1459853742637729</v>
      </c>
      <c r="G3">
        <v>10.450009</v>
      </c>
      <c r="H3">
        <v>-10.936292999999999</v>
      </c>
      <c r="I3">
        <v>-10.388192999999999</v>
      </c>
      <c r="J3">
        <v>7.6959512999999999</v>
      </c>
      <c r="K3">
        <v>6.4545865999999998</v>
      </c>
      <c r="L3">
        <v>-1.2801905</v>
      </c>
      <c r="M3">
        <v>38.870995000000001</v>
      </c>
      <c r="N3">
        <v>-1.6830445000000001</v>
      </c>
      <c r="O3">
        <v>-16.067910000000001</v>
      </c>
      <c r="P3">
        <v>38.422528</v>
      </c>
      <c r="Q3">
        <v>1.7167446</v>
      </c>
      <c r="R3">
        <v>7.1244687999999998</v>
      </c>
      <c r="S3">
        <v>-2.3768599300000002</v>
      </c>
      <c r="T3">
        <v>-7.580063</v>
      </c>
      <c r="U3">
        <v>-18.612499999999891</v>
      </c>
      <c r="V3">
        <v>-36.219875000000002</v>
      </c>
      <c r="W3">
        <v>107.7493125</v>
      </c>
      <c r="X3">
        <v>90.33517499999995</v>
      </c>
      <c r="Y3">
        <v>-1.5815999999999979</v>
      </c>
      <c r="Z3">
        <v>-182.55271625</v>
      </c>
      <c r="AA3">
        <v>-313.13475000000022</v>
      </c>
      <c r="AB3">
        <v>143.125415</v>
      </c>
      <c r="AC3">
        <v>17.50112500000024</v>
      </c>
      <c r="AD3">
        <v>310.41262500000039</v>
      </c>
      <c r="AE3">
        <v>-145.54255499999999</v>
      </c>
      <c r="AF3">
        <v>412.75978750000002</v>
      </c>
      <c r="AG3">
        <v>646.50924124999995</v>
      </c>
      <c r="AH3">
        <v>119.2448499999999</v>
      </c>
      <c r="AI3">
        <v>3.6929118000000001</v>
      </c>
      <c r="AJ3">
        <v>0.90604706000000002</v>
      </c>
      <c r="AK3">
        <v>-0.21601772</v>
      </c>
      <c r="AL3">
        <v>23.115376000000001</v>
      </c>
      <c r="AM3">
        <v>-0.74225421000000003</v>
      </c>
      <c r="AN3">
        <v>0.36554974000000001</v>
      </c>
      <c r="AO3">
        <v>0.104300657</v>
      </c>
      <c r="AP3">
        <v>3.6405687100000002</v>
      </c>
      <c r="AQ3">
        <v>0.65446266000000008</v>
      </c>
      <c r="AR3">
        <v>0.11319946</v>
      </c>
      <c r="AS3">
        <v>0.109069</v>
      </c>
      <c r="AT3">
        <v>-6.4637873999999993</v>
      </c>
    </row>
    <row r="4" spans="1:46" x14ac:dyDescent="0.25">
      <c r="A4">
        <v>2</v>
      </c>
      <c r="B4">
        <v>9.3401750000000039</v>
      </c>
      <c r="C4">
        <v>0.55471857142857139</v>
      </c>
      <c r="D4">
        <v>-3.1223346714331052E-2</v>
      </c>
      <c r="E4">
        <v>9.5336487321399481E-3</v>
      </c>
      <c r="F4">
        <v>1.296256023318147</v>
      </c>
      <c r="G4">
        <v>10.427517999999999</v>
      </c>
      <c r="H4">
        <v>-10.972986000000001</v>
      </c>
      <c r="I4">
        <v>-10.273686</v>
      </c>
      <c r="J4">
        <v>7.7948225999999998</v>
      </c>
      <c r="K4">
        <v>6.4512331999999999</v>
      </c>
      <c r="L4">
        <v>-1.482461</v>
      </c>
      <c r="M4">
        <v>38.530389999999997</v>
      </c>
      <c r="N4">
        <v>-1.5270790000000001</v>
      </c>
      <c r="O4">
        <v>-16.04982</v>
      </c>
      <c r="P4">
        <v>38.759056000000001</v>
      </c>
      <c r="Q4">
        <v>1.5577091999999999</v>
      </c>
      <c r="R4">
        <v>7.5754875999999998</v>
      </c>
      <c r="S4">
        <v>-1.6487398600000001</v>
      </c>
      <c r="T4">
        <v>-7.4644759999999986</v>
      </c>
      <c r="U4">
        <v>-20.974999999999891</v>
      </c>
      <c r="V4">
        <v>-33.577249999999992</v>
      </c>
      <c r="W4">
        <v>105.736125</v>
      </c>
      <c r="X4">
        <v>90.261599999999987</v>
      </c>
      <c r="Y4">
        <v>-3.661949999999988</v>
      </c>
      <c r="Z4">
        <v>-186.95030750000001</v>
      </c>
      <c r="AA4">
        <v>-317.9070000000001</v>
      </c>
      <c r="AB4">
        <v>142.71082999999999</v>
      </c>
      <c r="AC4">
        <v>15.364750000000059</v>
      </c>
      <c r="AD4">
        <v>310.96275000000043</v>
      </c>
      <c r="AE4">
        <v>-147.44511</v>
      </c>
      <c r="AF4">
        <v>414.52457500000003</v>
      </c>
      <c r="AG4">
        <v>673.41335749999996</v>
      </c>
      <c r="AH4">
        <v>103.05969999999991</v>
      </c>
      <c r="AI4">
        <v>3.4845636</v>
      </c>
      <c r="AJ4">
        <v>1.00359212</v>
      </c>
      <c r="AK4">
        <v>-0.22342544</v>
      </c>
      <c r="AL4">
        <v>22.026952000000001</v>
      </c>
      <c r="AM4">
        <v>-0.41782841999999992</v>
      </c>
      <c r="AN4">
        <v>0.47564548000000012</v>
      </c>
      <c r="AO4">
        <v>0.14390941400000001</v>
      </c>
      <c r="AP4">
        <v>2.0466974200000001</v>
      </c>
      <c r="AQ4">
        <v>0.88249332000000003</v>
      </c>
      <c r="AR4">
        <v>0.12443092</v>
      </c>
      <c r="AS4">
        <v>0.146977</v>
      </c>
      <c r="AT4">
        <v>-9.0186947999999987</v>
      </c>
    </row>
    <row r="5" spans="1:46" x14ac:dyDescent="0.25">
      <c r="A5">
        <v>3</v>
      </c>
      <c r="B5">
        <v>9.3371375000000061</v>
      </c>
      <c r="C5">
        <v>0.55413554945054944</v>
      </c>
      <c r="D5">
        <v>-0.30328883988162098</v>
      </c>
      <c r="E5">
        <v>-5.1939994009414812E-2</v>
      </c>
      <c r="F5">
        <v>1.568791593345533</v>
      </c>
      <c r="G5">
        <v>10.405027</v>
      </c>
      <c r="H5">
        <v>-11.009679</v>
      </c>
      <c r="I5">
        <v>-10.159179</v>
      </c>
      <c r="J5">
        <v>7.8936938999999997</v>
      </c>
      <c r="K5">
        <v>6.4478797999999999</v>
      </c>
      <c r="L5">
        <v>-1.6847315</v>
      </c>
      <c r="M5">
        <v>38.189785000000001</v>
      </c>
      <c r="N5">
        <v>-1.3711135000000001</v>
      </c>
      <c r="O5">
        <v>-16.03173</v>
      </c>
      <c r="P5">
        <v>39.095584000000002</v>
      </c>
      <c r="Q5">
        <v>1.3986738000000001</v>
      </c>
      <c r="R5">
        <v>8.0265064000000006</v>
      </c>
      <c r="S5">
        <v>-0.92061978999999994</v>
      </c>
      <c r="T5">
        <v>-7.3488889999999998</v>
      </c>
      <c r="U5">
        <v>-23.33749999999991</v>
      </c>
      <c r="V5">
        <v>-30.934624999999969</v>
      </c>
      <c r="W5">
        <v>103.7229375</v>
      </c>
      <c r="X5">
        <v>90.18802500000001</v>
      </c>
      <c r="Y5">
        <v>-5.7422999999999771</v>
      </c>
      <c r="Z5">
        <v>-191.34789875000001</v>
      </c>
      <c r="AA5">
        <v>-322.67925000000002</v>
      </c>
      <c r="AB5">
        <v>142.296245</v>
      </c>
      <c r="AC5">
        <v>13.22837499999989</v>
      </c>
      <c r="AD5">
        <v>311.51287500000052</v>
      </c>
      <c r="AE5">
        <v>-149.34766500000001</v>
      </c>
      <c r="AF5">
        <v>416.28936249999998</v>
      </c>
      <c r="AG5">
        <v>700.31747374999986</v>
      </c>
      <c r="AH5">
        <v>86.874549999999914</v>
      </c>
      <c r="AI5">
        <v>3.2762153999999999</v>
      </c>
      <c r="AJ5">
        <v>1.10113718</v>
      </c>
      <c r="AK5">
        <v>-0.23083316000000001</v>
      </c>
      <c r="AL5">
        <v>20.938528000000002</v>
      </c>
      <c r="AM5">
        <v>-9.340262999999982E-2</v>
      </c>
      <c r="AN5">
        <v>0.58574122000000006</v>
      </c>
      <c r="AO5">
        <v>0.18351817100000001</v>
      </c>
      <c r="AP5">
        <v>0.45282612999999999</v>
      </c>
      <c r="AQ5">
        <v>1.11052398</v>
      </c>
      <c r="AR5">
        <v>0.13566238</v>
      </c>
      <c r="AS5">
        <v>0.18488499999999999</v>
      </c>
      <c r="AT5">
        <v>-11.5736022</v>
      </c>
    </row>
    <row r="6" spans="1:46" x14ac:dyDescent="0.25">
      <c r="A6">
        <v>4</v>
      </c>
      <c r="B6">
        <v>9.3340000000000085</v>
      </c>
      <c r="C6">
        <v>0.55355824175824175</v>
      </c>
      <c r="D6">
        <v>-0.53355587127508197</v>
      </c>
      <c r="E6">
        <v>-8.5549147660852656E-2</v>
      </c>
      <c r="F6">
        <v>1.6421362388440379</v>
      </c>
      <c r="G6">
        <v>10.379864</v>
      </c>
      <c r="H6">
        <v>-11.043236</v>
      </c>
      <c r="I6">
        <v>-10.047052000000001</v>
      </c>
      <c r="J6">
        <v>7.9916619999999998</v>
      </c>
      <c r="K6">
        <v>6.4419015999999996</v>
      </c>
      <c r="L6">
        <v>-1.8915812000000001</v>
      </c>
      <c r="M6">
        <v>37.842356000000002</v>
      </c>
      <c r="N6">
        <v>-1.2166891200000001</v>
      </c>
      <c r="O6">
        <v>-16.016856000000001</v>
      </c>
      <c r="P6">
        <v>39.432304000000002</v>
      </c>
      <c r="Q6">
        <v>1.23744224</v>
      </c>
      <c r="R6">
        <v>8.4774747999999995</v>
      </c>
      <c r="S6">
        <v>-0.16365827999999949</v>
      </c>
      <c r="T6">
        <v>-7.2534875999999997</v>
      </c>
      <c r="U6">
        <v>-25.640999999999931</v>
      </c>
      <c r="V6">
        <v>-28.29599999999996</v>
      </c>
      <c r="W6">
        <v>101.73255</v>
      </c>
      <c r="X6">
        <v>89.732050000000044</v>
      </c>
      <c r="Y6">
        <v>-7.8875499999999708</v>
      </c>
      <c r="Z6">
        <v>-195.39670000000001</v>
      </c>
      <c r="AA6">
        <v>-327.99149999999997</v>
      </c>
      <c r="AB6">
        <v>141.33725000000001</v>
      </c>
      <c r="AC6">
        <v>10.76899999999975</v>
      </c>
      <c r="AD6">
        <v>311.81100000000038</v>
      </c>
      <c r="AE6">
        <v>-151.22918799999999</v>
      </c>
      <c r="AF6">
        <v>416.99684999999999</v>
      </c>
      <c r="AG6">
        <v>725.50528999999995</v>
      </c>
      <c r="AH6">
        <v>70.433599999999913</v>
      </c>
      <c r="AI6">
        <v>3.1913727999999999</v>
      </c>
      <c r="AJ6">
        <v>1.20808</v>
      </c>
      <c r="AK6">
        <v>-0.24712656</v>
      </c>
      <c r="AL6">
        <v>20.669224</v>
      </c>
      <c r="AM6">
        <v>0.14871876000000001</v>
      </c>
      <c r="AN6">
        <v>0.69095472000000013</v>
      </c>
      <c r="AO6">
        <v>0.21906452000000001</v>
      </c>
      <c r="AP6">
        <v>-0.73691524000000019</v>
      </c>
      <c r="AQ6">
        <v>1.3530788</v>
      </c>
      <c r="AR6">
        <v>0.14210519999999999</v>
      </c>
      <c r="AS6">
        <v>0.21829844000000001</v>
      </c>
      <c r="AT6">
        <v>-14.430628</v>
      </c>
    </row>
    <row r="7" spans="1:46" x14ac:dyDescent="0.25">
      <c r="A7">
        <v>5</v>
      </c>
      <c r="B7">
        <v>9.3306250000000119</v>
      </c>
      <c r="C7">
        <v>0.55299450549450546</v>
      </c>
      <c r="D7">
        <v>-0.62206563225735345</v>
      </c>
      <c r="E7">
        <v>-0.1741092181297571</v>
      </c>
      <c r="F7">
        <v>1.648696985674851</v>
      </c>
      <c r="G7">
        <v>10.348355</v>
      </c>
      <c r="H7">
        <v>-11.069345</v>
      </c>
      <c r="I7">
        <v>-9.9405774999999998</v>
      </c>
      <c r="J7">
        <v>8.0874849999999991</v>
      </c>
      <c r="K7">
        <v>6.4296895000000003</v>
      </c>
      <c r="L7">
        <v>-2.1093065000000002</v>
      </c>
      <c r="M7">
        <v>37.478720000000003</v>
      </c>
      <c r="N7">
        <v>-1.0659249</v>
      </c>
      <c r="O7">
        <v>-16.009620000000002</v>
      </c>
      <c r="P7">
        <v>39.769480000000001</v>
      </c>
      <c r="Q7">
        <v>1.0709948</v>
      </c>
      <c r="R7">
        <v>8.9283235000000012</v>
      </c>
      <c r="S7">
        <v>0.6618016500000008</v>
      </c>
      <c r="T7">
        <v>-7.2060269999999997</v>
      </c>
      <c r="U7">
        <v>-27.804374999999979</v>
      </c>
      <c r="V7">
        <v>-25.666874999999969</v>
      </c>
      <c r="W7">
        <v>99.796312500000013</v>
      </c>
      <c r="X7">
        <v>88.367875000000069</v>
      </c>
      <c r="Y7">
        <v>-10.186937499999971</v>
      </c>
      <c r="Z7">
        <v>-198.61712499999999</v>
      </c>
      <c r="AA7">
        <v>-334.58624999999989</v>
      </c>
      <c r="AB7">
        <v>139.08528125000001</v>
      </c>
      <c r="AC7">
        <v>7.5424999999997153</v>
      </c>
      <c r="AD7">
        <v>311.51062500000029</v>
      </c>
      <c r="AE7">
        <v>-153.06075999999999</v>
      </c>
      <c r="AF7">
        <v>415.19324999999998</v>
      </c>
      <c r="AG7">
        <v>746.61689374999992</v>
      </c>
      <c r="AH7">
        <v>53.385124999999938</v>
      </c>
      <c r="AI7">
        <v>3.3998560000000002</v>
      </c>
      <c r="AJ7">
        <v>1.3373425000000001</v>
      </c>
      <c r="AK7">
        <v>-0.28452345000000012</v>
      </c>
      <c r="AL7">
        <v>22.345330000000001</v>
      </c>
      <c r="AM7">
        <v>0.19536719999999999</v>
      </c>
      <c r="AN7">
        <v>0.78457290000000013</v>
      </c>
      <c r="AO7">
        <v>0.24496265</v>
      </c>
      <c r="AP7">
        <v>-0.96684805000000029</v>
      </c>
      <c r="AQ7">
        <v>1.6301285000000001</v>
      </c>
      <c r="AR7">
        <v>0.13717499999999999</v>
      </c>
      <c r="AS7">
        <v>0.24103730000000001</v>
      </c>
      <c r="AT7">
        <v>-18.005185000000001</v>
      </c>
    </row>
    <row r="8" spans="1:46" x14ac:dyDescent="0.25">
      <c r="A8">
        <v>6</v>
      </c>
      <c r="B8">
        <v>9.3272500000000154</v>
      </c>
      <c r="C8">
        <v>0.55243076923076917</v>
      </c>
      <c r="D8">
        <v>-0.62327783102629297</v>
      </c>
      <c r="E8">
        <v>-0.18326784395092499</v>
      </c>
      <c r="F8">
        <v>1.7278923618253439</v>
      </c>
      <c r="G8">
        <v>10.316846</v>
      </c>
      <c r="H8">
        <v>-11.095454</v>
      </c>
      <c r="I8">
        <v>-9.8341030000000007</v>
      </c>
      <c r="J8">
        <v>8.1833080000000002</v>
      </c>
      <c r="K8">
        <v>6.4174774000000001</v>
      </c>
      <c r="L8">
        <v>-2.3270317999999999</v>
      </c>
      <c r="M8">
        <v>37.115084000000003</v>
      </c>
      <c r="N8">
        <v>-0.91516067999999984</v>
      </c>
      <c r="O8">
        <v>-16.002383999999999</v>
      </c>
      <c r="P8">
        <v>40.106656000000001</v>
      </c>
      <c r="Q8">
        <v>0.90454735999999991</v>
      </c>
      <c r="R8">
        <v>9.3791721999999993</v>
      </c>
      <c r="S8">
        <v>1.48726158</v>
      </c>
      <c r="T8">
        <v>-7.1585663999999998</v>
      </c>
      <c r="U8">
        <v>-29.967750000000031</v>
      </c>
      <c r="V8">
        <v>-23.037749999999988</v>
      </c>
      <c r="W8">
        <v>97.860074999999995</v>
      </c>
      <c r="X8">
        <v>87.003700000000094</v>
      </c>
      <c r="Y8">
        <v>-12.486324999999971</v>
      </c>
      <c r="Z8">
        <v>-201.83754999999999</v>
      </c>
      <c r="AA8">
        <v>-341.18099999999993</v>
      </c>
      <c r="AB8">
        <v>136.83331250000001</v>
      </c>
      <c r="AC8">
        <v>4.3159999999996828</v>
      </c>
      <c r="AD8">
        <v>311.21025000000009</v>
      </c>
      <c r="AE8">
        <v>-154.89233200000001</v>
      </c>
      <c r="AF8">
        <v>413.3896499999999</v>
      </c>
      <c r="AG8">
        <v>767.72849749999989</v>
      </c>
      <c r="AH8">
        <v>36.336649999999977</v>
      </c>
      <c r="AI8">
        <v>3.608339200000001</v>
      </c>
      <c r="AJ8">
        <v>1.4666049999999999</v>
      </c>
      <c r="AK8">
        <v>-0.32192034000000003</v>
      </c>
      <c r="AL8">
        <v>24.021436000000001</v>
      </c>
      <c r="AM8">
        <v>0.24201564</v>
      </c>
      <c r="AN8">
        <v>0.87819108000000012</v>
      </c>
      <c r="AO8">
        <v>0.27086078000000002</v>
      </c>
      <c r="AP8">
        <v>-1.1967808600000001</v>
      </c>
      <c r="AQ8">
        <v>1.9071781999999999</v>
      </c>
      <c r="AR8">
        <v>0.1322448</v>
      </c>
      <c r="AS8">
        <v>0.26377615999999998</v>
      </c>
      <c r="AT8">
        <v>-21.579742</v>
      </c>
    </row>
    <row r="9" spans="1:46" x14ac:dyDescent="0.25">
      <c r="A9">
        <v>7</v>
      </c>
      <c r="B9">
        <v>9.3238750000000188</v>
      </c>
      <c r="C9">
        <v>0.55186703296703299</v>
      </c>
      <c r="D9">
        <v>-0.60768461957334241</v>
      </c>
      <c r="E9">
        <v>-0.17276136424719141</v>
      </c>
      <c r="F9">
        <v>2.1138876254566838</v>
      </c>
      <c r="G9">
        <v>10.285337</v>
      </c>
      <c r="H9">
        <v>-11.121563</v>
      </c>
      <c r="I9">
        <v>-9.7276284999999998</v>
      </c>
      <c r="J9">
        <v>8.2791309999999996</v>
      </c>
      <c r="K9">
        <v>6.4052652999999999</v>
      </c>
      <c r="L9">
        <v>-2.5447571</v>
      </c>
      <c r="M9">
        <v>36.751448000000003</v>
      </c>
      <c r="N9">
        <v>-0.76439645999999983</v>
      </c>
      <c r="O9">
        <v>-15.995148</v>
      </c>
      <c r="P9">
        <v>40.443832</v>
      </c>
      <c r="Q9">
        <v>0.73809991999999991</v>
      </c>
      <c r="R9">
        <v>9.8300209000000009</v>
      </c>
      <c r="S9">
        <v>2.3127215100000011</v>
      </c>
      <c r="T9">
        <v>-7.1111058000000007</v>
      </c>
      <c r="U9">
        <v>-32.13112500000009</v>
      </c>
      <c r="V9">
        <v>-20.408625000000001</v>
      </c>
      <c r="W9">
        <v>95.923837499999962</v>
      </c>
      <c r="X9">
        <v>85.639525000000106</v>
      </c>
      <c r="Y9">
        <v>-14.785712499999971</v>
      </c>
      <c r="Z9">
        <v>-205.057975</v>
      </c>
      <c r="AA9">
        <v>-347.7757499999999</v>
      </c>
      <c r="AB9">
        <v>134.58134375</v>
      </c>
      <c r="AC9">
        <v>1.089499999999648</v>
      </c>
      <c r="AD9">
        <v>310.909875</v>
      </c>
      <c r="AE9">
        <v>-156.723904</v>
      </c>
      <c r="AF9">
        <v>411.58604999999989</v>
      </c>
      <c r="AG9">
        <v>788.84010124999998</v>
      </c>
      <c r="AH9">
        <v>19.28817500000001</v>
      </c>
      <c r="AI9">
        <v>3.8168223999999999</v>
      </c>
      <c r="AJ9">
        <v>1.5958675</v>
      </c>
      <c r="AK9">
        <v>-0.35931722999999999</v>
      </c>
      <c r="AL9">
        <v>25.697541999999999</v>
      </c>
      <c r="AM9">
        <v>0.28866407999999999</v>
      </c>
      <c r="AN9">
        <v>0.97180926000000012</v>
      </c>
      <c r="AO9">
        <v>0.29675890999999999</v>
      </c>
      <c r="AP9">
        <v>-1.42671367</v>
      </c>
      <c r="AQ9">
        <v>2.1842278999999998</v>
      </c>
      <c r="AR9">
        <v>0.1273146</v>
      </c>
      <c r="AS9">
        <v>0.28651502000000012</v>
      </c>
      <c r="AT9">
        <v>-25.154299000000002</v>
      </c>
    </row>
    <row r="10" spans="1:46" x14ac:dyDescent="0.25">
      <c r="A10">
        <v>8</v>
      </c>
      <c r="B10">
        <v>9.3211000000000155</v>
      </c>
      <c r="C10">
        <v>0.55131736263736264</v>
      </c>
      <c r="D10">
        <v>-0.59237233072008288</v>
      </c>
      <c r="E10">
        <v>-0.2471723894048565</v>
      </c>
      <c r="F10">
        <v>2.483662450464823</v>
      </c>
      <c r="G10">
        <v>10.248915999999999</v>
      </c>
      <c r="H10">
        <v>-11.14148</v>
      </c>
      <c r="I10">
        <v>-9.6255731999999998</v>
      </c>
      <c r="J10">
        <v>8.3702932000000008</v>
      </c>
      <c r="K10">
        <v>6.3874019999999998</v>
      </c>
      <c r="L10">
        <v>-2.7685911999999999</v>
      </c>
      <c r="M10">
        <v>36.370196</v>
      </c>
      <c r="N10">
        <v>-0.62122599999999983</v>
      </c>
      <c r="O10">
        <v>-15.996776000000001</v>
      </c>
      <c r="P10">
        <v>40.779200000000003</v>
      </c>
      <c r="Q10">
        <v>0.56736179199999981</v>
      </c>
      <c r="R10">
        <v>10.27242</v>
      </c>
      <c r="S10">
        <v>3.1805832000000009</v>
      </c>
      <c r="T10">
        <v>-7.1040964000000004</v>
      </c>
      <c r="U10">
        <v>-34.204700000000088</v>
      </c>
      <c r="V10">
        <v>-17.813500000000001</v>
      </c>
      <c r="W10">
        <v>94.118199999999973</v>
      </c>
      <c r="X10">
        <v>83.630950000000084</v>
      </c>
      <c r="Y10">
        <v>-17.157499999999992</v>
      </c>
      <c r="Z10">
        <v>-207.46879999999999</v>
      </c>
      <c r="AA10">
        <v>-355.25449999999978</v>
      </c>
      <c r="AB10">
        <v>131.191835</v>
      </c>
      <c r="AC10">
        <v>-2.68900000000031</v>
      </c>
      <c r="AD10">
        <v>309.98750000000001</v>
      </c>
      <c r="AE10">
        <v>-158.538284</v>
      </c>
      <c r="AF10">
        <v>407.79104999999993</v>
      </c>
      <c r="AG10">
        <v>805.81974500000001</v>
      </c>
      <c r="AH10">
        <v>2.7095000000000158</v>
      </c>
      <c r="AI10">
        <v>4.2792944000000013</v>
      </c>
      <c r="AJ10">
        <v>1.6572244</v>
      </c>
      <c r="AK10">
        <v>-0.39306723999999998</v>
      </c>
      <c r="AL10">
        <v>29.303808000000011</v>
      </c>
      <c r="AM10">
        <v>0.14640163999999969</v>
      </c>
      <c r="AN10">
        <v>0.99004680000000012</v>
      </c>
      <c r="AO10">
        <v>0.29729640000000002</v>
      </c>
      <c r="AP10">
        <v>-0.73431959999999874</v>
      </c>
      <c r="AQ10">
        <v>2.3443208000000002</v>
      </c>
      <c r="AR10">
        <v>0.13058471999999999</v>
      </c>
      <c r="AS10">
        <v>0.28386412</v>
      </c>
      <c r="AT10">
        <v>-27.446248000000001</v>
      </c>
    </row>
    <row r="11" spans="1:46" x14ac:dyDescent="0.25">
      <c r="A11">
        <v>9</v>
      </c>
      <c r="B11">
        <v>9.3187375000000099</v>
      </c>
      <c r="C11">
        <v>0.55077736263736266</v>
      </c>
      <c r="D11">
        <v>-0.5573904666177435</v>
      </c>
      <c r="E11">
        <v>-0.1753029561691983</v>
      </c>
      <c r="F11">
        <v>2.678380477195144</v>
      </c>
      <c r="G11">
        <v>10.209118</v>
      </c>
      <c r="H11">
        <v>-11.15714</v>
      </c>
      <c r="I11">
        <v>-9.5265561000000005</v>
      </c>
      <c r="J11">
        <v>8.4582511</v>
      </c>
      <c r="K11">
        <v>6.3656535000000014</v>
      </c>
      <c r="L11">
        <v>-2.9966251000000002</v>
      </c>
      <c r="M11">
        <v>35.976832999999999</v>
      </c>
      <c r="N11">
        <v>-0.48327624999999991</v>
      </c>
      <c r="O11">
        <v>-16.004498000000002</v>
      </c>
      <c r="P11">
        <v>41.113325000000003</v>
      </c>
      <c r="Q11">
        <v>0.39367381599999979</v>
      </c>
      <c r="R11">
        <v>10.709009999999999</v>
      </c>
      <c r="S11">
        <v>4.0775961000000009</v>
      </c>
      <c r="T11">
        <v>-7.1248972000000004</v>
      </c>
      <c r="U11">
        <v>-36.216537500000072</v>
      </c>
      <c r="V11">
        <v>-15.24175</v>
      </c>
      <c r="W11">
        <v>92.402350000000013</v>
      </c>
      <c r="X11">
        <v>81.179350000000042</v>
      </c>
      <c r="Y11">
        <v>-19.57906250000001</v>
      </c>
      <c r="Z11">
        <v>-209.323025</v>
      </c>
      <c r="AA11">
        <v>-363.34099999999972</v>
      </c>
      <c r="AB11">
        <v>127.0202675</v>
      </c>
      <c r="AC11">
        <v>-6.8470000000002118</v>
      </c>
      <c r="AD11">
        <v>308.63749999999999</v>
      </c>
      <c r="AE11">
        <v>-160.3408445</v>
      </c>
      <c r="AF11">
        <v>402.62696249999999</v>
      </c>
      <c r="AG11">
        <v>819.95866624999996</v>
      </c>
      <c r="AH11">
        <v>-13.546187499999981</v>
      </c>
      <c r="AI11">
        <v>4.9163837000000008</v>
      </c>
      <c r="AJ11">
        <v>1.6718961999999999</v>
      </c>
      <c r="AK11">
        <v>-0.42431002000000012</v>
      </c>
      <c r="AL11">
        <v>34.237059000000002</v>
      </c>
      <c r="AM11">
        <v>-0.12573703000000019</v>
      </c>
      <c r="AN11">
        <v>0.95646015000000006</v>
      </c>
      <c r="AO11">
        <v>0.28039845000000002</v>
      </c>
      <c r="AP11">
        <v>0.59217420000000098</v>
      </c>
      <c r="AQ11">
        <v>2.4240059</v>
      </c>
      <c r="AR11">
        <v>0.13949255999999999</v>
      </c>
      <c r="AS11">
        <v>0.26375776000000001</v>
      </c>
      <c r="AT11">
        <v>-28.856404000000001</v>
      </c>
    </row>
    <row r="12" spans="1:46" x14ac:dyDescent="0.25">
      <c r="A12">
        <v>10</v>
      </c>
      <c r="B12">
        <v>9.3163750000000043</v>
      </c>
      <c r="C12">
        <v>0.55023736263736267</v>
      </c>
      <c r="D12">
        <v>-0.35701560758160722</v>
      </c>
      <c r="E12">
        <v>-0.1142672206444362</v>
      </c>
      <c r="F12">
        <v>2.5972441401432951</v>
      </c>
      <c r="G12">
        <v>10.169320000000001</v>
      </c>
      <c r="H12">
        <v>-11.172800000000001</v>
      </c>
      <c r="I12">
        <v>-9.4275389999999994</v>
      </c>
      <c r="J12">
        <v>8.5462090000000011</v>
      </c>
      <c r="K12">
        <v>6.3439050000000003</v>
      </c>
      <c r="L12">
        <v>-3.2246589999999999</v>
      </c>
      <c r="M12">
        <v>35.583469999999998</v>
      </c>
      <c r="N12">
        <v>-0.34532649999999993</v>
      </c>
      <c r="O12">
        <v>-16.012219999999999</v>
      </c>
      <c r="P12">
        <v>41.447450000000003</v>
      </c>
      <c r="Q12">
        <v>0.2199858399999999</v>
      </c>
      <c r="R12">
        <v>11.1456</v>
      </c>
      <c r="S12">
        <v>4.9746090000000009</v>
      </c>
      <c r="T12">
        <v>-7.1456980000000003</v>
      </c>
      <c r="U12">
        <v>-38.22837500000005</v>
      </c>
      <c r="V12">
        <v>-12.67</v>
      </c>
      <c r="W12">
        <v>90.686500000000038</v>
      </c>
      <c r="X12">
        <v>78.727749999999986</v>
      </c>
      <c r="Y12">
        <v>-22.000625000000031</v>
      </c>
      <c r="Z12">
        <v>-211.17724999999999</v>
      </c>
      <c r="AA12">
        <v>-371.4274999999995</v>
      </c>
      <c r="AB12">
        <v>122.84869999999999</v>
      </c>
      <c r="AC12">
        <v>-11.005000000000109</v>
      </c>
      <c r="AD12">
        <v>307.28750000000002</v>
      </c>
      <c r="AE12">
        <v>-162.143405</v>
      </c>
      <c r="AF12">
        <v>397.462875</v>
      </c>
      <c r="AG12">
        <v>834.09758750000003</v>
      </c>
      <c r="AH12">
        <v>-29.801874999999981</v>
      </c>
      <c r="AI12">
        <v>5.5534730000000003</v>
      </c>
      <c r="AJ12">
        <v>1.6865680000000001</v>
      </c>
      <c r="AK12">
        <v>-0.45555279999999998</v>
      </c>
      <c r="AL12">
        <v>39.170310000000001</v>
      </c>
      <c r="AM12">
        <v>-0.39787570000000022</v>
      </c>
      <c r="AN12">
        <v>0.92287350000000001</v>
      </c>
      <c r="AO12">
        <v>0.26350050000000003</v>
      </c>
      <c r="AP12">
        <v>1.9186680000000009</v>
      </c>
      <c r="AQ12">
        <v>2.5036909999999999</v>
      </c>
      <c r="AR12">
        <v>0.14840039999999999</v>
      </c>
      <c r="AS12">
        <v>0.24365139999999999</v>
      </c>
      <c r="AT12">
        <v>-30.266559999999998</v>
      </c>
    </row>
    <row r="13" spans="1:46" x14ac:dyDescent="0.25">
      <c r="A13">
        <v>11</v>
      </c>
      <c r="B13">
        <v>9.3140124999999987</v>
      </c>
      <c r="C13">
        <v>0.54969736263736257</v>
      </c>
      <c r="D13">
        <v>-0.10053403066831371</v>
      </c>
      <c r="E13">
        <v>-4.6424509841970628E-2</v>
      </c>
      <c r="F13">
        <v>2.4887726185354939</v>
      </c>
      <c r="G13">
        <v>10.129522</v>
      </c>
      <c r="H13">
        <v>-11.188459999999999</v>
      </c>
      <c r="I13">
        <v>-9.3285219000000001</v>
      </c>
      <c r="J13">
        <v>8.6341669000000003</v>
      </c>
      <c r="K13">
        <v>6.3221565000000002</v>
      </c>
      <c r="L13">
        <v>-3.4526929000000002</v>
      </c>
      <c r="M13">
        <v>35.190106999999998</v>
      </c>
      <c r="N13">
        <v>-0.20737674999999989</v>
      </c>
      <c r="O13">
        <v>-16.019942</v>
      </c>
      <c r="P13">
        <v>41.781574999999997</v>
      </c>
      <c r="Q13">
        <v>4.6297863999999911E-2</v>
      </c>
      <c r="R13">
        <v>11.582190000000001</v>
      </c>
      <c r="S13">
        <v>5.8716219000000001</v>
      </c>
      <c r="T13">
        <v>-7.1664987999999994</v>
      </c>
      <c r="U13">
        <v>-40.240212500000027</v>
      </c>
      <c r="V13">
        <v>-10.09825</v>
      </c>
      <c r="W13">
        <v>88.970650000000063</v>
      </c>
      <c r="X13">
        <v>76.27614999999993</v>
      </c>
      <c r="Y13">
        <v>-24.422187500000049</v>
      </c>
      <c r="Z13">
        <v>-213.031475</v>
      </c>
      <c r="AA13">
        <v>-379.51399999999938</v>
      </c>
      <c r="AB13">
        <v>118.6771325</v>
      </c>
      <c r="AC13">
        <v>-15.163000000000009</v>
      </c>
      <c r="AD13">
        <v>305.93750000000011</v>
      </c>
      <c r="AE13">
        <v>-163.9459655</v>
      </c>
      <c r="AF13">
        <v>392.29878750000012</v>
      </c>
      <c r="AG13">
        <v>848.23650874999998</v>
      </c>
      <c r="AH13">
        <v>-46.057562499999989</v>
      </c>
      <c r="AI13">
        <v>6.1905622999999999</v>
      </c>
      <c r="AJ13">
        <v>1.7012398</v>
      </c>
      <c r="AK13">
        <v>-0.48679558000000001</v>
      </c>
      <c r="AL13">
        <v>44.103560999999999</v>
      </c>
      <c r="AM13">
        <v>-0.67001437000000019</v>
      </c>
      <c r="AN13">
        <v>0.88928684999999996</v>
      </c>
      <c r="AO13">
        <v>0.24660255</v>
      </c>
      <c r="AP13">
        <v>3.2451618000000009</v>
      </c>
      <c r="AQ13">
        <v>2.5833761000000002</v>
      </c>
      <c r="AR13">
        <v>0.15730823999999999</v>
      </c>
      <c r="AS13">
        <v>0.22354504</v>
      </c>
      <c r="AT13">
        <v>-31.676715999999999</v>
      </c>
    </row>
    <row r="14" spans="1:46" x14ac:dyDescent="0.25">
      <c r="A14">
        <v>12</v>
      </c>
      <c r="B14">
        <v>9.3122499999999935</v>
      </c>
      <c r="C14">
        <v>0.54918703296703297</v>
      </c>
      <c r="D14">
        <v>2.5920444485152499E-2</v>
      </c>
      <c r="E14">
        <v>-4.3680789958820729E-2</v>
      </c>
      <c r="F14">
        <v>2.4623162297568619</v>
      </c>
      <c r="G14">
        <v>10.082785599999999</v>
      </c>
      <c r="H14">
        <v>-11.195119999999999</v>
      </c>
      <c r="I14">
        <v>-9.2350776000000003</v>
      </c>
      <c r="J14">
        <v>8.7116824000000008</v>
      </c>
      <c r="K14">
        <v>6.2916648000000004</v>
      </c>
      <c r="L14">
        <v>-3.6847492000000002</v>
      </c>
      <c r="M14">
        <v>34.765664000000001</v>
      </c>
      <c r="N14">
        <v>-8.7700840000000099E-2</v>
      </c>
      <c r="O14">
        <v>-16.043935999999999</v>
      </c>
      <c r="P14">
        <v>42.108812</v>
      </c>
      <c r="Q14">
        <v>-0.13377228799999991</v>
      </c>
      <c r="R14">
        <v>11.994732000000001</v>
      </c>
      <c r="S14">
        <v>6.8055755999999992</v>
      </c>
      <c r="T14">
        <v>-7.2422187999999998</v>
      </c>
      <c r="U14">
        <v>-42.171050000000022</v>
      </c>
      <c r="V14">
        <v>-7.6194999999999986</v>
      </c>
      <c r="W14">
        <v>87.576400000000078</v>
      </c>
      <c r="X14">
        <v>73.085949999999912</v>
      </c>
      <c r="Y14">
        <v>-26.87585000000005</v>
      </c>
      <c r="Z14">
        <v>-213.5531</v>
      </c>
      <c r="AA14">
        <v>-388.57249999999948</v>
      </c>
      <c r="AB14">
        <v>112.82085499999999</v>
      </c>
      <c r="AC14">
        <v>-19.963000000000012</v>
      </c>
      <c r="AD14">
        <v>303.40550000000007</v>
      </c>
      <c r="AE14">
        <v>-165.716126</v>
      </c>
      <c r="AF14">
        <v>384.54900000000009</v>
      </c>
      <c r="AG14">
        <v>855.37099999999998</v>
      </c>
      <c r="AH14">
        <v>-60.220149999999968</v>
      </c>
      <c r="AI14">
        <v>6.3260779999999999</v>
      </c>
      <c r="AJ14">
        <v>1.8287692</v>
      </c>
      <c r="AK14">
        <v>-0.52025091999999995</v>
      </c>
      <c r="AL14">
        <v>45.744971999999997</v>
      </c>
      <c r="AM14">
        <v>-0.64078840000000004</v>
      </c>
      <c r="AN14">
        <v>0.95884259999999988</v>
      </c>
      <c r="AO14">
        <v>0.26641859999999989</v>
      </c>
      <c r="AP14">
        <v>3.0833699999999999</v>
      </c>
      <c r="AQ14">
        <v>2.6749003999999998</v>
      </c>
      <c r="AR14">
        <v>0.16521263999999999</v>
      </c>
      <c r="AS14">
        <v>0.24100443999999999</v>
      </c>
      <c r="AT14">
        <v>-33.039352000000001</v>
      </c>
    </row>
    <row r="15" spans="1:46" x14ac:dyDescent="0.25">
      <c r="A15">
        <v>13</v>
      </c>
      <c r="B15">
        <v>9.3105624999999872</v>
      </c>
      <c r="C15">
        <v>0.54868041208791207</v>
      </c>
      <c r="D15">
        <v>8.3231277775748971E-2</v>
      </c>
      <c r="E15">
        <v>-5.0277866452509069E-2</v>
      </c>
      <c r="F15">
        <v>2.5796351773532811</v>
      </c>
      <c r="G15">
        <v>10.0351819</v>
      </c>
      <c r="H15">
        <v>-11.200654999999999</v>
      </c>
      <c r="I15">
        <v>-9.1423299</v>
      </c>
      <c r="J15">
        <v>8.7878925999999993</v>
      </c>
      <c r="K15">
        <v>6.2600802</v>
      </c>
      <c r="L15">
        <v>-3.9173083000000002</v>
      </c>
      <c r="M15">
        <v>34.337336000000001</v>
      </c>
      <c r="N15">
        <v>2.9690839999999941E-2</v>
      </c>
      <c r="O15">
        <v>-16.069963999999999</v>
      </c>
      <c r="P15">
        <v>42.435187999999997</v>
      </c>
      <c r="Q15">
        <v>-0.31464021199999992</v>
      </c>
      <c r="R15">
        <v>12.404268</v>
      </c>
      <c r="S15">
        <v>7.7441468999999996</v>
      </c>
      <c r="T15">
        <v>-7.3248037000000004</v>
      </c>
      <c r="U15">
        <v>-44.091762500000037</v>
      </c>
      <c r="V15">
        <v>-5.152374999999993</v>
      </c>
      <c r="W15">
        <v>86.222350000000077</v>
      </c>
      <c r="X15">
        <v>69.803424999999905</v>
      </c>
      <c r="Y15">
        <v>-29.333525000000058</v>
      </c>
      <c r="Z15">
        <v>-213.90815000000001</v>
      </c>
      <c r="AA15">
        <v>-397.75249999999971</v>
      </c>
      <c r="AB15">
        <v>106.75398875</v>
      </c>
      <c r="AC15">
        <v>-24.84325000000003</v>
      </c>
      <c r="AD15">
        <v>300.72575000000012</v>
      </c>
      <c r="AE15">
        <v>-167.4822365</v>
      </c>
      <c r="AF15">
        <v>376.47600000000011</v>
      </c>
      <c r="AG15">
        <v>861.62993749999998</v>
      </c>
      <c r="AH15">
        <v>-74.12109999999997</v>
      </c>
      <c r="AI15">
        <v>6.3988970000000007</v>
      </c>
      <c r="AJ15">
        <v>1.9704058</v>
      </c>
      <c r="AK15">
        <v>-0.55398283000000004</v>
      </c>
      <c r="AL15">
        <v>46.974902999999998</v>
      </c>
      <c r="AM15">
        <v>-0.57389185000000009</v>
      </c>
      <c r="AN15">
        <v>1.0412911499999999</v>
      </c>
      <c r="AO15">
        <v>0.29082390000000002</v>
      </c>
      <c r="AP15">
        <v>2.7355425000000002</v>
      </c>
      <c r="AQ15">
        <v>2.7679046</v>
      </c>
      <c r="AR15">
        <v>0.17299160999999999</v>
      </c>
      <c r="AS15">
        <v>0.26315956000000001</v>
      </c>
      <c r="AT15">
        <v>-34.396048</v>
      </c>
    </row>
    <row r="16" spans="1:46" x14ac:dyDescent="0.25">
      <c r="A16">
        <v>14</v>
      </c>
      <c r="B16">
        <v>9.3088749999999809</v>
      </c>
      <c r="C16">
        <v>0.54817379120879117</v>
      </c>
      <c r="D16">
        <v>0.1111818625711672</v>
      </c>
      <c r="E16">
        <v>-7.3489026639134869E-2</v>
      </c>
      <c r="F16">
        <v>2.7085350903792809</v>
      </c>
      <c r="G16">
        <v>9.9875781999999997</v>
      </c>
      <c r="H16">
        <v>-11.206189999999999</v>
      </c>
      <c r="I16">
        <v>-9.0495821999999997</v>
      </c>
      <c r="J16">
        <v>8.8641027999999995</v>
      </c>
      <c r="K16">
        <v>6.2284955999999996</v>
      </c>
      <c r="L16">
        <v>-4.1498673999999998</v>
      </c>
      <c r="M16">
        <v>33.909008</v>
      </c>
      <c r="N16">
        <v>0.14708251999999999</v>
      </c>
      <c r="O16">
        <v>-16.095991999999999</v>
      </c>
      <c r="P16">
        <v>42.761564</v>
      </c>
      <c r="Q16">
        <v>-0.49550813599999999</v>
      </c>
      <c r="R16">
        <v>12.813803999999999</v>
      </c>
      <c r="S16">
        <v>8.6827182000000001</v>
      </c>
      <c r="T16">
        <v>-7.4073886</v>
      </c>
      <c r="U16">
        <v>-46.012475000000038</v>
      </c>
      <c r="V16">
        <v>-2.685249999999987</v>
      </c>
      <c r="W16">
        <v>84.86830000000009</v>
      </c>
      <c r="X16">
        <v>66.520899999999898</v>
      </c>
      <c r="Y16">
        <v>-31.79120000000006</v>
      </c>
      <c r="Z16">
        <v>-214.26320000000001</v>
      </c>
      <c r="AA16">
        <v>-406.93249999999989</v>
      </c>
      <c r="AB16">
        <v>100.6871225</v>
      </c>
      <c r="AC16">
        <v>-29.72350000000004</v>
      </c>
      <c r="AD16">
        <v>298.04600000000011</v>
      </c>
      <c r="AE16">
        <v>-169.248347</v>
      </c>
      <c r="AF16">
        <v>368.40300000000008</v>
      </c>
      <c r="AG16">
        <v>867.88887499999998</v>
      </c>
      <c r="AH16">
        <v>-88.022049999999979</v>
      </c>
      <c r="AI16">
        <v>6.4717160000000007</v>
      </c>
      <c r="AJ16">
        <v>2.1120424</v>
      </c>
      <c r="AK16">
        <v>-0.58771474000000001</v>
      </c>
      <c r="AL16">
        <v>48.204833999999998</v>
      </c>
      <c r="AM16">
        <v>-0.50699530000000004</v>
      </c>
      <c r="AN16">
        <v>1.1237397</v>
      </c>
      <c r="AO16">
        <v>0.31522919999999999</v>
      </c>
      <c r="AP16">
        <v>2.387715</v>
      </c>
      <c r="AQ16">
        <v>2.8609087999999998</v>
      </c>
      <c r="AR16">
        <v>0.18077057999999999</v>
      </c>
      <c r="AS16">
        <v>0.28531467999999999</v>
      </c>
      <c r="AT16">
        <v>-35.752744</v>
      </c>
    </row>
    <row r="17" spans="1:46" x14ac:dyDescent="0.25">
      <c r="A17">
        <v>15</v>
      </c>
      <c r="B17">
        <v>9.307312499999977</v>
      </c>
      <c r="C17">
        <v>0.54767439560439557</v>
      </c>
      <c r="D17">
        <v>0.1116200565203309</v>
      </c>
      <c r="E17">
        <v>-9.2055216683552724E-2</v>
      </c>
      <c r="F17">
        <v>2.819742611081586</v>
      </c>
      <c r="G17">
        <v>9.9385745000000014</v>
      </c>
      <c r="H17">
        <v>-11.209944999999999</v>
      </c>
      <c r="I17">
        <v>-8.9576794999999994</v>
      </c>
      <c r="J17">
        <v>8.9376254999999993</v>
      </c>
      <c r="K17">
        <v>6.1950914999999993</v>
      </c>
      <c r="L17">
        <v>-4.3821145000000001</v>
      </c>
      <c r="M17">
        <v>33.473554999999998</v>
      </c>
      <c r="N17">
        <v>0.2592933</v>
      </c>
      <c r="O17">
        <v>-16.125859999999999</v>
      </c>
      <c r="P17">
        <v>43.085405000000002</v>
      </c>
      <c r="Q17">
        <v>-0.67766289999999996</v>
      </c>
      <c r="R17">
        <v>13.216390000000001</v>
      </c>
      <c r="S17">
        <v>9.6228660000000001</v>
      </c>
      <c r="T17">
        <v>-7.4991260000000004</v>
      </c>
      <c r="U17">
        <v>-47.926250000000053</v>
      </c>
      <c r="V17">
        <v>-0.24624999999999159</v>
      </c>
      <c r="W17">
        <v>83.60400000000007</v>
      </c>
      <c r="X17">
        <v>63.140312499999887</v>
      </c>
      <c r="Y17">
        <v>-34.24443750000006</v>
      </c>
      <c r="Z17">
        <v>-214.327125</v>
      </c>
      <c r="AA17">
        <v>-416.23312500000009</v>
      </c>
      <c r="AB17">
        <v>94.293700000000001</v>
      </c>
      <c r="AC17">
        <v>-34.690000000000062</v>
      </c>
      <c r="AD17">
        <v>295.05625000000009</v>
      </c>
      <c r="AE17">
        <v>-170.99189250000001</v>
      </c>
      <c r="AF17">
        <v>359.9</v>
      </c>
      <c r="AG17">
        <v>872.57818750000001</v>
      </c>
      <c r="AH17">
        <v>-101.249875</v>
      </c>
      <c r="AI17">
        <v>6.4703175000000002</v>
      </c>
      <c r="AJ17">
        <v>2.2295060000000002</v>
      </c>
      <c r="AK17">
        <v>-0.61552740000000006</v>
      </c>
      <c r="AL17">
        <v>48.858874999999998</v>
      </c>
      <c r="AM17">
        <v>-0.39113320000000001</v>
      </c>
      <c r="AN17">
        <v>1.2066085</v>
      </c>
      <c r="AO17">
        <v>0.33767550000000002</v>
      </c>
      <c r="AP17">
        <v>1.8308779999999989</v>
      </c>
      <c r="AQ17">
        <v>2.9606400000000002</v>
      </c>
      <c r="AR17">
        <v>0.1884701</v>
      </c>
      <c r="AS17">
        <v>0.30581449999999999</v>
      </c>
      <c r="AT17">
        <v>-37.126649999999998</v>
      </c>
    </row>
    <row r="18" spans="1:46" x14ac:dyDescent="0.25">
      <c r="A18">
        <v>16</v>
      </c>
      <c r="B18">
        <v>9.3062999999999771</v>
      </c>
      <c r="C18">
        <v>0.54720679120879123</v>
      </c>
      <c r="D18">
        <v>8.1515517154371345E-2</v>
      </c>
      <c r="E18">
        <v>-0.1082908704973026</v>
      </c>
      <c r="F18">
        <v>2.9404160272129078</v>
      </c>
      <c r="G18">
        <v>9.8834108000000001</v>
      </c>
      <c r="H18">
        <v>-11.205868000000001</v>
      </c>
      <c r="I18">
        <v>-8.8694948</v>
      </c>
      <c r="J18">
        <v>8.9993231999999992</v>
      </c>
      <c r="K18">
        <v>6.1536815999999996</v>
      </c>
      <c r="L18">
        <v>-4.6129888000000001</v>
      </c>
      <c r="M18">
        <v>33.006751999999999</v>
      </c>
      <c r="N18">
        <v>0.34870812000000012</v>
      </c>
      <c r="O18">
        <v>-16.172623999999999</v>
      </c>
      <c r="P18">
        <v>43.398092000000013</v>
      </c>
      <c r="Q18">
        <v>-0.86547976000000015</v>
      </c>
      <c r="R18">
        <v>13.588395999999999</v>
      </c>
      <c r="S18">
        <v>10.5699504</v>
      </c>
      <c r="T18">
        <v>-7.6311344000000014</v>
      </c>
      <c r="U18">
        <v>-49.809500000000043</v>
      </c>
      <c r="V18">
        <v>2.0689999999999489</v>
      </c>
      <c r="W18">
        <v>82.734600000000015</v>
      </c>
      <c r="X18">
        <v>59.328249999999969</v>
      </c>
      <c r="Y18">
        <v>-36.678150000000038</v>
      </c>
      <c r="Z18">
        <v>-213.11009999999999</v>
      </c>
      <c r="AA18">
        <v>-426.06450000000018</v>
      </c>
      <c r="AB18">
        <v>86.463429999999988</v>
      </c>
      <c r="AC18">
        <v>-40.036000000000072</v>
      </c>
      <c r="AD18">
        <v>290.70249999999987</v>
      </c>
      <c r="AE18">
        <v>-172.63615200000001</v>
      </c>
      <c r="AF18">
        <v>349.505</v>
      </c>
      <c r="AG18">
        <v>870.36114999999995</v>
      </c>
      <c r="AH18">
        <v>-111.51595</v>
      </c>
      <c r="AI18">
        <v>6.1423620000000003</v>
      </c>
      <c r="AJ18">
        <v>2.2406084000000002</v>
      </c>
      <c r="AK18">
        <v>-0.61729536000000007</v>
      </c>
      <c r="AL18">
        <v>46.978999999999999</v>
      </c>
      <c r="AM18">
        <v>-5.9822679999999788E-2</v>
      </c>
      <c r="AN18">
        <v>1.2913264</v>
      </c>
      <c r="AO18">
        <v>0.35150219999999999</v>
      </c>
      <c r="AP18">
        <v>0.35439919999999892</v>
      </c>
      <c r="AQ18">
        <v>3.0899700000000001</v>
      </c>
      <c r="AR18">
        <v>0.19582004</v>
      </c>
      <c r="AS18">
        <v>0.31903100000000001</v>
      </c>
      <c r="AT18">
        <v>-38.576279999999997</v>
      </c>
    </row>
    <row r="19" spans="1:46" x14ac:dyDescent="0.25">
      <c r="A19">
        <v>17</v>
      </c>
      <c r="B19">
        <v>9.3052874999999773</v>
      </c>
      <c r="C19">
        <v>0.54673918681318689</v>
      </c>
      <c r="D19">
        <v>3.9214955397660393E-2</v>
      </c>
      <c r="E19">
        <v>-0.1171283984108011</v>
      </c>
      <c r="F19">
        <v>3.0945553791725442</v>
      </c>
      <c r="G19">
        <v>9.8282471000000005</v>
      </c>
      <c r="H19">
        <v>-11.201791</v>
      </c>
      <c r="I19">
        <v>-8.7813100999999989</v>
      </c>
      <c r="J19">
        <v>9.061020899999999</v>
      </c>
      <c r="K19">
        <v>6.1122717</v>
      </c>
      <c r="L19">
        <v>-4.8438631000000001</v>
      </c>
      <c r="M19">
        <v>32.539949</v>
      </c>
      <c r="N19">
        <v>0.43812294000000002</v>
      </c>
      <c r="O19">
        <v>-16.219387999999999</v>
      </c>
      <c r="P19">
        <v>43.710779000000002</v>
      </c>
      <c r="Q19">
        <v>-1.05329662</v>
      </c>
      <c r="R19">
        <v>13.960402</v>
      </c>
      <c r="S19">
        <v>11.517034799999999</v>
      </c>
      <c r="T19">
        <v>-7.7631427999999998</v>
      </c>
      <c r="U19">
        <v>-51.692750000000018</v>
      </c>
      <c r="V19">
        <v>4.3842499999998861</v>
      </c>
      <c r="W19">
        <v>81.865199999999959</v>
      </c>
      <c r="X19">
        <v>55.516187500000044</v>
      </c>
      <c r="Y19">
        <v>-39.111862500000022</v>
      </c>
      <c r="Z19">
        <v>-211.89307500000001</v>
      </c>
      <c r="AA19">
        <v>-435.89587500000027</v>
      </c>
      <c r="AB19">
        <v>78.633160000000004</v>
      </c>
      <c r="AC19">
        <v>-45.382000000000083</v>
      </c>
      <c r="AD19">
        <v>286.34874999999982</v>
      </c>
      <c r="AE19">
        <v>-174.28041150000001</v>
      </c>
      <c r="AF19">
        <v>339.11</v>
      </c>
      <c r="AG19">
        <v>868.14411249999989</v>
      </c>
      <c r="AH19">
        <v>-121.782025</v>
      </c>
      <c r="AI19">
        <v>5.8144064999999996</v>
      </c>
      <c r="AJ19">
        <v>2.2517108000000001</v>
      </c>
      <c r="AK19">
        <v>-0.61906332000000008</v>
      </c>
      <c r="AL19">
        <v>45.099125000000001</v>
      </c>
      <c r="AM19">
        <v>0.27148783999999981</v>
      </c>
      <c r="AN19">
        <v>1.3760443</v>
      </c>
      <c r="AO19">
        <v>0.36532890000000001</v>
      </c>
      <c r="AP19">
        <v>-1.1220795999999991</v>
      </c>
      <c r="AQ19">
        <v>3.2193000000000001</v>
      </c>
      <c r="AR19">
        <v>0.20316998</v>
      </c>
      <c r="AS19">
        <v>0.33224749999999997</v>
      </c>
      <c r="AT19">
        <v>-40.025910000000003</v>
      </c>
    </row>
    <row r="20" spans="1:46" x14ac:dyDescent="0.25">
      <c r="A20">
        <v>18</v>
      </c>
      <c r="B20">
        <v>9.3042749999999792</v>
      </c>
      <c r="C20">
        <v>0.54627158241758245</v>
      </c>
      <c r="D20">
        <v>1.591037333485076E-2</v>
      </c>
      <c r="E20">
        <v>-0.13081651103004979</v>
      </c>
      <c r="F20">
        <v>3.248851360013187</v>
      </c>
      <c r="G20">
        <v>9.7730833999999991</v>
      </c>
      <c r="H20">
        <v>-11.197714</v>
      </c>
      <c r="I20">
        <v>-8.6931253999999996</v>
      </c>
      <c r="J20">
        <v>9.1227185999999989</v>
      </c>
      <c r="K20">
        <v>6.0708617999999994</v>
      </c>
      <c r="L20">
        <v>-5.0747374000000001</v>
      </c>
      <c r="M20">
        <v>32.073146000000001</v>
      </c>
      <c r="N20">
        <v>0.52753776000000008</v>
      </c>
      <c r="O20">
        <v>-16.266152000000002</v>
      </c>
      <c r="P20">
        <v>44.023465999999999</v>
      </c>
      <c r="Q20">
        <v>-1.2411134800000001</v>
      </c>
      <c r="R20">
        <v>14.332407999999999</v>
      </c>
      <c r="S20">
        <v>12.464119200000001</v>
      </c>
      <c r="T20">
        <v>-7.8951511999999999</v>
      </c>
      <c r="U20">
        <v>-53.576000000000008</v>
      </c>
      <c r="V20">
        <v>6.6994999999998308</v>
      </c>
      <c r="W20">
        <v>80.995799999999889</v>
      </c>
      <c r="X20">
        <v>51.704125000000097</v>
      </c>
      <c r="Y20">
        <v>-41.545575000000007</v>
      </c>
      <c r="Z20">
        <v>-210.67605</v>
      </c>
      <c r="AA20">
        <v>-445.72725000000042</v>
      </c>
      <c r="AB20">
        <v>70.802889999999977</v>
      </c>
      <c r="AC20">
        <v>-50.728000000000101</v>
      </c>
      <c r="AD20">
        <v>281.99499999999961</v>
      </c>
      <c r="AE20">
        <v>-175.92467099999999</v>
      </c>
      <c r="AF20">
        <v>328.71499999999992</v>
      </c>
      <c r="AG20">
        <v>865.92707499999995</v>
      </c>
      <c r="AH20">
        <v>-132.04810000000009</v>
      </c>
      <c r="AI20">
        <v>5.4864509999999989</v>
      </c>
      <c r="AJ20">
        <v>2.2628132000000001</v>
      </c>
      <c r="AK20">
        <v>-0.6208312800000001</v>
      </c>
      <c r="AL20">
        <v>43.219250000000002</v>
      </c>
      <c r="AM20">
        <v>0.60279836000000042</v>
      </c>
      <c r="AN20">
        <v>1.4607622</v>
      </c>
      <c r="AO20">
        <v>0.37915559999999998</v>
      </c>
      <c r="AP20">
        <v>-2.5985584000000022</v>
      </c>
      <c r="AQ20">
        <v>3.34863</v>
      </c>
      <c r="AR20">
        <v>0.21051992</v>
      </c>
      <c r="AS20">
        <v>0.34546399999999999</v>
      </c>
      <c r="AT20">
        <v>-41.475540000000002</v>
      </c>
    </row>
    <row r="21" spans="1:46" x14ac:dyDescent="0.25">
      <c r="A21">
        <v>19</v>
      </c>
      <c r="B21">
        <v>9.3039124999999832</v>
      </c>
      <c r="C21">
        <v>0.54582576373626379</v>
      </c>
      <c r="D21">
        <v>1.7925506857994961E-2</v>
      </c>
      <c r="E21">
        <v>-0.13193182033341219</v>
      </c>
      <c r="F21">
        <v>3.3957575032318652</v>
      </c>
      <c r="G21">
        <v>9.7143056999999988</v>
      </c>
      <c r="H21">
        <v>-11.189347</v>
      </c>
      <c r="I21">
        <v>-8.606092499999999</v>
      </c>
      <c r="J21">
        <v>9.1767202999999995</v>
      </c>
      <c r="K21">
        <v>6.0248083000000001</v>
      </c>
      <c r="L21">
        <v>-5.3017351000000001</v>
      </c>
      <c r="M21">
        <v>31.586998999999999</v>
      </c>
      <c r="N21">
        <v>0.60026188000000003</v>
      </c>
      <c r="O21">
        <v>-16.323523999999999</v>
      </c>
      <c r="P21">
        <v>44.325974000000002</v>
      </c>
      <c r="Q21">
        <v>-1.431918</v>
      </c>
      <c r="R21">
        <v>14.682444</v>
      </c>
      <c r="S21">
        <v>13.398565</v>
      </c>
      <c r="T21">
        <v>-8.0429064999999991</v>
      </c>
      <c r="U21">
        <v>-55.465424999999989</v>
      </c>
      <c r="V21">
        <v>8.9253749999998302</v>
      </c>
      <c r="W21">
        <v>80.411099999999877</v>
      </c>
      <c r="X21">
        <v>47.794237500000143</v>
      </c>
      <c r="Y21">
        <v>-43.955725000000001</v>
      </c>
      <c r="Z21">
        <v>-208.70063750000011</v>
      </c>
      <c r="AA21">
        <v>-455.65775000000042</v>
      </c>
      <c r="AB21">
        <v>62.239419999999988</v>
      </c>
      <c r="AC21">
        <v>-56.140625000000057</v>
      </c>
      <c r="AD21">
        <v>276.65974999999952</v>
      </c>
      <c r="AE21">
        <v>-177.41915750000001</v>
      </c>
      <c r="AF21">
        <v>317.48149999999993</v>
      </c>
      <c r="AG21">
        <v>859.52029999999991</v>
      </c>
      <c r="AH21">
        <v>-140.16462500000009</v>
      </c>
      <c r="AI21">
        <v>5.2275203000000001</v>
      </c>
      <c r="AJ21">
        <v>2.2416027999999999</v>
      </c>
      <c r="AK21">
        <v>-0.61209940000000007</v>
      </c>
      <c r="AL21">
        <v>41.776552000000002</v>
      </c>
      <c r="AM21">
        <v>0.88010363000000003</v>
      </c>
      <c r="AN21">
        <v>1.5190706</v>
      </c>
      <c r="AO21">
        <v>0.39173950000000002</v>
      </c>
      <c r="AP21">
        <v>-3.7330877999999998</v>
      </c>
      <c r="AQ21">
        <v>3.4625446000000002</v>
      </c>
      <c r="AR21">
        <v>0.22093863999999999</v>
      </c>
      <c r="AS21">
        <v>0.35746682000000002</v>
      </c>
      <c r="AT21">
        <v>-42.484197000000002</v>
      </c>
    </row>
    <row r="22" spans="1:46" x14ac:dyDescent="0.25">
      <c r="A22">
        <v>20</v>
      </c>
      <c r="B22">
        <v>9.3042499999999908</v>
      </c>
      <c r="C22">
        <v>0.54540340659340669</v>
      </c>
      <c r="D22">
        <v>3.4723955796284678E-2</v>
      </c>
      <c r="E22">
        <v>-0.1320208595014625</v>
      </c>
      <c r="F22">
        <v>3.4910199137941529</v>
      </c>
      <c r="G22">
        <v>9.6516359999999999</v>
      </c>
      <c r="H22">
        <v>-11.176360000000001</v>
      </c>
      <c r="I22">
        <v>-8.5203000000000007</v>
      </c>
      <c r="J22">
        <v>9.2224339999999998</v>
      </c>
      <c r="K22">
        <v>5.9737539999999996</v>
      </c>
      <c r="L22">
        <v>-5.5245580000000007</v>
      </c>
      <c r="M22">
        <v>31.080020000000001</v>
      </c>
      <c r="N22">
        <v>0.65501140000000002</v>
      </c>
      <c r="O22">
        <v>-16.392320000000002</v>
      </c>
      <c r="P22">
        <v>44.617519999999999</v>
      </c>
      <c r="Q22">
        <v>-1.6259399999999999</v>
      </c>
      <c r="R22">
        <v>15.00882</v>
      </c>
      <c r="S22">
        <v>14.3194</v>
      </c>
      <c r="T22">
        <v>-8.2076200000000004</v>
      </c>
      <c r="U22">
        <v>-57.361499999999978</v>
      </c>
      <c r="V22">
        <v>11.054999999999909</v>
      </c>
      <c r="W22">
        <v>80.13299999999991</v>
      </c>
      <c r="X22">
        <v>43.779000000000103</v>
      </c>
      <c r="Y22">
        <v>-46.340500000000013</v>
      </c>
      <c r="Z22">
        <v>-205.90850000000009</v>
      </c>
      <c r="AA22">
        <v>-465.69500000000028</v>
      </c>
      <c r="AB22">
        <v>52.886349999999979</v>
      </c>
      <c r="AC22">
        <v>-61.625</v>
      </c>
      <c r="AD22">
        <v>270.26749999999947</v>
      </c>
      <c r="AE22">
        <v>-178.75235000000001</v>
      </c>
      <c r="AF22">
        <v>305.34500000000003</v>
      </c>
      <c r="AG22">
        <v>848.60149999999999</v>
      </c>
      <c r="AH22">
        <v>-145.96625000000009</v>
      </c>
      <c r="AI22">
        <v>5.0429239999999993</v>
      </c>
      <c r="AJ22">
        <v>2.185594</v>
      </c>
      <c r="AK22">
        <v>-0.59206000000000003</v>
      </c>
      <c r="AL22">
        <v>40.804659999999998</v>
      </c>
      <c r="AM22">
        <v>1.0992493999999999</v>
      </c>
      <c r="AN22">
        <v>1.5489379999999999</v>
      </c>
      <c r="AO22">
        <v>0.40298499999999998</v>
      </c>
      <c r="AP22">
        <v>-4.4993640000000017</v>
      </c>
      <c r="AQ22">
        <v>3.5598580000000002</v>
      </c>
      <c r="AR22">
        <v>0.23466219999999999</v>
      </c>
      <c r="AS22">
        <v>0.36816260000000001</v>
      </c>
      <c r="AT22">
        <v>-43.017960000000002</v>
      </c>
    </row>
    <row r="23" spans="1:46" x14ac:dyDescent="0.25">
      <c r="A23">
        <v>21</v>
      </c>
      <c r="B23">
        <v>9.3045874999999985</v>
      </c>
      <c r="C23">
        <v>0.54498104945054948</v>
      </c>
      <c r="D23">
        <v>6.1540270492134098E-2</v>
      </c>
      <c r="E23">
        <v>-0.1241771853459772</v>
      </c>
      <c r="F23">
        <v>3.5702197425556701</v>
      </c>
      <c r="G23">
        <v>9.5889663000000009</v>
      </c>
      <c r="H23">
        <v>-11.163373</v>
      </c>
      <c r="I23">
        <v>-8.4345075000000005</v>
      </c>
      <c r="J23">
        <v>9.2681477000000001</v>
      </c>
      <c r="K23">
        <v>5.9226996999999999</v>
      </c>
      <c r="L23">
        <v>-5.7473808999999996</v>
      </c>
      <c r="M23">
        <v>30.573041</v>
      </c>
      <c r="N23">
        <v>0.70976091999999991</v>
      </c>
      <c r="O23">
        <v>-16.461116000000001</v>
      </c>
      <c r="P23">
        <v>44.909066000000003</v>
      </c>
      <c r="Q23">
        <v>-1.8199620000000001</v>
      </c>
      <c r="R23">
        <v>15.335196</v>
      </c>
      <c r="S23">
        <v>15.240235</v>
      </c>
      <c r="T23">
        <v>-8.3723334999999999</v>
      </c>
      <c r="U23">
        <v>-59.257574999999953</v>
      </c>
      <c r="V23">
        <v>13.184624999999979</v>
      </c>
      <c r="W23">
        <v>79.854899999999958</v>
      </c>
      <c r="X23">
        <v>39.76376250000007</v>
      </c>
      <c r="Y23">
        <v>-48.725275000000011</v>
      </c>
      <c r="Z23">
        <v>-203.11636250000009</v>
      </c>
      <c r="AA23">
        <v>-475.73225000000008</v>
      </c>
      <c r="AB23">
        <v>43.533279999999998</v>
      </c>
      <c r="AC23">
        <v>-67.109374999999915</v>
      </c>
      <c r="AD23">
        <v>263.8752499999996</v>
      </c>
      <c r="AE23">
        <v>-180.0855425</v>
      </c>
      <c r="AF23">
        <v>293.20850000000007</v>
      </c>
      <c r="AG23">
        <v>837.68270000000007</v>
      </c>
      <c r="AH23">
        <v>-151.76787500000009</v>
      </c>
      <c r="AI23">
        <v>4.8583277000000002</v>
      </c>
      <c r="AJ23">
        <v>2.1295852000000002</v>
      </c>
      <c r="AK23">
        <v>-0.57202059999999999</v>
      </c>
      <c r="AL23">
        <v>39.832768000000002</v>
      </c>
      <c r="AM23">
        <v>1.3183951700000001</v>
      </c>
      <c r="AN23">
        <v>1.5788054</v>
      </c>
      <c r="AO23">
        <v>0.4142305</v>
      </c>
      <c r="AP23">
        <v>-5.2656402</v>
      </c>
      <c r="AQ23">
        <v>3.6571714000000002</v>
      </c>
      <c r="AR23">
        <v>0.24838576000000001</v>
      </c>
      <c r="AS23">
        <v>0.37885837999999999</v>
      </c>
      <c r="AT23">
        <v>-43.551723000000003</v>
      </c>
    </row>
    <row r="24" spans="1:46" x14ac:dyDescent="0.25">
      <c r="A24">
        <v>22</v>
      </c>
      <c r="B24">
        <v>9.3049250000000043</v>
      </c>
      <c r="C24">
        <v>0.54455869230769238</v>
      </c>
      <c r="D24">
        <v>8.2687301321208773E-2</v>
      </c>
      <c r="E24">
        <v>-0.1099225431635906</v>
      </c>
      <c r="F24">
        <v>3.6430804524386442</v>
      </c>
      <c r="G24">
        <v>9.5262966000000002</v>
      </c>
      <c r="H24">
        <v>-11.150385999999999</v>
      </c>
      <c r="I24">
        <v>-8.3487150000000003</v>
      </c>
      <c r="J24">
        <v>9.3138614000000004</v>
      </c>
      <c r="K24">
        <v>5.8716453999999993</v>
      </c>
      <c r="L24">
        <v>-5.9702038000000002</v>
      </c>
      <c r="M24">
        <v>30.066061999999999</v>
      </c>
      <c r="N24">
        <v>0.76451044000000001</v>
      </c>
      <c r="O24">
        <v>-16.529911999999999</v>
      </c>
      <c r="P24">
        <v>45.200612</v>
      </c>
      <c r="Q24">
        <v>-2.0139840000000002</v>
      </c>
      <c r="R24">
        <v>15.661572</v>
      </c>
      <c r="S24">
        <v>16.161069999999999</v>
      </c>
      <c r="T24">
        <v>-8.5370470000000012</v>
      </c>
      <c r="U24">
        <v>-61.153649999999942</v>
      </c>
      <c r="V24">
        <v>15.314250000000049</v>
      </c>
      <c r="W24">
        <v>79.576799999999992</v>
      </c>
      <c r="X24">
        <v>35.748525000000029</v>
      </c>
      <c r="Y24">
        <v>-51.110050000000022</v>
      </c>
      <c r="Z24">
        <v>-200.3242250000001</v>
      </c>
      <c r="AA24">
        <v>-485.76950000000011</v>
      </c>
      <c r="AB24">
        <v>34.180209999999988</v>
      </c>
      <c r="AC24">
        <v>-72.593749999999858</v>
      </c>
      <c r="AD24">
        <v>257.48299999999972</v>
      </c>
      <c r="AE24">
        <v>-181.418735</v>
      </c>
      <c r="AF24">
        <v>281.07200000000017</v>
      </c>
      <c r="AG24">
        <v>826.76390000000015</v>
      </c>
      <c r="AH24">
        <v>-157.56950000000009</v>
      </c>
      <c r="AI24">
        <v>4.6737314000000003</v>
      </c>
      <c r="AJ24">
        <v>2.0735763999999999</v>
      </c>
      <c r="AK24">
        <v>-0.55198119999999995</v>
      </c>
      <c r="AL24">
        <v>38.860875999999998</v>
      </c>
      <c r="AM24">
        <v>1.53754094</v>
      </c>
      <c r="AN24">
        <v>1.6086727999999999</v>
      </c>
      <c r="AO24">
        <v>0.42547600000000008</v>
      </c>
      <c r="AP24">
        <v>-6.0319164000000018</v>
      </c>
      <c r="AQ24">
        <v>3.7544848000000002</v>
      </c>
      <c r="AR24">
        <v>0.26210931999999998</v>
      </c>
      <c r="AS24">
        <v>0.38955415999999998</v>
      </c>
      <c r="AT24">
        <v>-44.085486000000003</v>
      </c>
    </row>
    <row r="25" spans="1:46" x14ac:dyDescent="0.25">
      <c r="A25">
        <v>23</v>
      </c>
      <c r="B25">
        <v>9.3060500000000062</v>
      </c>
      <c r="C25">
        <v>0.54417510439560446</v>
      </c>
      <c r="D25">
        <v>9.9584448208544188E-2</v>
      </c>
      <c r="E25">
        <v>-9.6244479447272505E-2</v>
      </c>
      <c r="F25">
        <v>3.7177171598001499</v>
      </c>
      <c r="G25">
        <v>9.4576671000000001</v>
      </c>
      <c r="H25">
        <v>-11.131078</v>
      </c>
      <c r="I25">
        <v>-8.262792300000001</v>
      </c>
      <c r="J25">
        <v>9.3470234000000012</v>
      </c>
      <c r="K25">
        <v>5.8132536999999997</v>
      </c>
      <c r="L25">
        <v>-6.1819156</v>
      </c>
      <c r="M25">
        <v>29.527877</v>
      </c>
      <c r="N25">
        <v>0.78802497999999999</v>
      </c>
      <c r="O25">
        <v>-16.615697000000001</v>
      </c>
      <c r="P25">
        <v>45.468826999999997</v>
      </c>
      <c r="Q25">
        <v>-2.2114752000000002</v>
      </c>
      <c r="R25">
        <v>15.947922</v>
      </c>
      <c r="S25">
        <v>17.034382000000001</v>
      </c>
      <c r="T25">
        <v>-8.7124222000000007</v>
      </c>
      <c r="U25">
        <v>-63.091987499999952</v>
      </c>
      <c r="V25">
        <v>17.286375000000071</v>
      </c>
      <c r="W25">
        <v>79.822650000000039</v>
      </c>
      <c r="X25">
        <v>31.829362500000009</v>
      </c>
      <c r="Y25">
        <v>-53.461487499999997</v>
      </c>
      <c r="Z25">
        <v>-196.353725</v>
      </c>
      <c r="AA25">
        <v>-495.63087499999989</v>
      </c>
      <c r="AB25">
        <v>23.914716250000001</v>
      </c>
      <c r="AC25">
        <v>-77.896999999999821</v>
      </c>
      <c r="AD25">
        <v>249.2374999999997</v>
      </c>
      <c r="AE25">
        <v>-182.27123750000001</v>
      </c>
      <c r="AF25">
        <v>267.97212500000018</v>
      </c>
      <c r="AG25">
        <v>809.26475000000016</v>
      </c>
      <c r="AH25">
        <v>-159.6696125</v>
      </c>
      <c r="AI25">
        <v>4.3570577000000004</v>
      </c>
      <c r="AJ25">
        <v>1.9550422000000001</v>
      </c>
      <c r="AK25">
        <v>-0.51650448999999998</v>
      </c>
      <c r="AL25">
        <v>36.593514999999996</v>
      </c>
      <c r="AM25">
        <v>1.8031531999999999</v>
      </c>
      <c r="AN25">
        <v>1.6258793</v>
      </c>
      <c r="AO25">
        <v>0.43157524000000003</v>
      </c>
      <c r="AP25">
        <v>-6.7389159000000003</v>
      </c>
      <c r="AQ25">
        <v>3.8426526999999999</v>
      </c>
      <c r="AR25">
        <v>0.27441390999999998</v>
      </c>
      <c r="AS25">
        <v>0.39577589000000002</v>
      </c>
      <c r="AT25">
        <v>-44.027342999999988</v>
      </c>
    </row>
    <row r="26" spans="1:46" x14ac:dyDescent="0.25">
      <c r="A26">
        <v>24</v>
      </c>
      <c r="B26">
        <v>9.3074000000000048</v>
      </c>
      <c r="C26">
        <v>0.54380259340659343</v>
      </c>
      <c r="D26">
        <v>0.10741219987806119</v>
      </c>
      <c r="E26">
        <v>-8.4234890383209401E-2</v>
      </c>
      <c r="F26">
        <v>3.7873663975155099</v>
      </c>
      <c r="G26">
        <v>9.3873347999999996</v>
      </c>
      <c r="H26">
        <v>-11.109964</v>
      </c>
      <c r="I26">
        <v>-8.1768324000000003</v>
      </c>
      <c r="J26">
        <v>9.3765992000000011</v>
      </c>
      <c r="K26">
        <v>5.7527656</v>
      </c>
      <c r="L26">
        <v>-6.3904528000000003</v>
      </c>
      <c r="M26">
        <v>28.980775999999999</v>
      </c>
      <c r="N26">
        <v>0.80261523999999995</v>
      </c>
      <c r="O26">
        <v>-16.706336</v>
      </c>
      <c r="P26">
        <v>45.730376</v>
      </c>
      <c r="Q26">
        <v>-2.4099575999999998</v>
      </c>
      <c r="R26">
        <v>16.222836000000001</v>
      </c>
      <c r="S26">
        <v>17.894116</v>
      </c>
      <c r="T26">
        <v>-8.8908436000000002</v>
      </c>
      <c r="U26">
        <v>-65.042399999999972</v>
      </c>
      <c r="V26">
        <v>19.213500000000071</v>
      </c>
      <c r="W26">
        <v>80.218200000000081</v>
      </c>
      <c r="X26">
        <v>27.93764999999998</v>
      </c>
      <c r="Y26">
        <v>-55.803399999999982</v>
      </c>
      <c r="Z26">
        <v>-192.04655</v>
      </c>
      <c r="AA26">
        <v>-505.44199999999978</v>
      </c>
      <c r="AB26">
        <v>13.38853000000001</v>
      </c>
      <c r="AC26">
        <v>-83.148499999999814</v>
      </c>
      <c r="AD26">
        <v>240.46249999999981</v>
      </c>
      <c r="AE26">
        <v>-182.9864</v>
      </c>
      <c r="AF26">
        <v>254.59700000000021</v>
      </c>
      <c r="AG26">
        <v>789.88549999999998</v>
      </c>
      <c r="AH26">
        <v>-160.71215000000001</v>
      </c>
      <c r="AI26">
        <v>4.0026476000000004</v>
      </c>
      <c r="AJ26">
        <v>1.8186435999999999</v>
      </c>
      <c r="AK26">
        <v>-0.47661712000000012</v>
      </c>
      <c r="AL26">
        <v>33.956020000000002</v>
      </c>
      <c r="AM26">
        <v>2.0820416000000002</v>
      </c>
      <c r="AN26">
        <v>1.6394683999999999</v>
      </c>
      <c r="AO26">
        <v>0.43620411999999997</v>
      </c>
      <c r="AP26">
        <v>-7.4289791999999997</v>
      </c>
      <c r="AQ26">
        <v>3.9282075999999999</v>
      </c>
      <c r="AR26">
        <v>0.28631308</v>
      </c>
      <c r="AS26">
        <v>0.40071931999999999</v>
      </c>
      <c r="AT26">
        <v>-43.800083999999998</v>
      </c>
    </row>
    <row r="27" spans="1:46" x14ac:dyDescent="0.25">
      <c r="A27">
        <v>25</v>
      </c>
      <c r="B27">
        <v>9.3087500000000034</v>
      </c>
      <c r="C27">
        <v>0.54343008241758239</v>
      </c>
      <c r="D27">
        <v>0.1035702674590446</v>
      </c>
      <c r="E27">
        <v>-7.7085665178087473E-2</v>
      </c>
      <c r="F27">
        <v>3.8516455850401909</v>
      </c>
      <c r="G27">
        <v>9.3170024999999992</v>
      </c>
      <c r="H27">
        <v>-11.088850000000001</v>
      </c>
      <c r="I27">
        <v>-8.0908724999999997</v>
      </c>
      <c r="J27">
        <v>9.4061750000000011</v>
      </c>
      <c r="K27">
        <v>5.6922774999999994</v>
      </c>
      <c r="L27">
        <v>-6.5989900000000006</v>
      </c>
      <c r="M27">
        <v>28.433675000000001</v>
      </c>
      <c r="N27">
        <v>0.81720550000000003</v>
      </c>
      <c r="O27">
        <v>-16.796975</v>
      </c>
      <c r="P27">
        <v>45.991925000000002</v>
      </c>
      <c r="Q27">
        <v>-2.6084399999999999</v>
      </c>
      <c r="R27">
        <v>16.49775</v>
      </c>
      <c r="S27">
        <v>18.75385</v>
      </c>
      <c r="T27">
        <v>-9.0692649999999997</v>
      </c>
      <c r="U27">
        <v>-66.992812499999999</v>
      </c>
      <c r="V27">
        <v>21.140625000000082</v>
      </c>
      <c r="W27">
        <v>80.613750000000124</v>
      </c>
      <c r="X27">
        <v>24.04593749999994</v>
      </c>
      <c r="Y27">
        <v>-58.14531249999996</v>
      </c>
      <c r="Z27">
        <v>-187.73937499999991</v>
      </c>
      <c r="AA27">
        <v>-515.25312499999973</v>
      </c>
      <c r="AB27">
        <v>2.8623437499999871</v>
      </c>
      <c r="AC27">
        <v>-88.399999999999821</v>
      </c>
      <c r="AD27">
        <v>231.6874999999998</v>
      </c>
      <c r="AE27">
        <v>-183.70156249999999</v>
      </c>
      <c r="AF27">
        <v>241.22187500000021</v>
      </c>
      <c r="AG27">
        <v>770.5062499999998</v>
      </c>
      <c r="AH27">
        <v>-161.75468749999999</v>
      </c>
      <c r="AI27">
        <v>3.6482375</v>
      </c>
      <c r="AJ27">
        <v>1.682245</v>
      </c>
      <c r="AK27">
        <v>-0.43672974999999992</v>
      </c>
      <c r="AL27">
        <v>31.31852499999999</v>
      </c>
      <c r="AM27">
        <v>2.3609300000000011</v>
      </c>
      <c r="AN27">
        <v>1.6530575000000001</v>
      </c>
      <c r="AO27">
        <v>0.44083299999999997</v>
      </c>
      <c r="AP27">
        <v>-8.1190425000000008</v>
      </c>
      <c r="AQ27">
        <v>4.0137625000000003</v>
      </c>
      <c r="AR27">
        <v>0.29821225000000001</v>
      </c>
      <c r="AS27">
        <v>0.40566275000000002</v>
      </c>
      <c r="AT27">
        <v>-43.572825000000002</v>
      </c>
    </row>
    <row r="28" spans="1:46" x14ac:dyDescent="0.25">
      <c r="A28">
        <v>26</v>
      </c>
      <c r="B28">
        <v>9.3101250000000029</v>
      </c>
      <c r="C28">
        <v>0.54306154945054941</v>
      </c>
      <c r="D28">
        <v>9.3222499220328547E-2</v>
      </c>
      <c r="E28">
        <v>-7.3887467308138541E-2</v>
      </c>
      <c r="F28">
        <v>3.9179072881235451</v>
      </c>
      <c r="G28">
        <v>9.2460819999999995</v>
      </c>
      <c r="H28">
        <v>-11.067195999999999</v>
      </c>
      <c r="I28">
        <v>-8.0046906</v>
      </c>
      <c r="J28">
        <v>9.4346399999999999</v>
      </c>
      <c r="K28">
        <v>5.6311003999999993</v>
      </c>
      <c r="L28">
        <v>-6.8060330000000002</v>
      </c>
      <c r="M28">
        <v>27.883731999999998</v>
      </c>
      <c r="N28">
        <v>0.82853277999999997</v>
      </c>
      <c r="O28">
        <v>-16.889108</v>
      </c>
      <c r="P28">
        <v>46.250495999999998</v>
      </c>
      <c r="Q28">
        <v>-2.8070157999999998</v>
      </c>
      <c r="R28">
        <v>16.768550000000001</v>
      </c>
      <c r="S28">
        <v>19.606625999999999</v>
      </c>
      <c r="T28">
        <v>-9.2472887999999998</v>
      </c>
      <c r="U28">
        <v>-68.949375000000018</v>
      </c>
      <c r="V28">
        <v>23.05100000000008</v>
      </c>
      <c r="W28">
        <v>81.063325000000162</v>
      </c>
      <c r="X28">
        <v>20.186224999999919</v>
      </c>
      <c r="Y28">
        <v>-60.486624999999947</v>
      </c>
      <c r="Z28">
        <v>-183.3284249999999</v>
      </c>
      <c r="AA28">
        <v>-525.01949999999965</v>
      </c>
      <c r="AB28">
        <v>-7.7183149999999996</v>
      </c>
      <c r="AC28">
        <v>-93.606999999999815</v>
      </c>
      <c r="AD28">
        <v>222.7157499999999</v>
      </c>
      <c r="AE28">
        <v>-184.34072499999999</v>
      </c>
      <c r="AF28">
        <v>227.78400000000019</v>
      </c>
      <c r="AG28">
        <v>750.55149999999981</v>
      </c>
      <c r="AH28">
        <v>-162.46167500000001</v>
      </c>
      <c r="AI28">
        <v>3.2908550000000001</v>
      </c>
      <c r="AJ28">
        <v>1.54408514</v>
      </c>
      <c r="AK28">
        <v>-0.39630066000000003</v>
      </c>
      <c r="AL28">
        <v>28.633168000000001</v>
      </c>
      <c r="AM28">
        <v>2.6382848000000001</v>
      </c>
      <c r="AN28">
        <v>1.6658181999999999</v>
      </c>
      <c r="AO28">
        <v>0.44557207999999998</v>
      </c>
      <c r="AP28">
        <v>-8.7718595999999991</v>
      </c>
      <c r="AQ28">
        <v>4.0981322000000002</v>
      </c>
      <c r="AR28">
        <v>0.30989033999999999</v>
      </c>
      <c r="AS28">
        <v>0.41077163999999999</v>
      </c>
      <c r="AT28">
        <v>-43.283329999999999</v>
      </c>
    </row>
    <row r="29" spans="1:46" x14ac:dyDescent="0.25">
      <c r="A29">
        <v>27</v>
      </c>
      <c r="B29">
        <v>9.3118125000000003</v>
      </c>
      <c r="C29">
        <v>0.54274274175824178</v>
      </c>
      <c r="D29">
        <v>8.441610274719763E-2</v>
      </c>
      <c r="E29">
        <v>-6.9233479403133347E-2</v>
      </c>
      <c r="F29">
        <v>3.9798643074605509</v>
      </c>
      <c r="G29">
        <v>9.1678090000000001</v>
      </c>
      <c r="H29">
        <v>-11.038792000000001</v>
      </c>
      <c r="I29">
        <v>-7.9157336999999988</v>
      </c>
      <c r="J29">
        <v>9.4492200000000004</v>
      </c>
      <c r="K29">
        <v>5.5613107999999993</v>
      </c>
      <c r="L29">
        <v>-6.9943985000000009</v>
      </c>
      <c r="M29">
        <v>27.298264</v>
      </c>
      <c r="N29">
        <v>0.79907280999999997</v>
      </c>
      <c r="O29">
        <v>-16.999915999999999</v>
      </c>
      <c r="P29">
        <v>46.471842000000002</v>
      </c>
      <c r="Q29">
        <v>-3.0067591</v>
      </c>
      <c r="R29">
        <v>16.987925000000001</v>
      </c>
      <c r="S29">
        <v>20.372426999999998</v>
      </c>
      <c r="T29">
        <v>-9.4203425999999997</v>
      </c>
      <c r="U29">
        <v>-70.982812500000023</v>
      </c>
      <c r="V29">
        <v>24.752000000000081</v>
      </c>
      <c r="W29">
        <v>82.188212500000077</v>
      </c>
      <c r="X29">
        <v>16.726512499999959</v>
      </c>
      <c r="Y29">
        <v>-62.820437499999969</v>
      </c>
      <c r="Z29">
        <v>-177.6202874999999</v>
      </c>
      <c r="AA29">
        <v>-534.22649999999976</v>
      </c>
      <c r="AB29">
        <v>-18.979880000000019</v>
      </c>
      <c r="AC29">
        <v>-98.257749999999888</v>
      </c>
      <c r="AD29">
        <v>211.28462500000001</v>
      </c>
      <c r="AE29">
        <v>-184.0298875</v>
      </c>
      <c r="AF29">
        <v>213.5617500000001</v>
      </c>
      <c r="AG29">
        <v>723.40299999999968</v>
      </c>
      <c r="AH29">
        <v>-158.9742875</v>
      </c>
      <c r="AI29">
        <v>2.896317499999999</v>
      </c>
      <c r="AJ29">
        <v>1.3839095299999991</v>
      </c>
      <c r="AK29">
        <v>-0.34910006999999987</v>
      </c>
      <c r="AL29">
        <v>25.34953599999999</v>
      </c>
      <c r="AM29">
        <v>2.896469600000001</v>
      </c>
      <c r="AN29">
        <v>1.6682239000000001</v>
      </c>
      <c r="AO29">
        <v>0.45168866000000008</v>
      </c>
      <c r="AP29">
        <v>-8.9590992000000007</v>
      </c>
      <c r="AQ29">
        <v>4.1676869000000014</v>
      </c>
      <c r="AR29">
        <v>0.31880492999999999</v>
      </c>
      <c r="AS29">
        <v>0.41794878000000002</v>
      </c>
      <c r="AT29">
        <v>-42.215885</v>
      </c>
    </row>
    <row r="30" spans="1:46" x14ac:dyDescent="0.25">
      <c r="A30">
        <v>28</v>
      </c>
      <c r="B30">
        <v>9.3134999999999994</v>
      </c>
      <c r="C30">
        <v>0.54242393406593403</v>
      </c>
      <c r="D30">
        <v>8.1961352562553866E-2</v>
      </c>
      <c r="E30">
        <v>-6.4336258448063302E-2</v>
      </c>
      <c r="F30">
        <v>4.0242374144766329</v>
      </c>
      <c r="G30">
        <v>9.0895360000000007</v>
      </c>
      <c r="H30">
        <v>-11.010388000000001</v>
      </c>
      <c r="I30">
        <v>-7.8267767999999993</v>
      </c>
      <c r="J30">
        <v>9.4638000000000009</v>
      </c>
      <c r="K30">
        <v>5.4915212000000002</v>
      </c>
      <c r="L30">
        <v>-7.1827640000000006</v>
      </c>
      <c r="M30">
        <v>26.712796000000001</v>
      </c>
      <c r="N30">
        <v>0.76961283999999996</v>
      </c>
      <c r="O30">
        <v>-17.110724000000001</v>
      </c>
      <c r="P30">
        <v>46.693187999999999</v>
      </c>
      <c r="Q30">
        <v>-3.2065024000000002</v>
      </c>
      <c r="R30">
        <v>17.2073</v>
      </c>
      <c r="S30">
        <v>21.138228000000002</v>
      </c>
      <c r="T30">
        <v>-9.5933963999999996</v>
      </c>
      <c r="U30">
        <v>-73.016250000000014</v>
      </c>
      <c r="V30">
        <v>26.45300000000007</v>
      </c>
      <c r="W30">
        <v>83.313099999999991</v>
      </c>
      <c r="X30">
        <v>13.2668</v>
      </c>
      <c r="Y30">
        <v>-65.154249999999976</v>
      </c>
      <c r="Z30">
        <v>-171.91214999999991</v>
      </c>
      <c r="AA30">
        <v>-543.43349999999987</v>
      </c>
      <c r="AB30">
        <v>-30.241444999999999</v>
      </c>
      <c r="AC30">
        <v>-102.9084999999999</v>
      </c>
      <c r="AD30">
        <v>199.8535000000002</v>
      </c>
      <c r="AE30">
        <v>-183.71905000000001</v>
      </c>
      <c r="AF30">
        <v>199.33949999999999</v>
      </c>
      <c r="AG30">
        <v>696.25449999999967</v>
      </c>
      <c r="AH30">
        <v>-155.48689999999999</v>
      </c>
      <c r="AI30">
        <v>2.5017800000000001</v>
      </c>
      <c r="AJ30">
        <v>1.2237339199999999</v>
      </c>
      <c r="AK30">
        <v>-0.30189948</v>
      </c>
      <c r="AL30">
        <v>22.065904</v>
      </c>
      <c r="AM30">
        <v>3.1546544000000001</v>
      </c>
      <c r="AN30">
        <v>1.6706296</v>
      </c>
      <c r="AO30">
        <v>0.45780524000000011</v>
      </c>
      <c r="AP30">
        <v>-9.1463388000000005</v>
      </c>
      <c r="AQ30">
        <v>4.2372415999999999</v>
      </c>
      <c r="AR30">
        <v>0.32771951999999999</v>
      </c>
      <c r="AS30">
        <v>0.42512591999999999</v>
      </c>
      <c r="AT30">
        <v>-41.148440000000001</v>
      </c>
    </row>
    <row r="31" spans="1:46" x14ac:dyDescent="0.25">
      <c r="A31">
        <v>29</v>
      </c>
      <c r="B31">
        <v>9.3151874999999968</v>
      </c>
      <c r="C31">
        <v>0.5421051263736264</v>
      </c>
      <c r="D31">
        <v>8.7451882268611794E-2</v>
      </c>
      <c r="E31">
        <v>-5.6344265443868613E-2</v>
      </c>
      <c r="F31">
        <v>4.0573332420601966</v>
      </c>
      <c r="G31">
        <v>9.0112629999999996</v>
      </c>
      <c r="H31">
        <v>-10.981984000000001</v>
      </c>
      <c r="I31">
        <v>-7.737819899999999</v>
      </c>
      <c r="J31">
        <v>9.4783799999999996</v>
      </c>
      <c r="K31">
        <v>5.4217316000000002</v>
      </c>
      <c r="L31">
        <v>-7.3711295000000003</v>
      </c>
      <c r="M31">
        <v>26.127327999999999</v>
      </c>
      <c r="N31">
        <v>0.74015286999999996</v>
      </c>
      <c r="O31">
        <v>-17.221532</v>
      </c>
      <c r="P31">
        <v>46.914534000000003</v>
      </c>
      <c r="Q31">
        <v>-3.4062456999999999</v>
      </c>
      <c r="R31">
        <v>17.426674999999999</v>
      </c>
      <c r="S31">
        <v>21.904029000000001</v>
      </c>
      <c r="T31">
        <v>-9.7664502000000013</v>
      </c>
      <c r="U31">
        <v>-75.049687500000019</v>
      </c>
      <c r="V31">
        <v>28.15400000000006</v>
      </c>
      <c r="W31">
        <v>84.43798749999992</v>
      </c>
      <c r="X31">
        <v>9.8070875000000388</v>
      </c>
      <c r="Y31">
        <v>-67.488062499999998</v>
      </c>
      <c r="Z31">
        <v>-166.20401249999989</v>
      </c>
      <c r="AA31">
        <v>-552.64050000000009</v>
      </c>
      <c r="AB31">
        <v>-41.503010000000017</v>
      </c>
      <c r="AC31">
        <v>-107.55925000000001</v>
      </c>
      <c r="AD31">
        <v>188.4223750000003</v>
      </c>
      <c r="AE31">
        <v>-183.40821249999999</v>
      </c>
      <c r="AF31">
        <v>185.11724999999981</v>
      </c>
      <c r="AG31">
        <v>669.10599999999965</v>
      </c>
      <c r="AH31">
        <v>-151.99951250000001</v>
      </c>
      <c r="AI31">
        <v>2.107242499999999</v>
      </c>
      <c r="AJ31">
        <v>1.0635583099999999</v>
      </c>
      <c r="AK31">
        <v>-0.2546988899999999</v>
      </c>
      <c r="AL31">
        <v>18.782271999999988</v>
      </c>
      <c r="AM31">
        <v>3.412839200000001</v>
      </c>
      <c r="AN31">
        <v>1.6730353</v>
      </c>
      <c r="AO31">
        <v>0.46392181999999998</v>
      </c>
      <c r="AP31">
        <v>-9.3335784000000004</v>
      </c>
      <c r="AQ31">
        <v>4.3067963000000002</v>
      </c>
      <c r="AR31">
        <v>0.33663410999999999</v>
      </c>
      <c r="AS31">
        <v>0.43230306000000002</v>
      </c>
      <c r="AT31">
        <v>-40.080995000000001</v>
      </c>
    </row>
    <row r="32" spans="1:46" x14ac:dyDescent="0.25">
      <c r="A32">
        <v>30</v>
      </c>
      <c r="B32">
        <v>9.3173749999999984</v>
      </c>
      <c r="C32">
        <v>0.54180719780219777</v>
      </c>
      <c r="D32">
        <v>9.9409087673582489E-2</v>
      </c>
      <c r="E32">
        <v>-4.4904514002920982E-2</v>
      </c>
      <c r="F32">
        <v>4.0723117489669596</v>
      </c>
      <c r="G32">
        <v>8.9299060000000008</v>
      </c>
      <c r="H32">
        <v>-10.95124</v>
      </c>
      <c r="I32">
        <v>-7.6466399999999997</v>
      </c>
      <c r="J32">
        <v>9.4882629999999999</v>
      </c>
      <c r="K32">
        <v>5.3484720000000001</v>
      </c>
      <c r="L32">
        <v>-7.5500530000000001</v>
      </c>
      <c r="M32">
        <v>25.528790000000001</v>
      </c>
      <c r="N32">
        <v>0.69364020000000004</v>
      </c>
      <c r="O32">
        <v>-17.338650000000001</v>
      </c>
      <c r="P32">
        <v>47.116900000000001</v>
      </c>
      <c r="Q32">
        <v>-3.6046010000000002</v>
      </c>
      <c r="R32">
        <v>17.624479999999998</v>
      </c>
      <c r="S32">
        <v>22.624179999999999</v>
      </c>
      <c r="T32">
        <v>-9.931159000000001</v>
      </c>
      <c r="U32">
        <v>-77.119000000000014</v>
      </c>
      <c r="V32">
        <v>29.767500000000059</v>
      </c>
      <c r="W32">
        <v>85.841999999999871</v>
      </c>
      <c r="X32">
        <v>6.6091250000000592</v>
      </c>
      <c r="Y32">
        <v>-69.837000000000003</v>
      </c>
      <c r="Z32">
        <v>-160.0403749999999</v>
      </c>
      <c r="AA32">
        <v>-561.50875000000008</v>
      </c>
      <c r="AB32">
        <v>-52.846754875000002</v>
      </c>
      <c r="AC32">
        <v>-111.8437500000001</v>
      </c>
      <c r="AD32">
        <v>175.9625000000004</v>
      </c>
      <c r="AE32">
        <v>-182.53887499999999</v>
      </c>
      <c r="AF32">
        <v>170.66749999999979</v>
      </c>
      <c r="AG32">
        <v>639.45374999999979</v>
      </c>
      <c r="AH32">
        <v>-147.07575</v>
      </c>
      <c r="AI32">
        <v>1.776886</v>
      </c>
      <c r="AJ32">
        <v>0.89511629999999986</v>
      </c>
      <c r="AK32">
        <v>-0.20702624999999999</v>
      </c>
      <c r="AL32">
        <v>16.000453</v>
      </c>
      <c r="AM32">
        <v>3.6207009999999999</v>
      </c>
      <c r="AN32">
        <v>1.6581459999999999</v>
      </c>
      <c r="AO32">
        <v>0.46601199999999998</v>
      </c>
      <c r="AP32">
        <v>-9.2373390000000004</v>
      </c>
      <c r="AQ32">
        <v>4.3649110000000002</v>
      </c>
      <c r="AR32">
        <v>0.34427229999999998</v>
      </c>
      <c r="AS32">
        <v>0.4348998</v>
      </c>
      <c r="AT32">
        <v>-38.677990000000001</v>
      </c>
    </row>
    <row r="33" spans="1:46" x14ac:dyDescent="0.25">
      <c r="A33">
        <v>31</v>
      </c>
      <c r="B33">
        <v>9.3204125000000033</v>
      </c>
      <c r="C33">
        <v>0.54154476373626381</v>
      </c>
      <c r="D33">
        <v>0.11886075879303069</v>
      </c>
      <c r="E33">
        <v>-3.0874290551401971E-2</v>
      </c>
      <c r="F33">
        <v>4.0712817690475953</v>
      </c>
      <c r="G33">
        <v>8.8433062000000007</v>
      </c>
      <c r="H33">
        <v>-10.916518</v>
      </c>
      <c r="I33">
        <v>-7.5516809999999994</v>
      </c>
      <c r="J33">
        <v>9.4901610999999999</v>
      </c>
      <c r="K33">
        <v>5.2693133999999997</v>
      </c>
      <c r="L33">
        <v>-7.7129250999999996</v>
      </c>
      <c r="M33">
        <v>24.908033</v>
      </c>
      <c r="N33">
        <v>0.61813793999999989</v>
      </c>
      <c r="O33">
        <v>-17.466494999999998</v>
      </c>
      <c r="P33">
        <v>47.286999999999999</v>
      </c>
      <c r="Q33">
        <v>-3.8005967000000012</v>
      </c>
      <c r="R33">
        <v>17.785616000000001</v>
      </c>
      <c r="S33">
        <v>23.266725999999998</v>
      </c>
      <c r="T33">
        <v>-10.0816813</v>
      </c>
      <c r="U33">
        <v>-79.249299999999991</v>
      </c>
      <c r="V33">
        <v>31.232250000000061</v>
      </c>
      <c r="W33">
        <v>87.720524999999895</v>
      </c>
      <c r="X33">
        <v>3.85613750000002</v>
      </c>
      <c r="Y33">
        <v>-72.211650000000006</v>
      </c>
      <c r="Z33">
        <v>-153.10238749999991</v>
      </c>
      <c r="AA33">
        <v>-569.80112500000007</v>
      </c>
      <c r="AB33">
        <v>-64.330205537500021</v>
      </c>
      <c r="AC33">
        <v>-115.50562500000009</v>
      </c>
      <c r="AD33">
        <v>161.75375000000039</v>
      </c>
      <c r="AE33">
        <v>-180.72008750000001</v>
      </c>
      <c r="AF33">
        <v>155.83099999999979</v>
      </c>
      <c r="AG33">
        <v>605.54512499999987</v>
      </c>
      <c r="AH33">
        <v>-139.71015</v>
      </c>
      <c r="AI33">
        <v>1.5556372000000001</v>
      </c>
      <c r="AJ33">
        <v>0.71262140999999957</v>
      </c>
      <c r="AK33">
        <v>-0.1585511249999999</v>
      </c>
      <c r="AL33">
        <v>14.0717161</v>
      </c>
      <c r="AM33">
        <v>3.743013700000001</v>
      </c>
      <c r="AN33">
        <v>1.6138551999999999</v>
      </c>
      <c r="AO33">
        <v>0.46125729999999998</v>
      </c>
      <c r="AP33">
        <v>-8.659185299999999</v>
      </c>
      <c r="AQ33">
        <v>4.4035776999999996</v>
      </c>
      <c r="AR33">
        <v>0.34974061000000001</v>
      </c>
      <c r="AS33">
        <v>0.42970986</v>
      </c>
      <c r="AT33">
        <v>-36.704532999999998</v>
      </c>
    </row>
    <row r="34" spans="1:46" x14ac:dyDescent="0.25">
      <c r="A34">
        <v>32</v>
      </c>
      <c r="B34">
        <v>9.3234500000000082</v>
      </c>
      <c r="C34">
        <v>0.54128232967032974</v>
      </c>
      <c r="D34">
        <v>0.1462976980266622</v>
      </c>
      <c r="E34">
        <v>-1.264647167969366E-2</v>
      </c>
      <c r="F34">
        <v>4.063688748960546</v>
      </c>
      <c r="G34">
        <v>8.7567064000000006</v>
      </c>
      <c r="H34">
        <v>-10.881796</v>
      </c>
      <c r="I34">
        <v>-7.4567220000000001</v>
      </c>
      <c r="J34">
        <v>9.4920591999999999</v>
      </c>
      <c r="K34">
        <v>5.1901548000000002</v>
      </c>
      <c r="L34">
        <v>-7.8757972000000001</v>
      </c>
      <c r="M34">
        <v>24.287275999999999</v>
      </c>
      <c r="N34">
        <v>0.54263568000000006</v>
      </c>
      <c r="O34">
        <v>-17.594339999999999</v>
      </c>
      <c r="P34">
        <v>47.457099999999997</v>
      </c>
      <c r="Q34">
        <v>-3.9965923999999999</v>
      </c>
      <c r="R34">
        <v>17.946752</v>
      </c>
      <c r="S34">
        <v>23.909272000000001</v>
      </c>
      <c r="T34">
        <v>-10.2322036</v>
      </c>
      <c r="U34">
        <v>-81.379599999999982</v>
      </c>
      <c r="V34">
        <v>32.697000000000067</v>
      </c>
      <c r="W34">
        <v>89.599049999999906</v>
      </c>
      <c r="X34">
        <v>1.103149999999991</v>
      </c>
      <c r="Y34">
        <v>-74.586300000000008</v>
      </c>
      <c r="Z34">
        <v>-146.16439999999989</v>
      </c>
      <c r="AA34">
        <v>-578.09350000000006</v>
      </c>
      <c r="AB34">
        <v>-75.813656200000011</v>
      </c>
      <c r="AC34">
        <v>-119.1675</v>
      </c>
      <c r="AD34">
        <v>147.5450000000005</v>
      </c>
      <c r="AE34">
        <v>-178.90129999999999</v>
      </c>
      <c r="AF34">
        <v>140.9944999999999</v>
      </c>
      <c r="AG34">
        <v>571.63650000000007</v>
      </c>
      <c r="AH34">
        <v>-132.34455</v>
      </c>
      <c r="AI34">
        <v>1.3343883999999999</v>
      </c>
      <c r="AJ34">
        <v>0.53012651999999993</v>
      </c>
      <c r="AK34">
        <v>-0.11007599999999999</v>
      </c>
      <c r="AL34">
        <v>12.142979199999999</v>
      </c>
      <c r="AM34">
        <v>3.8653263999999998</v>
      </c>
      <c r="AN34">
        <v>1.5695644</v>
      </c>
      <c r="AO34">
        <v>0.45650259999999998</v>
      </c>
      <c r="AP34">
        <v>-8.0810315999999993</v>
      </c>
      <c r="AQ34">
        <v>4.4422443999999999</v>
      </c>
      <c r="AR34">
        <v>0.35520891999999998</v>
      </c>
      <c r="AS34">
        <v>0.42451992</v>
      </c>
      <c r="AT34">
        <v>-34.731076000000002</v>
      </c>
    </row>
    <row r="35" spans="1:46" x14ac:dyDescent="0.25">
      <c r="A35">
        <v>33</v>
      </c>
      <c r="B35">
        <v>9.3264875000000131</v>
      </c>
      <c r="C35">
        <v>0.54101989560439567</v>
      </c>
      <c r="D35">
        <v>0.17598113339469679</v>
      </c>
      <c r="E35">
        <v>7.6907847890122366E-3</v>
      </c>
      <c r="F35">
        <v>4.0473693248002709</v>
      </c>
      <c r="G35">
        <v>8.6701066000000004</v>
      </c>
      <c r="H35">
        <v>-10.847073999999999</v>
      </c>
      <c r="I35">
        <v>-7.3617629999999998</v>
      </c>
      <c r="J35">
        <v>9.4939572999999999</v>
      </c>
      <c r="K35">
        <v>5.1109961999999998</v>
      </c>
      <c r="L35">
        <v>-8.0386693000000005</v>
      </c>
      <c r="M35">
        <v>23.666519000000001</v>
      </c>
      <c r="N35">
        <v>0.46713341999999991</v>
      </c>
      <c r="O35">
        <v>-17.722185</v>
      </c>
      <c r="P35">
        <v>47.627200000000002</v>
      </c>
      <c r="Q35">
        <v>-4.1925881000000009</v>
      </c>
      <c r="R35">
        <v>18.107887999999999</v>
      </c>
      <c r="S35">
        <v>24.551818000000001</v>
      </c>
      <c r="T35">
        <v>-10.382725900000001</v>
      </c>
      <c r="U35">
        <v>-83.509899999999959</v>
      </c>
      <c r="V35">
        <v>34.161750000000069</v>
      </c>
      <c r="W35">
        <v>91.477574999999916</v>
      </c>
      <c r="X35">
        <v>-1.649837500000048</v>
      </c>
      <c r="Y35">
        <v>-76.960949999999997</v>
      </c>
      <c r="Z35">
        <v>-139.2264124999999</v>
      </c>
      <c r="AA35">
        <v>-586.38587500000017</v>
      </c>
      <c r="AB35">
        <v>-87.29710686250003</v>
      </c>
      <c r="AC35">
        <v>-122.829375</v>
      </c>
      <c r="AD35">
        <v>133.33625000000049</v>
      </c>
      <c r="AE35">
        <v>-177.08251250000001</v>
      </c>
      <c r="AF35">
        <v>126.1579999999999</v>
      </c>
      <c r="AG35">
        <v>537.72787500000004</v>
      </c>
      <c r="AH35">
        <v>-124.97895</v>
      </c>
      <c r="AI35">
        <v>1.1131396</v>
      </c>
      <c r="AJ35">
        <v>0.34763162999999958</v>
      </c>
      <c r="AK35">
        <v>-6.1600874999999888E-2</v>
      </c>
      <c r="AL35">
        <v>10.2142423</v>
      </c>
      <c r="AM35">
        <v>3.9876391</v>
      </c>
      <c r="AN35">
        <v>1.5252736</v>
      </c>
      <c r="AO35">
        <v>0.45174789999999998</v>
      </c>
      <c r="AP35">
        <v>-7.5028778999999988</v>
      </c>
      <c r="AQ35">
        <v>4.4809111000000001</v>
      </c>
      <c r="AR35">
        <v>0.36067723000000002</v>
      </c>
      <c r="AS35">
        <v>0.41932997999999999</v>
      </c>
      <c r="AT35">
        <v>-32.757618999999998</v>
      </c>
    </row>
    <row r="36" spans="1:46" x14ac:dyDescent="0.25">
      <c r="A36">
        <v>34</v>
      </c>
      <c r="B36">
        <v>9.330200000000012</v>
      </c>
      <c r="C36">
        <v>0.54079603296703305</v>
      </c>
      <c r="D36">
        <v>0.20627750978373929</v>
      </c>
      <c r="E36">
        <v>2.5464063312422451E-2</v>
      </c>
      <c r="F36">
        <v>4.0303645042588476</v>
      </c>
      <c r="G36">
        <v>8.5776964000000007</v>
      </c>
      <c r="H36">
        <v>-10.808752</v>
      </c>
      <c r="I36">
        <v>-7.2607866000000003</v>
      </c>
      <c r="J36">
        <v>9.4896273999999998</v>
      </c>
      <c r="K36">
        <v>5.0254187999999997</v>
      </c>
      <c r="L36">
        <v>-8.1815343999999985</v>
      </c>
      <c r="M36">
        <v>23.025061999999998</v>
      </c>
      <c r="N36">
        <v>0.36108094980000038</v>
      </c>
      <c r="O36">
        <v>-17.858201999999999</v>
      </c>
      <c r="P36">
        <v>47.755684000000002</v>
      </c>
      <c r="Q36">
        <v>-4.3813819999999994</v>
      </c>
      <c r="R36">
        <v>18.228722000000001</v>
      </c>
      <c r="S36">
        <v>25.095687999999999</v>
      </c>
      <c r="T36">
        <v>-10.508986</v>
      </c>
      <c r="U36">
        <v>-85.702974999999938</v>
      </c>
      <c r="V36">
        <v>35.480250000000048</v>
      </c>
      <c r="W36">
        <v>93.852224999999933</v>
      </c>
      <c r="X36">
        <v>-3.779575000000047</v>
      </c>
      <c r="Y36">
        <v>-79.393199999999993</v>
      </c>
      <c r="Z36">
        <v>-131.60352499999999</v>
      </c>
      <c r="AA36">
        <v>-593.89975000000004</v>
      </c>
      <c r="AB36">
        <v>-98.555697474999974</v>
      </c>
      <c r="AC36">
        <v>-125.6137499999999</v>
      </c>
      <c r="AD36">
        <v>117.3185000000004</v>
      </c>
      <c r="AE36">
        <v>-173.94859999999991</v>
      </c>
      <c r="AF36">
        <v>110.96599999999999</v>
      </c>
      <c r="AG36">
        <v>500.07975000000027</v>
      </c>
      <c r="AH36">
        <v>-115.62547500000009</v>
      </c>
      <c r="AI36">
        <v>0.90496870000000063</v>
      </c>
      <c r="AJ36">
        <v>0.18737232000000051</v>
      </c>
      <c r="AK36">
        <v>-2.0673420000000109E-2</v>
      </c>
      <c r="AL36">
        <v>8.3401822000000045</v>
      </c>
      <c r="AM36">
        <v>4.0828150000000001</v>
      </c>
      <c r="AN36">
        <v>1.4857456</v>
      </c>
      <c r="AO36">
        <v>0.44971425999999998</v>
      </c>
      <c r="AP36">
        <v>-6.672558600000003</v>
      </c>
      <c r="AQ36">
        <v>4.5065080000000002</v>
      </c>
      <c r="AR36">
        <v>0.36523618000000002</v>
      </c>
      <c r="AS36">
        <v>0.41550461999999999</v>
      </c>
      <c r="AT36">
        <v>-30.34998400000001</v>
      </c>
    </row>
    <row r="37" spans="1:46" x14ac:dyDescent="0.25">
      <c r="A37">
        <v>35</v>
      </c>
      <c r="B37">
        <v>9.3342500000000079</v>
      </c>
      <c r="C37">
        <v>0.54059145604395609</v>
      </c>
      <c r="D37">
        <v>0.2350699298562815</v>
      </c>
      <c r="E37">
        <v>4.0656383434488602E-2</v>
      </c>
      <c r="F37">
        <v>4.0089466649950456</v>
      </c>
      <c r="G37">
        <v>8.4823810000000002</v>
      </c>
      <c r="H37">
        <v>-10.76863</v>
      </c>
      <c r="I37">
        <v>-7.1568015000000003</v>
      </c>
      <c r="J37">
        <v>9.4821834999999997</v>
      </c>
      <c r="K37">
        <v>4.9366319999999986</v>
      </c>
      <c r="L37">
        <v>-8.3143960000000003</v>
      </c>
      <c r="M37">
        <v>22.373255</v>
      </c>
      <c r="N37">
        <v>0.23975337450000009</v>
      </c>
      <c r="O37">
        <v>-17.998304999999998</v>
      </c>
      <c r="P37">
        <v>47.86336</v>
      </c>
      <c r="Q37">
        <v>-4.5665750000000003</v>
      </c>
      <c r="R37">
        <v>18.329405000000001</v>
      </c>
      <c r="S37">
        <v>25.590219999999999</v>
      </c>
      <c r="T37">
        <v>-10.623115</v>
      </c>
      <c r="U37">
        <v>-87.92743749999994</v>
      </c>
      <c r="V37">
        <v>36.725625000000029</v>
      </c>
      <c r="W37">
        <v>96.474937499999953</v>
      </c>
      <c r="X37">
        <v>-5.5976875000000472</v>
      </c>
      <c r="Y37">
        <v>-81.854249999999993</v>
      </c>
      <c r="Z37">
        <v>-123.6381875</v>
      </c>
      <c r="AA37">
        <v>-601.02437499999996</v>
      </c>
      <c r="AB37">
        <v>-109.70185806249999</v>
      </c>
      <c r="AC37">
        <v>-127.95937499999989</v>
      </c>
      <c r="AD37">
        <v>100.39625000000029</v>
      </c>
      <c r="AE37">
        <v>-170.15712499999989</v>
      </c>
      <c r="AF37">
        <v>95.596249999999898</v>
      </c>
      <c r="AG37">
        <v>460.56187500000021</v>
      </c>
      <c r="AH37">
        <v>-105.2780625</v>
      </c>
      <c r="AI37">
        <v>0.70333675000000007</v>
      </c>
      <c r="AJ37">
        <v>3.8230800000000058E-2</v>
      </c>
      <c r="AK37">
        <v>1.648019999999999E-2</v>
      </c>
      <c r="AL37">
        <v>6.4934605000000003</v>
      </c>
      <c r="AM37">
        <v>4.1644224999999997</v>
      </c>
      <c r="AN37">
        <v>1.448599</v>
      </c>
      <c r="AO37">
        <v>0.44904115</v>
      </c>
      <c r="AP37">
        <v>-5.7161565000000003</v>
      </c>
      <c r="AQ37">
        <v>4.5255700000000001</v>
      </c>
      <c r="AR37">
        <v>0.36934044999999999</v>
      </c>
      <c r="AS37">
        <v>0.41236155000000002</v>
      </c>
      <c r="AT37">
        <v>-27.725259999999999</v>
      </c>
    </row>
    <row r="38" spans="1:46" x14ac:dyDescent="0.25">
      <c r="A38">
        <v>36</v>
      </c>
      <c r="B38">
        <v>9.3383000000000056</v>
      </c>
      <c r="C38">
        <v>0.54038687912087913</v>
      </c>
      <c r="D38">
        <v>0.26159128916491559</v>
      </c>
      <c r="E38">
        <v>5.0051275221051239E-2</v>
      </c>
      <c r="F38">
        <v>3.9792768041300319</v>
      </c>
      <c r="G38">
        <v>8.3870655999999997</v>
      </c>
      <c r="H38">
        <v>-10.728508</v>
      </c>
      <c r="I38">
        <v>-7.0528164000000002</v>
      </c>
      <c r="J38">
        <v>9.4747395999999995</v>
      </c>
      <c r="K38">
        <v>4.8478452000000001</v>
      </c>
      <c r="L38">
        <v>-8.4472576000000004</v>
      </c>
      <c r="M38">
        <v>21.721447999999999</v>
      </c>
      <c r="N38">
        <v>0.1184257991999997</v>
      </c>
      <c r="O38">
        <v>-18.138407999999998</v>
      </c>
      <c r="P38">
        <v>47.971036000000012</v>
      </c>
      <c r="Q38">
        <v>-4.7517680000000002</v>
      </c>
      <c r="R38">
        <v>18.430088000000001</v>
      </c>
      <c r="S38">
        <v>26.084752000000002</v>
      </c>
      <c r="T38">
        <v>-10.737244</v>
      </c>
      <c r="U38">
        <v>-90.151899999999941</v>
      </c>
      <c r="V38">
        <v>37.970999999999997</v>
      </c>
      <c r="W38">
        <v>99.097649999999987</v>
      </c>
      <c r="X38">
        <v>-7.415800000000047</v>
      </c>
      <c r="Y38">
        <v>-84.315299999999993</v>
      </c>
      <c r="Z38">
        <v>-115.6728500000001</v>
      </c>
      <c r="AA38">
        <v>-608.14899999999989</v>
      </c>
      <c r="AB38">
        <v>-120.84801865</v>
      </c>
      <c r="AC38">
        <v>-130.30499999999981</v>
      </c>
      <c r="AD38">
        <v>83.474000000000103</v>
      </c>
      <c r="AE38">
        <v>-166.3656499999999</v>
      </c>
      <c r="AF38">
        <v>80.226499999999817</v>
      </c>
      <c r="AG38">
        <v>421.0440000000001</v>
      </c>
      <c r="AH38">
        <v>-94.930650000000014</v>
      </c>
      <c r="AI38">
        <v>0.50170479999999962</v>
      </c>
      <c r="AJ38">
        <v>-0.1109107200000003</v>
      </c>
      <c r="AK38">
        <v>5.3633820000000089E-2</v>
      </c>
      <c r="AL38">
        <v>4.6467387999999952</v>
      </c>
      <c r="AM38">
        <v>4.2460300000000002</v>
      </c>
      <c r="AN38">
        <v>1.4114523999999999</v>
      </c>
      <c r="AO38">
        <v>0.44836804000000002</v>
      </c>
      <c r="AP38">
        <v>-4.7597543999999976</v>
      </c>
      <c r="AQ38">
        <v>4.544632</v>
      </c>
      <c r="AR38">
        <v>0.37344472000000001</v>
      </c>
      <c r="AS38">
        <v>0.40921848</v>
      </c>
      <c r="AT38">
        <v>-25.100535999999991</v>
      </c>
    </row>
    <row r="39" spans="1:46" x14ac:dyDescent="0.25">
      <c r="A39">
        <v>37</v>
      </c>
      <c r="B39">
        <v>9.3423500000000015</v>
      </c>
      <c r="C39">
        <v>0.54018230219780228</v>
      </c>
      <c r="D39">
        <v>0.28769843759665681</v>
      </c>
      <c r="E39">
        <v>5.3507774419524909E-2</v>
      </c>
      <c r="F39">
        <v>3.958778144354957</v>
      </c>
      <c r="G39">
        <v>8.291750200000001</v>
      </c>
      <c r="H39">
        <v>-10.688385999999999</v>
      </c>
      <c r="I39">
        <v>-6.9488312999999993</v>
      </c>
      <c r="J39">
        <v>9.4672956999999993</v>
      </c>
      <c r="K39">
        <v>4.7590583999999998</v>
      </c>
      <c r="L39">
        <v>-8.5801192000000004</v>
      </c>
      <c r="M39">
        <v>21.069641000000001</v>
      </c>
      <c r="N39">
        <v>-2.9017761000005859E-3</v>
      </c>
      <c r="O39">
        <v>-18.278511000000002</v>
      </c>
      <c r="P39">
        <v>48.078712000000003</v>
      </c>
      <c r="Q39">
        <v>-4.9369610000000002</v>
      </c>
      <c r="R39">
        <v>18.530771000000001</v>
      </c>
      <c r="S39">
        <v>26.579284000000001</v>
      </c>
      <c r="T39">
        <v>-10.851373000000001</v>
      </c>
      <c r="U39">
        <v>-92.376362499999942</v>
      </c>
      <c r="V39">
        <v>39.216374999999992</v>
      </c>
      <c r="W39">
        <v>101.72036249999999</v>
      </c>
      <c r="X39">
        <v>-9.2339125000000486</v>
      </c>
      <c r="Y39">
        <v>-86.776349999999994</v>
      </c>
      <c r="Z39">
        <v>-107.70751250000011</v>
      </c>
      <c r="AA39">
        <v>-615.27362499999981</v>
      </c>
      <c r="AB39">
        <v>-131.99417923749999</v>
      </c>
      <c r="AC39">
        <v>-132.65062499999971</v>
      </c>
      <c r="AD39">
        <v>66.551749999999927</v>
      </c>
      <c r="AE39">
        <v>-162.57417499999991</v>
      </c>
      <c r="AF39">
        <v>64.856749999999749</v>
      </c>
      <c r="AG39">
        <v>381.52612499999998</v>
      </c>
      <c r="AH39">
        <v>-84.583237499999996</v>
      </c>
      <c r="AI39">
        <v>0.30007284999999911</v>
      </c>
      <c r="AJ39">
        <v>-0.26005224000000071</v>
      </c>
      <c r="AK39">
        <v>9.0787440000000191E-2</v>
      </c>
      <c r="AL39">
        <v>2.8000170999999909</v>
      </c>
      <c r="AM39">
        <v>4.3276375000000007</v>
      </c>
      <c r="AN39">
        <v>1.3743057999999999</v>
      </c>
      <c r="AO39">
        <v>0.44769492999999999</v>
      </c>
      <c r="AP39">
        <v>-3.8033522999999949</v>
      </c>
      <c r="AQ39">
        <v>4.5636939999999999</v>
      </c>
      <c r="AR39">
        <v>0.37754898999999997</v>
      </c>
      <c r="AS39">
        <v>0.40607541000000003</v>
      </c>
      <c r="AT39">
        <v>-22.47581199999998</v>
      </c>
    </row>
    <row r="40" spans="1:46" x14ac:dyDescent="0.25">
      <c r="A40">
        <v>38</v>
      </c>
      <c r="B40">
        <v>9.3467249999999975</v>
      </c>
      <c r="C40">
        <v>0.54003372527472526</v>
      </c>
      <c r="D40">
        <v>0.30868866551263408</v>
      </c>
      <c r="E40">
        <v>5.3448085763454417E-2</v>
      </c>
      <c r="F40">
        <v>3.9345772419184439</v>
      </c>
      <c r="G40">
        <v>8.1876910000000009</v>
      </c>
      <c r="H40">
        <v>-10.64387</v>
      </c>
      <c r="I40">
        <v>-6.8333333999999999</v>
      </c>
      <c r="J40">
        <v>9.4548416</v>
      </c>
      <c r="K40">
        <v>4.6605840000000001</v>
      </c>
      <c r="L40">
        <v>-8.6805172000000006</v>
      </c>
      <c r="M40">
        <v>20.392848000000001</v>
      </c>
      <c r="N40">
        <v>-0.16596798860000009</v>
      </c>
      <c r="O40">
        <v>-18.424880000000002</v>
      </c>
      <c r="P40">
        <v>48.116135999999997</v>
      </c>
      <c r="Q40">
        <v>-5.1033482000000001</v>
      </c>
      <c r="R40">
        <v>18.571263999999999</v>
      </c>
      <c r="S40">
        <v>26.911913999999999</v>
      </c>
      <c r="T40">
        <v>-10.920833999999999</v>
      </c>
      <c r="U40">
        <v>-94.671024999999972</v>
      </c>
      <c r="V40">
        <v>40.266749999999938</v>
      </c>
      <c r="W40">
        <v>105.01875</v>
      </c>
      <c r="X40">
        <v>-9.9870000000000001</v>
      </c>
      <c r="Y40">
        <v>-89.345299999999995</v>
      </c>
      <c r="Z40">
        <v>-98.969000000000122</v>
      </c>
      <c r="AA40">
        <v>-621.11124999999981</v>
      </c>
      <c r="AB40">
        <v>-142.26160482500001</v>
      </c>
      <c r="AC40">
        <v>-133.49474999999981</v>
      </c>
      <c r="AD40">
        <v>47.28624999999991</v>
      </c>
      <c r="AE40">
        <v>-156.53824999999989</v>
      </c>
      <c r="AF40">
        <v>48.992999999999789</v>
      </c>
      <c r="AG40">
        <v>337.63700000000011</v>
      </c>
      <c r="AH40">
        <v>-72.314750000000032</v>
      </c>
      <c r="AI40">
        <v>-1.9390320000000131E-2</v>
      </c>
      <c r="AJ40">
        <v>-0.38456604000000011</v>
      </c>
      <c r="AK40">
        <v>0.11860875</v>
      </c>
      <c r="AL40">
        <v>-0.18861940000000121</v>
      </c>
      <c r="AM40">
        <v>4.4546722000000001</v>
      </c>
      <c r="AN40">
        <v>1.3656994</v>
      </c>
      <c r="AO40">
        <v>0.45588444</v>
      </c>
      <c r="AP40">
        <v>-2.5755203400000002</v>
      </c>
      <c r="AQ40">
        <v>4.5755201999999997</v>
      </c>
      <c r="AR40">
        <v>0.37942323999999999</v>
      </c>
      <c r="AS40">
        <v>0.41095359999999997</v>
      </c>
      <c r="AT40">
        <v>-19.432539999999999</v>
      </c>
    </row>
    <row r="41" spans="1:46" x14ac:dyDescent="0.25">
      <c r="A41">
        <v>39</v>
      </c>
      <c r="B41">
        <v>9.3511124999999922</v>
      </c>
      <c r="C41">
        <v>0.53988730219780223</v>
      </c>
      <c r="D41">
        <v>0.32298962198497411</v>
      </c>
      <c r="E41">
        <v>4.8782611740508693E-2</v>
      </c>
      <c r="F41">
        <v>3.919149587192718</v>
      </c>
      <c r="G41">
        <v>8.0832955000000002</v>
      </c>
      <c r="H41">
        <v>-10.599185</v>
      </c>
      <c r="I41">
        <v>-6.7173927000000004</v>
      </c>
      <c r="J41">
        <v>9.4421947999999993</v>
      </c>
      <c r="K41">
        <v>4.5617369999999999</v>
      </c>
      <c r="L41">
        <v>-8.7796666000000005</v>
      </c>
      <c r="M41">
        <v>19.715094000000001</v>
      </c>
      <c r="N41">
        <v>-0.33063953330000051</v>
      </c>
      <c r="O41">
        <v>-18.571490000000001</v>
      </c>
      <c r="P41">
        <v>48.150857999999999</v>
      </c>
      <c r="Q41">
        <v>-5.2690121000000003</v>
      </c>
      <c r="R41">
        <v>18.609442000000001</v>
      </c>
      <c r="S41">
        <v>27.238316999999999</v>
      </c>
      <c r="T41">
        <v>-10.988576999999999</v>
      </c>
      <c r="U41">
        <v>-96.96838750000002</v>
      </c>
      <c r="V41">
        <v>41.309624999999919</v>
      </c>
      <c r="W41">
        <v>108.343125</v>
      </c>
      <c r="X41">
        <v>-10.69912499999996</v>
      </c>
      <c r="Y41">
        <v>-91.918400000000005</v>
      </c>
      <c r="Z41">
        <v>-90.200750000000085</v>
      </c>
      <c r="AA41">
        <v>-626.89937499999996</v>
      </c>
      <c r="AB41">
        <v>-152.4952329125</v>
      </c>
      <c r="AC41">
        <v>-134.28112499999989</v>
      </c>
      <c r="AD41">
        <v>27.930624999999772</v>
      </c>
      <c r="AE41">
        <v>-150.416</v>
      </c>
      <c r="AF41">
        <v>33.110249999999709</v>
      </c>
      <c r="AG41">
        <v>293.57974999999988</v>
      </c>
      <c r="AH41">
        <v>-59.972374999999992</v>
      </c>
      <c r="AI41">
        <v>-0.34338546000000092</v>
      </c>
      <c r="AJ41">
        <v>-0.50813262000000048</v>
      </c>
      <c r="AK41">
        <v>0.14607112500000011</v>
      </c>
      <c r="AL41">
        <v>-3.2211757000000079</v>
      </c>
      <c r="AM41">
        <v>4.5834541000000009</v>
      </c>
      <c r="AN41">
        <v>1.3581907</v>
      </c>
      <c r="AO41">
        <v>0.46441482000000012</v>
      </c>
      <c r="AP41">
        <v>-1.337248769999996</v>
      </c>
      <c r="AQ41">
        <v>4.5870680999999998</v>
      </c>
      <c r="AR41">
        <v>0.38121171999999998</v>
      </c>
      <c r="AS41">
        <v>0.41614030000000002</v>
      </c>
      <c r="AT41">
        <v>-16.373169999999991</v>
      </c>
    </row>
    <row r="42" spans="1:46" x14ac:dyDescent="0.25">
      <c r="A42">
        <v>40</v>
      </c>
      <c r="B42">
        <v>9.3554999999999886</v>
      </c>
      <c r="C42">
        <v>0.53974087912087909</v>
      </c>
      <c r="D42">
        <v>0.33075842898560542</v>
      </c>
      <c r="E42">
        <v>4.3743139855600917E-2</v>
      </c>
      <c r="F42">
        <v>3.906150260229571</v>
      </c>
      <c r="G42">
        <v>7.9789000000000003</v>
      </c>
      <c r="H42">
        <v>-10.554500000000001</v>
      </c>
      <c r="I42">
        <v>-6.6014519999999992</v>
      </c>
      <c r="J42">
        <v>9.4295480000000005</v>
      </c>
      <c r="K42">
        <v>4.4628899999999989</v>
      </c>
      <c r="L42">
        <v>-8.8788160000000005</v>
      </c>
      <c r="M42">
        <v>19.03734</v>
      </c>
      <c r="N42">
        <v>-0.49531107800000101</v>
      </c>
      <c r="O42">
        <v>-18.7181</v>
      </c>
      <c r="P42">
        <v>48.185580000000002</v>
      </c>
      <c r="Q42">
        <v>-5.4346760000000014</v>
      </c>
      <c r="R42">
        <v>18.64762</v>
      </c>
      <c r="S42">
        <v>27.564720000000001</v>
      </c>
      <c r="T42">
        <v>-11.056319999999999</v>
      </c>
      <c r="U42">
        <v>-99.265750000000082</v>
      </c>
      <c r="V42">
        <v>42.352499999999893</v>
      </c>
      <c r="W42">
        <v>111.6675000000001</v>
      </c>
      <c r="X42">
        <v>-11.411249999999921</v>
      </c>
      <c r="Y42">
        <v>-94.49150000000003</v>
      </c>
      <c r="Z42">
        <v>-81.432500000000061</v>
      </c>
      <c r="AA42">
        <v>-632.6875</v>
      </c>
      <c r="AB42">
        <v>-162.72886100000011</v>
      </c>
      <c r="AC42">
        <v>-135.0675</v>
      </c>
      <c r="AD42">
        <v>8.5749999999996263</v>
      </c>
      <c r="AE42">
        <v>-144.29374999999999</v>
      </c>
      <c r="AF42">
        <v>17.22749999999964</v>
      </c>
      <c r="AG42">
        <v>249.5224999999997</v>
      </c>
      <c r="AH42">
        <v>-47.629999999999939</v>
      </c>
      <c r="AI42">
        <v>-0.66738060000000188</v>
      </c>
      <c r="AJ42">
        <v>-0.63169920000000079</v>
      </c>
      <c r="AK42">
        <v>0.17353350000000009</v>
      </c>
      <c r="AL42">
        <v>-6.2537320000000172</v>
      </c>
      <c r="AM42">
        <v>4.7122360000000008</v>
      </c>
      <c r="AN42">
        <v>1.3506819999999999</v>
      </c>
      <c r="AO42">
        <v>0.47294520000000012</v>
      </c>
      <c r="AP42">
        <v>-9.8977199999993548E-2</v>
      </c>
      <c r="AQ42">
        <v>4.5986159999999998</v>
      </c>
      <c r="AR42">
        <v>0.38300020000000001</v>
      </c>
      <c r="AS42">
        <v>0.42132700000000001</v>
      </c>
      <c r="AT42">
        <v>-13.313799999999979</v>
      </c>
    </row>
    <row r="43" spans="1:46" x14ac:dyDescent="0.25">
      <c r="A43">
        <v>41</v>
      </c>
      <c r="B43">
        <v>9.3600624999999855</v>
      </c>
      <c r="C43">
        <v>0.53960930219780212</v>
      </c>
      <c r="D43">
        <v>0.33510309660463261</v>
      </c>
      <c r="E43">
        <v>3.723940837392322E-2</v>
      </c>
      <c r="F43">
        <v>3.8899256835583498</v>
      </c>
      <c r="G43">
        <v>7.8720937000000006</v>
      </c>
      <c r="H43">
        <v>-10.508834999999999</v>
      </c>
      <c r="I43">
        <v>-6.4817159000000002</v>
      </c>
      <c r="J43">
        <v>9.4167731000000003</v>
      </c>
      <c r="K43">
        <v>4.3613143999999986</v>
      </c>
      <c r="L43">
        <v>-8.9685196000000005</v>
      </c>
      <c r="M43">
        <v>18.354308</v>
      </c>
      <c r="N43">
        <v>-0.66997060000000019</v>
      </c>
      <c r="O43">
        <v>-18.864654000000002</v>
      </c>
      <c r="P43">
        <v>48.199071000000004</v>
      </c>
      <c r="Q43">
        <v>-5.5927049999999996</v>
      </c>
      <c r="R43">
        <v>18.669060999999999</v>
      </c>
      <c r="S43">
        <v>27.843333999999999</v>
      </c>
      <c r="T43">
        <v>-11.11049</v>
      </c>
      <c r="U43">
        <v>-101.5719500000001</v>
      </c>
      <c r="V43">
        <v>43.347249999999867</v>
      </c>
      <c r="W43">
        <v>115.1541000000001</v>
      </c>
      <c r="X43">
        <v>-11.805574999999889</v>
      </c>
      <c r="Y43">
        <v>-97.092337500000028</v>
      </c>
      <c r="Z43">
        <v>-72.519000000000077</v>
      </c>
      <c r="AA43">
        <v>-638.09850000000006</v>
      </c>
      <c r="AB43">
        <v>-172.5806984125</v>
      </c>
      <c r="AC43">
        <v>-135.40937500000001</v>
      </c>
      <c r="AD43">
        <v>-11.27762500000034</v>
      </c>
      <c r="AE43">
        <v>-137.52347499999999</v>
      </c>
      <c r="AF43">
        <v>1.2029999999997341</v>
      </c>
      <c r="AG43">
        <v>204.5018749999999</v>
      </c>
      <c r="AH43">
        <v>-35.012874999999987</v>
      </c>
      <c r="AI43">
        <v>-0.99658731000000023</v>
      </c>
      <c r="AJ43">
        <v>-0.75808510000000018</v>
      </c>
      <c r="AK43">
        <v>0.20094334</v>
      </c>
      <c r="AL43">
        <v>-9.3263871000000016</v>
      </c>
      <c r="AM43">
        <v>4.8412034000000004</v>
      </c>
      <c r="AN43">
        <v>1.3416410000000001</v>
      </c>
      <c r="AO43">
        <v>0.48133683999999999</v>
      </c>
      <c r="AP43">
        <v>1.234065130000001</v>
      </c>
      <c r="AQ43">
        <v>4.6049810999999998</v>
      </c>
      <c r="AR43">
        <v>0.38461605999999998</v>
      </c>
      <c r="AS43">
        <v>0.42565710999999989</v>
      </c>
      <c r="AT43">
        <v>-10.1766586</v>
      </c>
    </row>
    <row r="44" spans="1:46" x14ac:dyDescent="0.25">
      <c r="A44">
        <v>42</v>
      </c>
      <c r="B44">
        <v>9.3651249999999884</v>
      </c>
      <c r="C44">
        <v>0.53952014285714278</v>
      </c>
      <c r="D44">
        <v>0.34160326767980231</v>
      </c>
      <c r="E44">
        <v>3.119868926771175E-2</v>
      </c>
      <c r="F44">
        <v>3.8737994350179838</v>
      </c>
      <c r="G44">
        <v>7.7583994000000001</v>
      </c>
      <c r="H44">
        <v>-10.460369999999999</v>
      </c>
      <c r="I44">
        <v>-6.3511357999999998</v>
      </c>
      <c r="J44">
        <v>9.4036322000000006</v>
      </c>
      <c r="K44">
        <v>4.2519427999999992</v>
      </c>
      <c r="L44">
        <v>-9.0312352000000011</v>
      </c>
      <c r="M44">
        <v>17.656196000000001</v>
      </c>
      <c r="N44">
        <v>-0.87316720000000025</v>
      </c>
      <c r="O44">
        <v>-19.011047999999999</v>
      </c>
      <c r="P44">
        <v>48.151902</v>
      </c>
      <c r="Q44">
        <v>-5.7289199999999996</v>
      </c>
      <c r="R44">
        <v>18.642682000000001</v>
      </c>
      <c r="S44">
        <v>27.985408</v>
      </c>
      <c r="T44">
        <v>-11.12588</v>
      </c>
      <c r="U44">
        <v>-103.9034000000001</v>
      </c>
      <c r="V44">
        <v>44.204499999999911</v>
      </c>
      <c r="W44">
        <v>119.10420000000001</v>
      </c>
      <c r="X44">
        <v>-11.291899999999909</v>
      </c>
      <c r="Y44">
        <v>-99.772425000000013</v>
      </c>
      <c r="Z44">
        <v>-63.190499999999993</v>
      </c>
      <c r="AA44">
        <v>-642.43200000000002</v>
      </c>
      <c r="AB44">
        <v>-181.34170532499999</v>
      </c>
      <c r="AC44">
        <v>-134.48124999999999</v>
      </c>
      <c r="AD44">
        <v>-32.550250000000297</v>
      </c>
      <c r="AE44">
        <v>-128.90170000000001</v>
      </c>
      <c r="AF44">
        <v>-15.22650000000012</v>
      </c>
      <c r="AG44">
        <v>156.72874999999991</v>
      </c>
      <c r="AH44">
        <v>-21.610749999999989</v>
      </c>
      <c r="AI44">
        <v>-1.34068422</v>
      </c>
      <c r="AJ44">
        <v>-0.89252620000000027</v>
      </c>
      <c r="AK44">
        <v>0.22820308000000011</v>
      </c>
      <c r="AL44">
        <v>-12.513610200000009</v>
      </c>
      <c r="AM44">
        <v>4.9707008000000004</v>
      </c>
      <c r="AN44">
        <v>1.328222</v>
      </c>
      <c r="AO44">
        <v>0.48933208</v>
      </c>
      <c r="AP44">
        <v>2.8378810600000031</v>
      </c>
      <c r="AQ44">
        <v>4.5965382000000004</v>
      </c>
      <c r="AR44">
        <v>0.38573871999999998</v>
      </c>
      <c r="AS44">
        <v>0.42753982000000001</v>
      </c>
      <c r="AT44">
        <v>-6.8173131999999947</v>
      </c>
    </row>
    <row r="45" spans="1:46" x14ac:dyDescent="0.25">
      <c r="A45">
        <v>43</v>
      </c>
      <c r="B45">
        <v>9.370187499999993</v>
      </c>
      <c r="C45">
        <v>0.53943098351648344</v>
      </c>
      <c r="D45">
        <v>0.35050219556492312</v>
      </c>
      <c r="E45">
        <v>2.5929896748067841E-2</v>
      </c>
      <c r="F45">
        <v>3.85280695918751</v>
      </c>
      <c r="G45">
        <v>7.6447050999999986</v>
      </c>
      <c r="H45">
        <v>-10.411905000000001</v>
      </c>
      <c r="I45">
        <v>-6.2205556999999994</v>
      </c>
      <c r="J45">
        <v>9.3904913000000008</v>
      </c>
      <c r="K45">
        <v>4.1425711999999999</v>
      </c>
      <c r="L45">
        <v>-9.0939508</v>
      </c>
      <c r="M45">
        <v>16.958083999999999</v>
      </c>
      <c r="N45">
        <v>-1.0763638</v>
      </c>
      <c r="O45">
        <v>-19.157442</v>
      </c>
      <c r="P45">
        <v>48.104733000000003</v>
      </c>
      <c r="Q45">
        <v>-5.8651350000000004</v>
      </c>
      <c r="R45">
        <v>18.616302999999998</v>
      </c>
      <c r="S45">
        <v>28.127482000000001</v>
      </c>
      <c r="T45">
        <v>-11.14127</v>
      </c>
      <c r="U45">
        <v>-106.23485000000009</v>
      </c>
      <c r="V45">
        <v>45.061749999999947</v>
      </c>
      <c r="W45">
        <v>123.0543</v>
      </c>
      <c r="X45">
        <v>-10.77822499999994</v>
      </c>
      <c r="Y45">
        <v>-102.4525125</v>
      </c>
      <c r="Z45">
        <v>-53.861999999999902</v>
      </c>
      <c r="AA45">
        <v>-646.76549999999997</v>
      </c>
      <c r="AB45">
        <v>-190.10271223749999</v>
      </c>
      <c r="AC45">
        <v>-133.55312500000011</v>
      </c>
      <c r="AD45">
        <v>-53.822875000000252</v>
      </c>
      <c r="AE45">
        <v>-120.27992500000001</v>
      </c>
      <c r="AF45">
        <v>-31.65599999999996</v>
      </c>
      <c r="AG45">
        <v>108.955625</v>
      </c>
      <c r="AH45">
        <v>-8.2086249999999765</v>
      </c>
      <c r="AI45">
        <v>-1.6847811300000011</v>
      </c>
      <c r="AJ45">
        <v>-1.0269672999999999</v>
      </c>
      <c r="AK45">
        <v>0.25546282000000009</v>
      </c>
      <c r="AL45">
        <v>-15.70083330000001</v>
      </c>
      <c r="AM45">
        <v>5.1001982000000003</v>
      </c>
      <c r="AN45">
        <v>1.3148029999999999</v>
      </c>
      <c r="AO45">
        <v>0.49732732000000002</v>
      </c>
      <c r="AP45">
        <v>4.4416969900000041</v>
      </c>
      <c r="AQ45">
        <v>4.5880953</v>
      </c>
      <c r="AR45">
        <v>0.38686137999999998</v>
      </c>
      <c r="AS45">
        <v>0.42942253000000002</v>
      </c>
      <c r="AT45">
        <v>-3.457967799999992</v>
      </c>
    </row>
    <row r="46" spans="1:46" x14ac:dyDescent="0.25">
      <c r="A46">
        <v>44</v>
      </c>
      <c r="B46">
        <v>9.3752499999999959</v>
      </c>
      <c r="C46">
        <v>0.53934182417582421</v>
      </c>
      <c r="D46">
        <v>0.36518684928770812</v>
      </c>
      <c r="E46">
        <v>2.0824882927795659E-2</v>
      </c>
      <c r="F46">
        <v>3.8248326059593989</v>
      </c>
      <c r="G46">
        <v>7.5310107999999998</v>
      </c>
      <c r="H46">
        <v>-10.363440000000001</v>
      </c>
      <c r="I46">
        <v>-6.0899755999999989</v>
      </c>
      <c r="J46">
        <v>9.377350400000001</v>
      </c>
      <c r="K46">
        <v>4.0331995999999997</v>
      </c>
      <c r="L46">
        <v>-9.1566664000000006</v>
      </c>
      <c r="M46">
        <v>16.259972000000001</v>
      </c>
      <c r="N46">
        <v>-1.2795604000000009</v>
      </c>
      <c r="O46">
        <v>-19.303836</v>
      </c>
      <c r="P46">
        <v>48.057563999999999</v>
      </c>
      <c r="Q46">
        <v>-6.0013500000000004</v>
      </c>
      <c r="R46">
        <v>18.589924</v>
      </c>
      <c r="S46">
        <v>28.269556000000001</v>
      </c>
      <c r="T46">
        <v>-11.15666</v>
      </c>
      <c r="U46">
        <v>-108.5663000000001</v>
      </c>
      <c r="V46">
        <v>45.91899999999999</v>
      </c>
      <c r="W46">
        <v>127.0044</v>
      </c>
      <c r="X46">
        <v>-10.264549999999961</v>
      </c>
      <c r="Y46">
        <v>-105.1326</v>
      </c>
      <c r="Z46">
        <v>-44.533499999999798</v>
      </c>
      <c r="AA46">
        <v>-651.09900000000005</v>
      </c>
      <c r="AB46">
        <v>-198.86371915000001</v>
      </c>
      <c r="AC46">
        <v>-132.62500000000011</v>
      </c>
      <c r="AD46">
        <v>-75.095500000000214</v>
      </c>
      <c r="AE46">
        <v>-111.65815000000001</v>
      </c>
      <c r="AF46">
        <v>-48.085499999999811</v>
      </c>
      <c r="AG46">
        <v>61.182499999999997</v>
      </c>
      <c r="AH46">
        <v>5.1935000000000286</v>
      </c>
      <c r="AI46">
        <v>-2.0288780400000008</v>
      </c>
      <c r="AJ46">
        <v>-1.1614084</v>
      </c>
      <c r="AK46">
        <v>0.28272256000000012</v>
      </c>
      <c r="AL46">
        <v>-18.888056400000011</v>
      </c>
      <c r="AM46">
        <v>5.2296956000000003</v>
      </c>
      <c r="AN46">
        <v>1.3013840000000001</v>
      </c>
      <c r="AO46">
        <v>0.50532255999999998</v>
      </c>
      <c r="AP46">
        <v>6.0455129200000046</v>
      </c>
      <c r="AQ46">
        <v>4.5796523999999996</v>
      </c>
      <c r="AR46">
        <v>0.38798403999999997</v>
      </c>
      <c r="AS46">
        <v>0.43130523999999998</v>
      </c>
      <c r="AT46">
        <v>-9.8622399999989341E-2</v>
      </c>
    </row>
    <row r="47" spans="1:46" x14ac:dyDescent="0.25">
      <c r="A47">
        <v>45</v>
      </c>
      <c r="B47">
        <v>9.3804999999999996</v>
      </c>
      <c r="C47">
        <v>0.53928357142857142</v>
      </c>
      <c r="D47">
        <v>0.38260164592516782</v>
      </c>
      <c r="E47">
        <v>1.253204064960424E-2</v>
      </c>
      <c r="F47">
        <v>3.799421455363623</v>
      </c>
      <c r="G47">
        <v>7.4121205000000003</v>
      </c>
      <c r="H47">
        <v>-10.313264999999999</v>
      </c>
      <c r="I47">
        <v>-5.9499725000000003</v>
      </c>
      <c r="J47">
        <v>9.3667670000000012</v>
      </c>
      <c r="K47">
        <v>3.9177635</v>
      </c>
      <c r="L47">
        <v>-9.1981629999999992</v>
      </c>
      <c r="M47">
        <v>15.55391</v>
      </c>
      <c r="N47">
        <v>-1.5002919999999991</v>
      </c>
      <c r="O47">
        <v>-19.446224999999998</v>
      </c>
      <c r="P47">
        <v>47.961345000000001</v>
      </c>
      <c r="Q47">
        <v>-6.1156065000000002</v>
      </c>
      <c r="R47">
        <v>18.526389999999999</v>
      </c>
      <c r="S47">
        <v>28.30171</v>
      </c>
      <c r="T47">
        <v>-11.14157</v>
      </c>
      <c r="U47">
        <v>-110.88575</v>
      </c>
      <c r="V47">
        <v>46.692812500000016</v>
      </c>
      <c r="W47">
        <v>131.24306250000001</v>
      </c>
      <c r="X47">
        <v>-9.0321874999999814</v>
      </c>
      <c r="Y47">
        <v>-107.84343749999999</v>
      </c>
      <c r="Z47">
        <v>-35.020874999999847</v>
      </c>
      <c r="AA47">
        <v>-654.56062499999996</v>
      </c>
      <c r="AB47">
        <v>-206.52306250000001</v>
      </c>
      <c r="AC47">
        <v>-130.73687500000011</v>
      </c>
      <c r="AD47">
        <v>-97.03000000000003</v>
      </c>
      <c r="AE47">
        <v>-101.72031250000001</v>
      </c>
      <c r="AF47">
        <v>-64.799999999999699</v>
      </c>
      <c r="AG47">
        <v>11.63750000000025</v>
      </c>
      <c r="AH47">
        <v>18.75124999999996</v>
      </c>
      <c r="AI47">
        <v>-2.317073999999999</v>
      </c>
      <c r="AJ47">
        <v>-1.2800590000000001</v>
      </c>
      <c r="AK47">
        <v>0.30583434999999998</v>
      </c>
      <c r="AL47">
        <v>-21.494699999999991</v>
      </c>
      <c r="AM47">
        <v>5.3223710000000004</v>
      </c>
      <c r="AN47">
        <v>1.2811895</v>
      </c>
      <c r="AO47">
        <v>0.51284934999999998</v>
      </c>
      <c r="AP47">
        <v>7.7475069999999961</v>
      </c>
      <c r="AQ47">
        <v>4.5549194999999996</v>
      </c>
      <c r="AR47">
        <v>0.38928400000000002</v>
      </c>
      <c r="AS47">
        <v>0.4314229</v>
      </c>
      <c r="AT47">
        <v>3.2671069999999909</v>
      </c>
    </row>
    <row r="48" spans="1:46" x14ac:dyDescent="0.25">
      <c r="A48">
        <v>46</v>
      </c>
      <c r="B48">
        <v>9.3859000000000012</v>
      </c>
      <c r="C48">
        <v>0.53925004395604392</v>
      </c>
      <c r="D48">
        <v>0.40336423986741488</v>
      </c>
      <c r="E48">
        <v>7.8337522959804895E-3</v>
      </c>
      <c r="F48">
        <v>3.759289510381036</v>
      </c>
      <c r="G48">
        <v>7.2890734000000004</v>
      </c>
      <c r="H48">
        <v>-10.261722000000001</v>
      </c>
      <c r="I48">
        <v>-5.8024310000000003</v>
      </c>
      <c r="J48">
        <v>9.3582296000000014</v>
      </c>
      <c r="K48">
        <v>3.7974758</v>
      </c>
      <c r="L48">
        <v>-9.2226844000000003</v>
      </c>
      <c r="M48">
        <v>14.841488</v>
      </c>
      <c r="N48">
        <v>-1.7350516</v>
      </c>
      <c r="O48">
        <v>-19.58541</v>
      </c>
      <c r="P48">
        <v>47.825885999999997</v>
      </c>
      <c r="Q48">
        <v>-6.2122961999999999</v>
      </c>
      <c r="R48">
        <v>18.433132000000001</v>
      </c>
      <c r="S48">
        <v>28.245927999999999</v>
      </c>
      <c r="T48">
        <v>-11.102096</v>
      </c>
      <c r="U48">
        <v>-113.1956</v>
      </c>
      <c r="V48">
        <v>47.399875000000051</v>
      </c>
      <c r="W48">
        <v>135.71257499999999</v>
      </c>
      <c r="X48">
        <v>-7.2248749999999919</v>
      </c>
      <c r="Y48">
        <v>-110.578875</v>
      </c>
      <c r="Z48">
        <v>-25.360949999999882</v>
      </c>
      <c r="AA48">
        <v>-657.32474999999999</v>
      </c>
      <c r="AB48">
        <v>-213.301075</v>
      </c>
      <c r="AC48">
        <v>-128.08074999999999</v>
      </c>
      <c r="AD48">
        <v>-119.494</v>
      </c>
      <c r="AE48">
        <v>-90.729624999999999</v>
      </c>
      <c r="AF48">
        <v>-81.742499999999836</v>
      </c>
      <c r="AG48">
        <v>-39.324999999999939</v>
      </c>
      <c r="AH48">
        <v>32.433500000000009</v>
      </c>
      <c r="AI48">
        <v>-2.5605492000000001</v>
      </c>
      <c r="AJ48">
        <v>-1.3860771999999999</v>
      </c>
      <c r="AK48">
        <v>0.32562777999999998</v>
      </c>
      <c r="AL48">
        <v>-23.636880000000001</v>
      </c>
      <c r="AM48">
        <v>5.3855887999999998</v>
      </c>
      <c r="AN48">
        <v>1.2555746000000001</v>
      </c>
      <c r="AO48">
        <v>0.52000137999999996</v>
      </c>
      <c r="AP48">
        <v>9.5280436000000002</v>
      </c>
      <c r="AQ48">
        <v>4.5171545999999996</v>
      </c>
      <c r="AR48">
        <v>0.39072580000000001</v>
      </c>
      <c r="AS48">
        <v>0.43012852000000001</v>
      </c>
      <c r="AT48">
        <v>6.6379436000000007</v>
      </c>
    </row>
    <row r="49" spans="1:46" x14ac:dyDescent="0.25">
      <c r="A49">
        <v>47</v>
      </c>
      <c r="B49">
        <v>9.3913000000000046</v>
      </c>
      <c r="C49">
        <v>0.53921651648351654</v>
      </c>
      <c r="D49">
        <v>0.42577874640801783</v>
      </c>
      <c r="E49">
        <v>3.424876436510607E-3</v>
      </c>
      <c r="F49">
        <v>3.724736164043656</v>
      </c>
      <c r="G49">
        <v>7.1660263000000004</v>
      </c>
      <c r="H49">
        <v>-10.210179</v>
      </c>
      <c r="I49">
        <v>-5.6548894999999986</v>
      </c>
      <c r="J49">
        <v>9.3496921999999998</v>
      </c>
      <c r="K49">
        <v>3.6771881</v>
      </c>
      <c r="L49">
        <v>-9.2472057999999997</v>
      </c>
      <c r="M49">
        <v>14.129066</v>
      </c>
      <c r="N49">
        <v>-1.969811200000001</v>
      </c>
      <c r="O49">
        <v>-19.724595000000001</v>
      </c>
      <c r="P49">
        <v>47.690427</v>
      </c>
      <c r="Q49">
        <v>-6.3089859000000006</v>
      </c>
      <c r="R49">
        <v>18.339873999999998</v>
      </c>
      <c r="S49">
        <v>28.190145999999999</v>
      </c>
      <c r="T49">
        <v>-11.062621999999999</v>
      </c>
      <c r="U49">
        <v>-115.50545</v>
      </c>
      <c r="V49">
        <v>48.106937500000093</v>
      </c>
      <c r="W49">
        <v>140.18208749999999</v>
      </c>
      <c r="X49">
        <v>-5.4175625000000034</v>
      </c>
      <c r="Y49">
        <v>-113.3143125</v>
      </c>
      <c r="Z49">
        <v>-15.70102499999992</v>
      </c>
      <c r="AA49">
        <v>-660.08887500000003</v>
      </c>
      <c r="AB49">
        <v>-220.07908750000001</v>
      </c>
      <c r="AC49">
        <v>-125.42462499999991</v>
      </c>
      <c r="AD49">
        <v>-141.958</v>
      </c>
      <c r="AE49">
        <v>-79.738937499999949</v>
      </c>
      <c r="AF49">
        <v>-98.68499999999996</v>
      </c>
      <c r="AG49">
        <v>-90.287500000000108</v>
      </c>
      <c r="AH49">
        <v>46.115750000000048</v>
      </c>
      <c r="AI49">
        <v>-2.8040244000000012</v>
      </c>
      <c r="AJ49">
        <v>-1.4920954</v>
      </c>
      <c r="AK49">
        <v>0.34542121000000009</v>
      </c>
      <c r="AL49">
        <v>-25.779060000000008</v>
      </c>
      <c r="AM49">
        <v>5.4488066000000002</v>
      </c>
      <c r="AN49">
        <v>1.2299597</v>
      </c>
      <c r="AO49">
        <v>0.52715341000000004</v>
      </c>
      <c r="AP49">
        <v>11.30858020000001</v>
      </c>
      <c r="AQ49">
        <v>4.4793896999999996</v>
      </c>
      <c r="AR49">
        <v>0.39216760000000001</v>
      </c>
      <c r="AS49">
        <v>0.42883413999999997</v>
      </c>
      <c r="AT49">
        <v>10.008780200000009</v>
      </c>
    </row>
    <row r="50" spans="1:46" x14ac:dyDescent="0.25">
      <c r="A50">
        <v>48</v>
      </c>
      <c r="B50">
        <v>9.396700000000008</v>
      </c>
      <c r="C50">
        <v>0.53918298901098904</v>
      </c>
      <c r="D50">
        <v>0.44854404363138017</v>
      </c>
      <c r="E50">
        <v>-3.6187142195165731E-4</v>
      </c>
      <c r="F50">
        <v>3.68448036622368</v>
      </c>
      <c r="G50">
        <v>7.0429792000000004</v>
      </c>
      <c r="H50">
        <v>-10.158636</v>
      </c>
      <c r="I50">
        <v>-5.5073480000000004</v>
      </c>
      <c r="J50">
        <v>9.3411548</v>
      </c>
      <c r="K50">
        <v>3.5569004</v>
      </c>
      <c r="L50">
        <v>-9.2717271999999991</v>
      </c>
      <c r="M50">
        <v>13.416644</v>
      </c>
      <c r="N50">
        <v>-2.2045707999999991</v>
      </c>
      <c r="O50">
        <v>-19.863779999999998</v>
      </c>
      <c r="P50">
        <v>47.554968000000002</v>
      </c>
      <c r="Q50">
        <v>-6.4056755999999986</v>
      </c>
      <c r="R50">
        <v>18.246616</v>
      </c>
      <c r="S50">
        <v>28.134364000000001</v>
      </c>
      <c r="T50">
        <v>-11.023148000000001</v>
      </c>
      <c r="U50">
        <v>-117.81529999999999</v>
      </c>
      <c r="V50">
        <v>48.814000000000121</v>
      </c>
      <c r="W50">
        <v>144.65159999999989</v>
      </c>
      <c r="X50">
        <v>-3.6102500000000259</v>
      </c>
      <c r="Y50">
        <v>-116.04975</v>
      </c>
      <c r="Z50">
        <v>-6.0411000000000143</v>
      </c>
      <c r="AA50">
        <v>-662.85300000000007</v>
      </c>
      <c r="AB50">
        <v>-226.8571</v>
      </c>
      <c r="AC50">
        <v>-122.7684999999999</v>
      </c>
      <c r="AD50">
        <v>-164.4219999999998</v>
      </c>
      <c r="AE50">
        <v>-68.748249999999985</v>
      </c>
      <c r="AF50">
        <v>-115.6275</v>
      </c>
      <c r="AG50">
        <v>-141.24999999999989</v>
      </c>
      <c r="AH50">
        <v>59.797999999999988</v>
      </c>
      <c r="AI50">
        <v>-3.0474996000000001</v>
      </c>
      <c r="AJ50">
        <v>-1.5981136</v>
      </c>
      <c r="AK50">
        <v>0.36521463999999998</v>
      </c>
      <c r="AL50">
        <v>-27.921240000000001</v>
      </c>
      <c r="AM50">
        <v>5.5120243999999996</v>
      </c>
      <c r="AN50">
        <v>1.2043448000000001</v>
      </c>
      <c r="AO50">
        <v>0.53430544000000002</v>
      </c>
      <c r="AP50">
        <v>13.089116799999999</v>
      </c>
      <c r="AQ50">
        <v>4.4416247999999996</v>
      </c>
      <c r="AR50">
        <v>0.3936094</v>
      </c>
      <c r="AS50">
        <v>0.42753975999999999</v>
      </c>
      <c r="AT50">
        <v>13.37961679999999</v>
      </c>
    </row>
    <row r="51" spans="1:46" x14ac:dyDescent="0.25">
      <c r="A51">
        <v>49</v>
      </c>
      <c r="B51">
        <v>9.4026750000000092</v>
      </c>
      <c r="C51">
        <v>0.53919457692307693</v>
      </c>
      <c r="D51">
        <v>0.47101128189525537</v>
      </c>
      <c r="E51">
        <v>-4.3395386032812032E-3</v>
      </c>
      <c r="F51">
        <v>3.642566042585929</v>
      </c>
      <c r="G51">
        <v>6.9121581000000001</v>
      </c>
      <c r="H51">
        <v>-10.104896500000001</v>
      </c>
      <c r="I51">
        <v>-5.3437961999999999</v>
      </c>
      <c r="J51">
        <v>9.3410124000000003</v>
      </c>
      <c r="K51">
        <v>3.4272700999999999</v>
      </c>
      <c r="L51">
        <v>-9.2629538</v>
      </c>
      <c r="M51">
        <v>12.697575000000001</v>
      </c>
      <c r="N51">
        <v>-2.4586342999999999</v>
      </c>
      <c r="O51">
        <v>-19.991005000000001</v>
      </c>
      <c r="P51">
        <v>47.341631</v>
      </c>
      <c r="Q51">
        <v>-6.4611355000000001</v>
      </c>
      <c r="R51">
        <v>18.094868999999999</v>
      </c>
      <c r="S51">
        <v>27.899826000000001</v>
      </c>
      <c r="T51">
        <v>-10.937168</v>
      </c>
      <c r="U51">
        <v>-120.0449375</v>
      </c>
      <c r="V51">
        <v>49.426187500000061</v>
      </c>
      <c r="W51">
        <v>149.44943749999999</v>
      </c>
      <c r="X51">
        <v>-0.68887500000002833</v>
      </c>
      <c r="Y51">
        <v>-118.7455125</v>
      </c>
      <c r="Z51">
        <v>3.7099624999999818</v>
      </c>
      <c r="AA51">
        <v>-664.18623750000006</v>
      </c>
      <c r="AB51">
        <v>-231.57977500000001</v>
      </c>
      <c r="AC51">
        <v>-118.7237499999999</v>
      </c>
      <c r="AD51">
        <v>-187.1533749999999</v>
      </c>
      <c r="AE51">
        <v>-56.143249999999973</v>
      </c>
      <c r="AF51">
        <v>-132.87475000000009</v>
      </c>
      <c r="AG51">
        <v>-194.69075000000009</v>
      </c>
      <c r="AH51">
        <v>73.215750000000043</v>
      </c>
      <c r="AI51">
        <v>-3.2498163</v>
      </c>
      <c r="AJ51">
        <v>-1.7053944999999999</v>
      </c>
      <c r="AK51">
        <v>0.38669903</v>
      </c>
      <c r="AL51">
        <v>-29.564159</v>
      </c>
      <c r="AM51">
        <v>5.5466807999999999</v>
      </c>
      <c r="AN51">
        <v>1.1629703</v>
      </c>
      <c r="AO51">
        <v>0.53865468999999999</v>
      </c>
      <c r="AP51">
        <v>14.877478</v>
      </c>
      <c r="AQ51">
        <v>4.3853770999999986</v>
      </c>
      <c r="AR51">
        <v>0.39483775999999998</v>
      </c>
      <c r="AS51">
        <v>0.42331265000000001</v>
      </c>
      <c r="AT51">
        <v>16.489661000000002</v>
      </c>
    </row>
    <row r="52" spans="1:46" x14ac:dyDescent="0.25">
      <c r="A52">
        <v>50</v>
      </c>
      <c r="B52">
        <v>9.4087500000000119</v>
      </c>
      <c r="C52">
        <v>0.53921401098901101</v>
      </c>
      <c r="D52">
        <v>0.49096555479011189</v>
      </c>
      <c r="E52">
        <v>-7.3951963600695503E-3</v>
      </c>
      <c r="F52">
        <v>3.599868284489657</v>
      </c>
      <c r="G52">
        <v>6.779984999999999</v>
      </c>
      <c r="H52">
        <v>-10.050775</v>
      </c>
      <c r="I52">
        <v>-5.17746</v>
      </c>
      <c r="J52">
        <v>9.3423300000000005</v>
      </c>
      <c r="K52">
        <v>3.2960149999999988</v>
      </c>
      <c r="L52">
        <v>-9.2483899999999988</v>
      </c>
      <c r="M52">
        <v>11.977349999999999</v>
      </c>
      <c r="N52">
        <v>-2.7160550000000012</v>
      </c>
      <c r="O52">
        <v>-20.116150000000001</v>
      </c>
      <c r="P52">
        <v>47.114750000000001</v>
      </c>
      <c r="Q52">
        <v>-6.5094250000000002</v>
      </c>
      <c r="R52">
        <v>17.932950000000002</v>
      </c>
      <c r="S52">
        <v>27.6342</v>
      </c>
      <c r="T52">
        <v>-10.8431</v>
      </c>
      <c r="U52">
        <v>-122.260625</v>
      </c>
      <c r="V52">
        <v>50.021874999999987</v>
      </c>
      <c r="W52">
        <v>154.30437499999999</v>
      </c>
      <c r="X52">
        <v>2.4262499999999738</v>
      </c>
      <c r="Y52">
        <v>-121.434375</v>
      </c>
      <c r="Z52">
        <v>13.47687499999998</v>
      </c>
      <c r="AA52">
        <v>-665.270625</v>
      </c>
      <c r="AB52">
        <v>-235.94499999999999</v>
      </c>
      <c r="AC52">
        <v>-114.4375</v>
      </c>
      <c r="AD52">
        <v>-209.93125000000001</v>
      </c>
      <c r="AE52">
        <v>-43.257499999999958</v>
      </c>
      <c r="AF52">
        <v>-150.17500000000021</v>
      </c>
      <c r="AG52">
        <v>-248.5625000000002</v>
      </c>
      <c r="AH52">
        <v>86.587500000000091</v>
      </c>
      <c r="AI52">
        <v>-3.4449750000000008</v>
      </c>
      <c r="AJ52">
        <v>-1.8128949999999999</v>
      </c>
      <c r="AK52">
        <v>0.40847749999999999</v>
      </c>
      <c r="AL52">
        <v>-31.120250000000009</v>
      </c>
      <c r="AM52">
        <v>5.5763700000000007</v>
      </c>
      <c r="AN52">
        <v>1.1188549999999999</v>
      </c>
      <c r="AO52">
        <v>0.54251650000000007</v>
      </c>
      <c r="AP52">
        <v>16.667200000000008</v>
      </c>
      <c r="AQ52">
        <v>4.3259149999999993</v>
      </c>
      <c r="AR52">
        <v>0.39602900000000002</v>
      </c>
      <c r="AS52">
        <v>0.41857549999999999</v>
      </c>
      <c r="AT52">
        <v>19.55435000000001</v>
      </c>
    </row>
    <row r="53" spans="1:46" x14ac:dyDescent="0.25">
      <c r="A53">
        <v>51</v>
      </c>
      <c r="B53">
        <v>9.4148250000000147</v>
      </c>
      <c r="C53">
        <v>0.53923344505494508</v>
      </c>
      <c r="D53">
        <v>0.50985557794654712</v>
      </c>
      <c r="E53">
        <v>-1.0022880637260111E-2</v>
      </c>
      <c r="F53">
        <v>3.556206243588</v>
      </c>
      <c r="G53">
        <v>6.6478118999999989</v>
      </c>
      <c r="H53">
        <v>-9.996653499999999</v>
      </c>
      <c r="I53">
        <v>-5.0111237999999991</v>
      </c>
      <c r="J53">
        <v>9.3436476000000006</v>
      </c>
      <c r="K53">
        <v>3.1647598999999991</v>
      </c>
      <c r="L53">
        <v>-9.2338261999999993</v>
      </c>
      <c r="M53">
        <v>11.25712499999999</v>
      </c>
      <c r="N53">
        <v>-2.9734757000000021</v>
      </c>
      <c r="O53">
        <v>-20.241295000000001</v>
      </c>
      <c r="P53">
        <v>46.887869000000002</v>
      </c>
      <c r="Q53">
        <v>-6.5577145000000003</v>
      </c>
      <c r="R53">
        <v>17.771031000000001</v>
      </c>
      <c r="S53">
        <v>27.368573999999999</v>
      </c>
      <c r="T53">
        <v>-10.749032</v>
      </c>
      <c r="U53">
        <v>-124.47631250000001</v>
      </c>
      <c r="V53">
        <v>50.617562499999927</v>
      </c>
      <c r="W53">
        <v>159.15931250000011</v>
      </c>
      <c r="X53">
        <v>5.5413749999999764</v>
      </c>
      <c r="Y53">
        <v>-124.1232375</v>
      </c>
      <c r="Z53">
        <v>23.243787499999971</v>
      </c>
      <c r="AA53">
        <v>-666.35501249999993</v>
      </c>
      <c r="AB53">
        <v>-240.310225</v>
      </c>
      <c r="AC53">
        <v>-110.15125</v>
      </c>
      <c r="AD53">
        <v>-232.70912500000011</v>
      </c>
      <c r="AE53">
        <v>-30.371749999999949</v>
      </c>
      <c r="AF53">
        <v>-167.47525000000039</v>
      </c>
      <c r="AG53">
        <v>-302.43425000000042</v>
      </c>
      <c r="AH53">
        <v>99.959250000000125</v>
      </c>
      <c r="AI53">
        <v>-3.640133700000002</v>
      </c>
      <c r="AJ53">
        <v>-1.920395500000001</v>
      </c>
      <c r="AK53">
        <v>0.4302559700000001</v>
      </c>
      <c r="AL53">
        <v>-32.676341000000008</v>
      </c>
      <c r="AM53">
        <v>5.6060592000000007</v>
      </c>
      <c r="AN53">
        <v>1.0747397000000001</v>
      </c>
      <c r="AO53">
        <v>0.54637831000000003</v>
      </c>
      <c r="AP53">
        <v>18.456922000000009</v>
      </c>
      <c r="AQ53">
        <v>4.2664528999999991</v>
      </c>
      <c r="AR53">
        <v>0.39722024</v>
      </c>
      <c r="AS53">
        <v>0.41383835000000002</v>
      </c>
      <c r="AT53">
        <v>22.619039000000019</v>
      </c>
    </row>
    <row r="54" spans="1:46" x14ac:dyDescent="0.25">
      <c r="A54">
        <v>52</v>
      </c>
      <c r="B54">
        <v>9.4210000000000154</v>
      </c>
      <c r="C54">
        <v>0.53926017582417585</v>
      </c>
      <c r="D54">
        <v>0.52836989482600327</v>
      </c>
      <c r="E54">
        <v>-1.246199476375036E-2</v>
      </c>
      <c r="F54">
        <v>3.5121926578645271</v>
      </c>
      <c r="G54">
        <v>6.5143647999999992</v>
      </c>
      <c r="H54">
        <v>-9.942207999999999</v>
      </c>
      <c r="I54">
        <v>-4.841818</v>
      </c>
      <c r="J54">
        <v>9.3471972000000001</v>
      </c>
      <c r="K54">
        <v>3.0319427999999999</v>
      </c>
      <c r="L54">
        <v>-9.2134771999999998</v>
      </c>
      <c r="M54">
        <v>10.536770799999999</v>
      </c>
      <c r="N54">
        <v>-3.2327127999999998</v>
      </c>
      <c r="O54">
        <v>-20.363440000000001</v>
      </c>
      <c r="P54">
        <v>46.647536000000002</v>
      </c>
      <c r="Q54">
        <v>-6.5979023999999997</v>
      </c>
      <c r="R54">
        <v>17.598780000000001</v>
      </c>
      <c r="S54">
        <v>27.070188000000002</v>
      </c>
      <c r="T54">
        <v>-10.647204</v>
      </c>
      <c r="U54">
        <v>-126.66575</v>
      </c>
      <c r="V54">
        <v>51.202299999999873</v>
      </c>
      <c r="W54">
        <v>164.0479500000001</v>
      </c>
      <c r="X54">
        <v>8.8440999999999619</v>
      </c>
      <c r="Y54">
        <v>-126.78355000000001</v>
      </c>
      <c r="Z54">
        <v>32.996199999999902</v>
      </c>
      <c r="AA54">
        <v>-667.17084999999997</v>
      </c>
      <c r="AB54">
        <v>-244.27205000000001</v>
      </c>
      <c r="AC54">
        <v>-105.65649999999999</v>
      </c>
      <c r="AD54">
        <v>-255.39</v>
      </c>
      <c r="AE54">
        <v>-17.326750000000029</v>
      </c>
      <c r="AF54">
        <v>-184.78000000000031</v>
      </c>
      <c r="AG54">
        <v>-356.71050000000008</v>
      </c>
      <c r="AH54">
        <v>113.2226000000001</v>
      </c>
      <c r="AI54">
        <v>-3.8330952000000011</v>
      </c>
      <c r="AJ54">
        <v>-2.028152</v>
      </c>
      <c r="AK54">
        <v>0.45240964</v>
      </c>
      <c r="AL54">
        <v>-34.188972</v>
      </c>
      <c r="AM54">
        <v>5.6334248000000002</v>
      </c>
      <c r="AN54">
        <v>1.02852988</v>
      </c>
      <c r="AO54">
        <v>0.54982104000000009</v>
      </c>
      <c r="AP54">
        <v>20.232731999999999</v>
      </c>
      <c r="AQ54">
        <v>4.2034723999999999</v>
      </c>
      <c r="AR54">
        <v>0.39851932000000001</v>
      </c>
      <c r="AS54">
        <v>0.40899299999999988</v>
      </c>
      <c r="AT54">
        <v>25.591191999999999</v>
      </c>
    </row>
    <row r="55" spans="1:46" x14ac:dyDescent="0.25">
      <c r="A55">
        <v>53</v>
      </c>
      <c r="B55">
        <v>9.4277500000000085</v>
      </c>
      <c r="C55">
        <v>0.53932886263736268</v>
      </c>
      <c r="D55">
        <v>0.54351412379047692</v>
      </c>
      <c r="E55">
        <v>-1.414986355211589E-2</v>
      </c>
      <c r="F55">
        <v>3.4626573239785818</v>
      </c>
      <c r="G55">
        <v>6.3735921999999992</v>
      </c>
      <c r="H55">
        <v>-9.8858995000000007</v>
      </c>
      <c r="I55">
        <v>-4.655437</v>
      </c>
      <c r="J55">
        <v>9.3635808000000011</v>
      </c>
      <c r="K55">
        <v>2.8901441999999991</v>
      </c>
      <c r="L55">
        <v>-9.1598632999999996</v>
      </c>
      <c r="M55">
        <v>9.8156736999999978</v>
      </c>
      <c r="N55">
        <v>-3.5023941999999999</v>
      </c>
      <c r="O55">
        <v>-20.468335</v>
      </c>
      <c r="P55">
        <v>46.329853999999997</v>
      </c>
      <c r="Q55">
        <v>-6.5915061000000001</v>
      </c>
      <c r="R55">
        <v>17.36712</v>
      </c>
      <c r="S55">
        <v>26.583431999999998</v>
      </c>
      <c r="T55">
        <v>-10.500756000000001</v>
      </c>
      <c r="U55">
        <v>-128.70425</v>
      </c>
      <c r="V55">
        <v>51.7240749999999</v>
      </c>
      <c r="W55">
        <v>169.1303625000001</v>
      </c>
      <c r="X55">
        <v>13.22552499999998</v>
      </c>
      <c r="Y55">
        <v>-129.27969999999999</v>
      </c>
      <c r="Z55">
        <v>42.665237499999932</v>
      </c>
      <c r="AA55">
        <v>-666.44252499999993</v>
      </c>
      <c r="AB55">
        <v>-245.91432499999999</v>
      </c>
      <c r="AC55">
        <v>-99.962874999999983</v>
      </c>
      <c r="AD55">
        <v>-277.51312500000017</v>
      </c>
      <c r="AE55">
        <v>-3.3660625000000342</v>
      </c>
      <c r="AF55">
        <v>-202.11062500000031</v>
      </c>
      <c r="AG55">
        <v>-413.31262500000008</v>
      </c>
      <c r="AH55">
        <v>125.8626500000001</v>
      </c>
      <c r="AI55">
        <v>-4.0134228000000007</v>
      </c>
      <c r="AJ55">
        <v>-2.1373804999999999</v>
      </c>
      <c r="AK55">
        <v>0.47672070999999999</v>
      </c>
      <c r="AL55">
        <v>-35.451708000000004</v>
      </c>
      <c r="AM55">
        <v>5.6474297</v>
      </c>
      <c r="AN55">
        <v>0.97027656999999989</v>
      </c>
      <c r="AO55">
        <v>0.55085406000000003</v>
      </c>
      <c r="AP55">
        <v>21.928547999999999</v>
      </c>
      <c r="AQ55">
        <v>4.1202610999999996</v>
      </c>
      <c r="AR55">
        <v>0.40043847999999999</v>
      </c>
      <c r="AS55">
        <v>0.40352549999999998</v>
      </c>
      <c r="AT55">
        <v>28.03126300000001</v>
      </c>
    </row>
    <row r="56" spans="1:46" x14ac:dyDescent="0.25">
      <c r="A56">
        <v>54</v>
      </c>
      <c r="B56">
        <v>9.4345000000000034</v>
      </c>
      <c r="C56">
        <v>0.53939754945054952</v>
      </c>
      <c r="D56">
        <v>0.55871183861727969</v>
      </c>
      <c r="E56">
        <v>-1.5975248437256971E-2</v>
      </c>
      <c r="F56">
        <v>3.408462860989641</v>
      </c>
      <c r="G56">
        <v>6.2328195999999991</v>
      </c>
      <c r="H56">
        <v>-9.8295910000000006</v>
      </c>
      <c r="I56">
        <v>-4.4690559999999993</v>
      </c>
      <c r="J56">
        <v>9.3799644000000004</v>
      </c>
      <c r="K56">
        <v>2.7483455999999999</v>
      </c>
      <c r="L56">
        <v>-9.1062493999999994</v>
      </c>
      <c r="M56">
        <v>9.0945765999999981</v>
      </c>
      <c r="N56">
        <v>-3.7720756000000009</v>
      </c>
      <c r="O56">
        <v>-20.573229999999999</v>
      </c>
      <c r="P56">
        <v>46.012172</v>
      </c>
      <c r="Q56">
        <v>-6.5851097999999997</v>
      </c>
      <c r="R56">
        <v>17.135459999999998</v>
      </c>
      <c r="S56">
        <v>26.096675999999999</v>
      </c>
      <c r="T56">
        <v>-10.354308</v>
      </c>
      <c r="U56">
        <v>-130.74275</v>
      </c>
      <c r="V56">
        <v>52.245849999999933</v>
      </c>
      <c r="W56">
        <v>174.21277500000011</v>
      </c>
      <c r="X56">
        <v>17.606950000000001</v>
      </c>
      <c r="Y56">
        <v>-131.77584999999999</v>
      </c>
      <c r="Z56">
        <v>52.334274999999963</v>
      </c>
      <c r="AA56">
        <v>-665.71419999999989</v>
      </c>
      <c r="AB56">
        <v>-247.5566</v>
      </c>
      <c r="AC56">
        <v>-94.269249999999943</v>
      </c>
      <c r="AD56">
        <v>-299.6362500000003</v>
      </c>
      <c r="AE56">
        <v>10.59462499999997</v>
      </c>
      <c r="AF56">
        <v>-219.44125000000011</v>
      </c>
      <c r="AG56">
        <v>-469.91475000000008</v>
      </c>
      <c r="AH56">
        <v>138.50270000000009</v>
      </c>
      <c r="AI56">
        <v>-4.1937504000000008</v>
      </c>
      <c r="AJ56">
        <v>-2.2466089999999999</v>
      </c>
      <c r="AK56">
        <v>0.50103178000000004</v>
      </c>
      <c r="AL56">
        <v>-36.714444</v>
      </c>
      <c r="AM56">
        <v>5.6614346000000006</v>
      </c>
      <c r="AN56">
        <v>0.91202325999999989</v>
      </c>
      <c r="AO56">
        <v>0.55188708000000009</v>
      </c>
      <c r="AP56">
        <v>23.624364</v>
      </c>
      <c r="AQ56">
        <v>4.0370498000000001</v>
      </c>
      <c r="AR56">
        <v>0.40235764000000002</v>
      </c>
      <c r="AS56">
        <v>0.39805800000000002</v>
      </c>
      <c r="AT56">
        <v>30.471334000000009</v>
      </c>
    </row>
    <row r="57" spans="1:46" x14ac:dyDescent="0.25">
      <c r="A57">
        <v>55</v>
      </c>
      <c r="B57">
        <v>9.4412499999999966</v>
      </c>
      <c r="C57">
        <v>0.53946623626373635</v>
      </c>
      <c r="D57">
        <v>0.57129978272499682</v>
      </c>
      <c r="E57">
        <v>-1.8516956366154601E-2</v>
      </c>
      <c r="F57">
        <v>3.3666964646283959</v>
      </c>
      <c r="G57">
        <v>6.0920469999999991</v>
      </c>
      <c r="H57">
        <v>-9.7732825000000005</v>
      </c>
      <c r="I57">
        <v>-4.2826749999999993</v>
      </c>
      <c r="J57">
        <v>9.3963479999999997</v>
      </c>
      <c r="K57">
        <v>2.6065469999999999</v>
      </c>
      <c r="L57">
        <v>-9.0526354999999992</v>
      </c>
      <c r="M57">
        <v>8.3734794999999984</v>
      </c>
      <c r="N57">
        <v>-4.0417570000000014</v>
      </c>
      <c r="O57">
        <v>-20.678125000000001</v>
      </c>
      <c r="P57">
        <v>45.694490000000002</v>
      </c>
      <c r="Q57">
        <v>-6.5787135000000001</v>
      </c>
      <c r="R57">
        <v>16.9038</v>
      </c>
      <c r="S57">
        <v>25.609919999999999</v>
      </c>
      <c r="T57">
        <v>-10.20786</v>
      </c>
      <c r="U57">
        <v>-132.78124999999989</v>
      </c>
      <c r="V57">
        <v>52.76762499999996</v>
      </c>
      <c r="W57">
        <v>179.29518750000011</v>
      </c>
      <c r="X57">
        <v>21.988375000000019</v>
      </c>
      <c r="Y57">
        <v>-134.27199999999999</v>
      </c>
      <c r="Z57">
        <v>62.003312499999993</v>
      </c>
      <c r="AA57">
        <v>-664.98587499999985</v>
      </c>
      <c r="AB57">
        <v>-249.19887499999999</v>
      </c>
      <c r="AC57">
        <v>-88.575624999999889</v>
      </c>
      <c r="AD57">
        <v>-321.75937500000038</v>
      </c>
      <c r="AE57">
        <v>24.55531249999996</v>
      </c>
      <c r="AF57">
        <v>-236.77187500000011</v>
      </c>
      <c r="AG57">
        <v>-526.51687500000003</v>
      </c>
      <c r="AH57">
        <v>151.14275000000009</v>
      </c>
      <c r="AI57">
        <v>-4.3740780000000008</v>
      </c>
      <c r="AJ57">
        <v>-2.3558374999999998</v>
      </c>
      <c r="AK57">
        <v>0.52534285000000014</v>
      </c>
      <c r="AL57">
        <v>-37.977179999999997</v>
      </c>
      <c r="AM57">
        <v>5.6754395000000004</v>
      </c>
      <c r="AN57">
        <v>0.85376994999999978</v>
      </c>
      <c r="AO57">
        <v>0.55292010000000003</v>
      </c>
      <c r="AP57">
        <v>25.320180000000011</v>
      </c>
      <c r="AQ57">
        <v>3.9538384999999998</v>
      </c>
      <c r="AR57">
        <v>0.40427679999999999</v>
      </c>
      <c r="AS57">
        <v>0.39259050000000001</v>
      </c>
      <c r="AT57">
        <v>32.911405000000009</v>
      </c>
    </row>
    <row r="58" spans="1:46" x14ac:dyDescent="0.25">
      <c r="A58">
        <v>56</v>
      </c>
      <c r="B58">
        <v>9.4481499999999929</v>
      </c>
      <c r="C58">
        <v>0.53955490109890114</v>
      </c>
      <c r="D58">
        <v>0.58400261701746736</v>
      </c>
      <c r="E58">
        <v>-2.1832899997400679E-2</v>
      </c>
      <c r="F58">
        <v>3.319503167593735</v>
      </c>
      <c r="G58">
        <v>5.9478484000000007</v>
      </c>
      <c r="H58">
        <v>-9.7160908000000017</v>
      </c>
      <c r="I58">
        <v>-4.0871320000000004</v>
      </c>
      <c r="J58">
        <v>9.4216139999999999</v>
      </c>
      <c r="K58">
        <v>2.4605592000000001</v>
      </c>
      <c r="L58">
        <v>-8.9819984000000002</v>
      </c>
      <c r="M58">
        <v>7.6553596000000006</v>
      </c>
      <c r="N58">
        <v>-4.3118283999999996</v>
      </c>
      <c r="O58">
        <v>-20.771775999999999</v>
      </c>
      <c r="P58">
        <v>45.338504</v>
      </c>
      <c r="Q58">
        <v>-6.5469840000000001</v>
      </c>
      <c r="R58">
        <v>16.641515999999999</v>
      </c>
      <c r="S58">
        <v>25.020192000000002</v>
      </c>
      <c r="T58">
        <v>-10.0397496</v>
      </c>
      <c r="U58">
        <v>-134.69855000000001</v>
      </c>
      <c r="V58">
        <v>53.275149999999996</v>
      </c>
      <c r="W58">
        <v>184.40129999999999</v>
      </c>
      <c r="X58">
        <v>26.888200000000001</v>
      </c>
      <c r="Y58">
        <v>-136.59864999999999</v>
      </c>
      <c r="Z58">
        <v>71.548449999999946</v>
      </c>
      <c r="AA58">
        <v>-663.37554999999986</v>
      </c>
      <c r="AB58">
        <v>-249.55865</v>
      </c>
      <c r="AC58">
        <v>-82.400499999999951</v>
      </c>
      <c r="AD58">
        <v>-343.15200000000038</v>
      </c>
      <c r="AE58">
        <v>38.497249999999887</v>
      </c>
      <c r="AF58">
        <v>-253.8684999999999</v>
      </c>
      <c r="AG58">
        <v>-584.1479999999998</v>
      </c>
      <c r="AH58">
        <v>163.33760000000009</v>
      </c>
      <c r="AI58">
        <v>-4.5414180000000002</v>
      </c>
      <c r="AJ58">
        <v>-2.456778799999999</v>
      </c>
      <c r="AK58">
        <v>0.54821763999999995</v>
      </c>
      <c r="AL58">
        <v>-39.055056</v>
      </c>
      <c r="AM58">
        <v>5.6780624</v>
      </c>
      <c r="AN58">
        <v>0.79218136000000017</v>
      </c>
      <c r="AO58">
        <v>0.55240788000000007</v>
      </c>
      <c r="AP58">
        <v>26.893560000000001</v>
      </c>
      <c r="AQ58">
        <v>3.8623183999999999</v>
      </c>
      <c r="AR58">
        <v>0.40522360000000002</v>
      </c>
      <c r="AS58">
        <v>0.38822508</v>
      </c>
      <c r="AT58">
        <v>34.973199999999999</v>
      </c>
    </row>
    <row r="59" spans="1:46" x14ac:dyDescent="0.25">
      <c r="A59">
        <v>57</v>
      </c>
      <c r="B59">
        <v>9.4552374999999955</v>
      </c>
      <c r="C59">
        <v>0.53966853846153851</v>
      </c>
      <c r="D59">
        <v>0.59463193147086357</v>
      </c>
      <c r="E59">
        <v>-2.5022425268197569E-2</v>
      </c>
      <c r="F59">
        <v>3.2674601763175168</v>
      </c>
      <c r="G59">
        <v>5.7993673000000001</v>
      </c>
      <c r="H59">
        <v>-9.6577951000000013</v>
      </c>
      <c r="I59">
        <v>-3.8801364999999999</v>
      </c>
      <c r="J59">
        <v>9.4579830000000005</v>
      </c>
      <c r="K59">
        <v>2.3093349000000001</v>
      </c>
      <c r="L59">
        <v>-8.8900822999999995</v>
      </c>
      <c r="M59">
        <v>6.9409612000000003</v>
      </c>
      <c r="N59">
        <v>-4.5823873000000006</v>
      </c>
      <c r="O59">
        <v>-20.851372000000001</v>
      </c>
      <c r="P59">
        <v>44.934638</v>
      </c>
      <c r="Q59">
        <v>-6.4835880000000001</v>
      </c>
      <c r="R59">
        <v>16.340952000000001</v>
      </c>
      <c r="S59">
        <v>24.301749000000001</v>
      </c>
      <c r="T59">
        <v>-9.8445611999999993</v>
      </c>
      <c r="U59">
        <v>-136.46435</v>
      </c>
      <c r="V59">
        <v>53.764862500000042</v>
      </c>
      <c r="W59">
        <v>189.5370375</v>
      </c>
      <c r="X59">
        <v>32.436024999999987</v>
      </c>
      <c r="Y59">
        <v>-138.713425</v>
      </c>
      <c r="Z59">
        <v>80.938712499999994</v>
      </c>
      <c r="AA59">
        <v>-660.66272499999991</v>
      </c>
      <c r="AB59">
        <v>-248.31530000000001</v>
      </c>
      <c r="AC59">
        <v>-75.623500000000007</v>
      </c>
      <c r="AD59">
        <v>-363.63150000000041</v>
      </c>
      <c r="AE59">
        <v>52.415749999999953</v>
      </c>
      <c r="AF59">
        <v>-270.67262499999993</v>
      </c>
      <c r="AG59">
        <v>-643.06537500000013</v>
      </c>
      <c r="AH59">
        <v>174.9759500000001</v>
      </c>
      <c r="AI59">
        <v>-4.6925235000000001</v>
      </c>
      <c r="AJ59">
        <v>-2.5473610999999998</v>
      </c>
      <c r="AK59">
        <v>0.56929708000000001</v>
      </c>
      <c r="AL59">
        <v>-39.901857</v>
      </c>
      <c r="AM59">
        <v>5.6664577999999999</v>
      </c>
      <c r="AN59">
        <v>0.72642366999999997</v>
      </c>
      <c r="AO59">
        <v>0.54996411000000001</v>
      </c>
      <c r="AP59">
        <v>28.313894999999999</v>
      </c>
      <c r="AQ59">
        <v>3.7604123</v>
      </c>
      <c r="AR59">
        <v>0.40495494999999998</v>
      </c>
      <c r="AS59">
        <v>0.38523726000000003</v>
      </c>
      <c r="AT59">
        <v>36.562150000000003</v>
      </c>
    </row>
    <row r="60" spans="1:46" x14ac:dyDescent="0.25">
      <c r="A60">
        <v>58</v>
      </c>
      <c r="B60">
        <v>9.4623249999999963</v>
      </c>
      <c r="C60">
        <v>0.53978217582417587</v>
      </c>
      <c r="D60">
        <v>0.6049493224082686</v>
      </c>
      <c r="E60">
        <v>-2.7277314100141309E-2</v>
      </c>
      <c r="F60">
        <v>3.2170153797345402</v>
      </c>
      <c r="G60">
        <v>5.6508862000000004</v>
      </c>
      <c r="H60">
        <v>-9.5994994000000009</v>
      </c>
      <c r="I60">
        <v>-3.6731409999999989</v>
      </c>
      <c r="J60">
        <v>9.494352000000001</v>
      </c>
      <c r="K60">
        <v>2.1581106000000001</v>
      </c>
      <c r="L60">
        <v>-8.7981662000000007</v>
      </c>
      <c r="M60">
        <v>6.2265627999999982</v>
      </c>
      <c r="N60">
        <v>-4.8529462000000008</v>
      </c>
      <c r="O60">
        <v>-20.930968</v>
      </c>
      <c r="P60">
        <v>44.530771999999999</v>
      </c>
      <c r="Q60">
        <v>-6.4201920000000001</v>
      </c>
      <c r="R60">
        <v>16.040388</v>
      </c>
      <c r="S60">
        <v>23.583306</v>
      </c>
      <c r="T60">
        <v>-9.6493728000000001</v>
      </c>
      <c r="U60">
        <v>-138.23015000000001</v>
      </c>
      <c r="V60">
        <v>54.254575000000088</v>
      </c>
      <c r="W60">
        <v>194.672775</v>
      </c>
      <c r="X60">
        <v>37.983849999999997</v>
      </c>
      <c r="Y60">
        <v>-140.82820000000001</v>
      </c>
      <c r="Z60">
        <v>90.328975000000042</v>
      </c>
      <c r="AA60">
        <v>-657.94989999999996</v>
      </c>
      <c r="AB60">
        <v>-247.07194999999999</v>
      </c>
      <c r="AC60">
        <v>-68.846500000000077</v>
      </c>
      <c r="AD60">
        <v>-384.11100000000039</v>
      </c>
      <c r="AE60">
        <v>66.334250000000011</v>
      </c>
      <c r="AF60">
        <v>-287.47674999999998</v>
      </c>
      <c r="AG60">
        <v>-701.98275000000035</v>
      </c>
      <c r="AH60">
        <v>186.6143000000001</v>
      </c>
      <c r="AI60">
        <v>-4.843629</v>
      </c>
      <c r="AJ60">
        <v>-2.637943400000001</v>
      </c>
      <c r="AK60">
        <v>0.59037652000000007</v>
      </c>
      <c r="AL60">
        <v>-40.748657999999999</v>
      </c>
      <c r="AM60">
        <v>5.6548531999999998</v>
      </c>
      <c r="AN60">
        <v>0.66066597999999976</v>
      </c>
      <c r="AO60">
        <v>0.54752034000000005</v>
      </c>
      <c r="AP60">
        <v>29.73423</v>
      </c>
      <c r="AQ60">
        <v>3.6585061999999988</v>
      </c>
      <c r="AR60">
        <v>0.40468630000000011</v>
      </c>
      <c r="AS60">
        <v>0.38224944</v>
      </c>
      <c r="AT60">
        <v>38.151100000000007</v>
      </c>
    </row>
    <row r="61" spans="1:46" x14ac:dyDescent="0.25">
      <c r="A61">
        <v>59</v>
      </c>
      <c r="B61">
        <v>9.4694124999999971</v>
      </c>
      <c r="C61">
        <v>0.53989581318681323</v>
      </c>
      <c r="D61">
        <v>0.61540076156300239</v>
      </c>
      <c r="E61">
        <v>-3.0041223591079771E-2</v>
      </c>
      <c r="F61">
        <v>3.1576605752233782</v>
      </c>
      <c r="G61">
        <v>5.5024051000000007</v>
      </c>
      <c r="H61">
        <v>-9.5412037000000005</v>
      </c>
      <c r="I61">
        <v>-3.4661455000000001</v>
      </c>
      <c r="J61">
        <v>9.5307209999999998</v>
      </c>
      <c r="K61">
        <v>2.0068863000000001</v>
      </c>
      <c r="L61">
        <v>-8.7062501000000001</v>
      </c>
      <c r="M61">
        <v>5.5121644000000014</v>
      </c>
      <c r="N61">
        <v>-5.1235050999999991</v>
      </c>
      <c r="O61">
        <v>-21.010563999999999</v>
      </c>
      <c r="P61">
        <v>44.126905999999998</v>
      </c>
      <c r="Q61">
        <v>-6.3567960000000001</v>
      </c>
      <c r="R61">
        <v>15.739824</v>
      </c>
      <c r="S61">
        <v>22.864863</v>
      </c>
      <c r="T61">
        <v>-9.4541844000000008</v>
      </c>
      <c r="U61">
        <v>-139.99594999999999</v>
      </c>
      <c r="V61">
        <v>54.744287500000127</v>
      </c>
      <c r="W61">
        <v>199.80851250000001</v>
      </c>
      <c r="X61">
        <v>43.53167499999995</v>
      </c>
      <c r="Y61">
        <v>-142.94297499999999</v>
      </c>
      <c r="Z61">
        <v>99.71923750000002</v>
      </c>
      <c r="AA61">
        <v>-655.237075</v>
      </c>
      <c r="AB61">
        <v>-245.82859999999999</v>
      </c>
      <c r="AC61">
        <v>-62.069500000000197</v>
      </c>
      <c r="AD61">
        <v>-404.59050000000042</v>
      </c>
      <c r="AE61">
        <v>80.252749999999963</v>
      </c>
      <c r="AF61">
        <v>-304.28087499999992</v>
      </c>
      <c r="AG61">
        <v>-760.90012500000023</v>
      </c>
      <c r="AH61">
        <v>198.25264999999999</v>
      </c>
      <c r="AI61">
        <v>-4.9947344999999999</v>
      </c>
      <c r="AJ61">
        <v>-2.7285257000000001</v>
      </c>
      <c r="AK61">
        <v>0.61145596000000002</v>
      </c>
      <c r="AL61">
        <v>-41.595458999999998</v>
      </c>
      <c r="AM61">
        <v>5.6432485999999997</v>
      </c>
      <c r="AN61">
        <v>0.59490829000000012</v>
      </c>
      <c r="AO61">
        <v>0.54507656999999998</v>
      </c>
      <c r="AP61">
        <v>31.154565000000002</v>
      </c>
      <c r="AQ61">
        <v>3.5566000999999998</v>
      </c>
      <c r="AR61">
        <v>0.40441765000000002</v>
      </c>
      <c r="AS61">
        <v>0.37926162000000002</v>
      </c>
      <c r="AT61">
        <v>39.740049999999997</v>
      </c>
    </row>
    <row r="62" spans="1:46" x14ac:dyDescent="0.25">
      <c r="A62">
        <v>60</v>
      </c>
      <c r="B62">
        <v>9.4767499999999991</v>
      </c>
      <c r="C62">
        <v>0.54003890109890107</v>
      </c>
      <c r="D62">
        <v>0.62631683739270916</v>
      </c>
      <c r="E62">
        <v>-3.1488931285822593E-2</v>
      </c>
      <c r="F62">
        <v>3.0939221924183982</v>
      </c>
      <c r="G62">
        <v>5.34917</v>
      </c>
      <c r="H62">
        <v>-9.4814779999999992</v>
      </c>
      <c r="I62">
        <v>-3.243986</v>
      </c>
      <c r="J62">
        <v>9.5851620000000004</v>
      </c>
      <c r="K62">
        <v>1.850112</v>
      </c>
      <c r="L62">
        <v>-8.587060000000001</v>
      </c>
      <c r="M62">
        <v>4.8088799999999994</v>
      </c>
      <c r="N62">
        <v>-5.3860460000000003</v>
      </c>
      <c r="O62">
        <v>-21.068739999999998</v>
      </c>
      <c r="P62">
        <v>43.665520000000001</v>
      </c>
      <c r="Q62">
        <v>-6.2531420000000004</v>
      </c>
      <c r="R62">
        <v>15.39072</v>
      </c>
      <c r="S62">
        <v>21.968900000000001</v>
      </c>
      <c r="T62">
        <v>-9.2261319999999998</v>
      </c>
      <c r="U62">
        <v>-141.48525000000001</v>
      </c>
      <c r="V62">
        <v>55.238500000000101</v>
      </c>
      <c r="W62">
        <v>204.84800000000001</v>
      </c>
      <c r="X62">
        <v>49.822249999999947</v>
      </c>
      <c r="Y62">
        <v>-144.61709999999999</v>
      </c>
      <c r="Z62">
        <v>108.7782500000001</v>
      </c>
      <c r="AA62">
        <v>-650.91740000000004</v>
      </c>
      <c r="AB62">
        <v>-242.4545</v>
      </c>
      <c r="AC62">
        <v>-54.7875000000002</v>
      </c>
      <c r="AD62">
        <v>-423.13500000000028</v>
      </c>
      <c r="AE62">
        <v>93.184250000000034</v>
      </c>
      <c r="AF62">
        <v>-320.14499999999992</v>
      </c>
      <c r="AG62">
        <v>-820.69000000000028</v>
      </c>
      <c r="AH62">
        <v>209.00350000000009</v>
      </c>
      <c r="AI62">
        <v>-5.0827419999999996</v>
      </c>
      <c r="AJ62">
        <v>-2.7935020000000002</v>
      </c>
      <c r="AK62">
        <v>0.62758860000000005</v>
      </c>
      <c r="AL62">
        <v>-41.823339999999988</v>
      </c>
      <c r="AM62">
        <v>5.5880699999999992</v>
      </c>
      <c r="AN62">
        <v>0.52296779999999987</v>
      </c>
      <c r="AO62">
        <v>0.53794639999999994</v>
      </c>
      <c r="AP62">
        <v>32.111199999999997</v>
      </c>
      <c r="AQ62">
        <v>3.437581999999999</v>
      </c>
      <c r="AR62">
        <v>0.40051140000000002</v>
      </c>
      <c r="AS62">
        <v>0.377604</v>
      </c>
      <c r="AT62">
        <v>40.524740000000001</v>
      </c>
    </row>
    <row r="63" spans="1:46" x14ac:dyDescent="0.25">
      <c r="A63">
        <v>61</v>
      </c>
      <c r="B63">
        <v>9.4841749999999987</v>
      </c>
      <c r="C63">
        <v>0.54019229670329671</v>
      </c>
      <c r="D63">
        <v>0.63737693927957195</v>
      </c>
      <c r="E63">
        <v>-3.1530719291168338E-2</v>
      </c>
      <c r="F63">
        <v>3.0335432090575392</v>
      </c>
      <c r="G63">
        <v>5.1942709999999996</v>
      </c>
      <c r="H63">
        <v>-9.4212518000000003</v>
      </c>
      <c r="I63">
        <v>-3.0165190999999991</v>
      </c>
      <c r="J63">
        <v>9.6459282000000002</v>
      </c>
      <c r="K63">
        <v>1.691395199999999</v>
      </c>
      <c r="L63">
        <v>-8.4583239999999993</v>
      </c>
      <c r="M63">
        <v>4.1094854999999972</v>
      </c>
      <c r="N63">
        <v>-5.645780600000001</v>
      </c>
      <c r="O63">
        <v>-21.119419000000001</v>
      </c>
      <c r="P63">
        <v>43.184001999999992</v>
      </c>
      <c r="Q63">
        <v>-6.1353977000000004</v>
      </c>
      <c r="R63">
        <v>15.024627000000001</v>
      </c>
      <c r="S63">
        <v>21.010804999999991</v>
      </c>
      <c r="T63">
        <v>-8.9865771999999993</v>
      </c>
      <c r="U63">
        <v>-142.8777750000001</v>
      </c>
      <c r="V63">
        <v>55.734287500000043</v>
      </c>
      <c r="W63">
        <v>209.85380000000001</v>
      </c>
      <c r="X63">
        <v>56.372787499999937</v>
      </c>
      <c r="Y63">
        <v>-146.13699750000001</v>
      </c>
      <c r="Z63">
        <v>117.72132500000011</v>
      </c>
      <c r="AA63">
        <v>-646.03532749999999</v>
      </c>
      <c r="AB63">
        <v>-238.33463750000001</v>
      </c>
      <c r="AC63">
        <v>-47.328750000000177</v>
      </c>
      <c r="AD63">
        <v>-441.00225000000017</v>
      </c>
      <c r="AE63">
        <v>105.77030000000011</v>
      </c>
      <c r="AF63">
        <v>-335.68012499999998</v>
      </c>
      <c r="AG63">
        <v>-880.78525000000036</v>
      </c>
      <c r="AH63">
        <v>219.44372500000009</v>
      </c>
      <c r="AI63">
        <v>-5.1486651999999999</v>
      </c>
      <c r="AJ63">
        <v>-2.8495162000000001</v>
      </c>
      <c r="AK63">
        <v>0.64198986000000013</v>
      </c>
      <c r="AL63">
        <v>-41.834598999999997</v>
      </c>
      <c r="AM63">
        <v>5.5176404999999997</v>
      </c>
      <c r="AN63">
        <v>0.44886332999999973</v>
      </c>
      <c r="AO63">
        <v>0.52917598999999993</v>
      </c>
      <c r="AP63">
        <v>32.905540000000002</v>
      </c>
      <c r="AQ63">
        <v>3.312574699999999</v>
      </c>
      <c r="AR63">
        <v>0.39533199000000002</v>
      </c>
      <c r="AS63">
        <v>0.37641195</v>
      </c>
      <c r="AT63">
        <v>41.027939000000003</v>
      </c>
    </row>
    <row r="64" spans="1:46" x14ac:dyDescent="0.25">
      <c r="A64">
        <v>62</v>
      </c>
      <c r="B64">
        <v>9.4916</v>
      </c>
      <c r="C64">
        <v>0.54034569230769236</v>
      </c>
      <c r="D64">
        <v>0.67702333183050145</v>
      </c>
      <c r="E64">
        <v>-3.045109416565888E-2</v>
      </c>
      <c r="F64">
        <v>2.9907636909754358</v>
      </c>
      <c r="G64">
        <v>5.0393719999999984</v>
      </c>
      <c r="H64">
        <v>-9.3610255999999996</v>
      </c>
      <c r="I64">
        <v>-2.7890521999999991</v>
      </c>
      <c r="J64">
        <v>9.7066943999999999</v>
      </c>
      <c r="K64">
        <v>1.5326783999999991</v>
      </c>
      <c r="L64">
        <v>-8.3295879999999993</v>
      </c>
      <c r="M64">
        <v>3.410090999999996</v>
      </c>
      <c r="N64">
        <v>-5.9055152000000017</v>
      </c>
      <c r="O64">
        <v>-21.170097999999999</v>
      </c>
      <c r="P64">
        <v>42.702483999999991</v>
      </c>
      <c r="Q64">
        <v>-6.0176533999999986</v>
      </c>
      <c r="R64">
        <v>14.658534</v>
      </c>
      <c r="S64">
        <v>20.05270999999999</v>
      </c>
      <c r="T64">
        <v>-8.7470223999999988</v>
      </c>
      <c r="U64">
        <v>-144.27030000000011</v>
      </c>
      <c r="V64">
        <v>56.230074999999978</v>
      </c>
      <c r="W64">
        <v>214.8596</v>
      </c>
      <c r="X64">
        <v>62.923324999999927</v>
      </c>
      <c r="Y64">
        <v>-147.65689499999999</v>
      </c>
      <c r="Z64">
        <v>126.6644000000001</v>
      </c>
      <c r="AA64">
        <v>-641.15325499999994</v>
      </c>
      <c r="AB64">
        <v>-234.214775</v>
      </c>
      <c r="AC64">
        <v>-39.870000000000147</v>
      </c>
      <c r="AD64">
        <v>-458.86950000000007</v>
      </c>
      <c r="AE64">
        <v>118.35635000000011</v>
      </c>
      <c r="AF64">
        <v>-351.21525000000003</v>
      </c>
      <c r="AG64">
        <v>-940.88050000000044</v>
      </c>
      <c r="AH64">
        <v>229.88395000000011</v>
      </c>
      <c r="AI64">
        <v>-5.2145884000000002</v>
      </c>
      <c r="AJ64">
        <v>-2.9055304</v>
      </c>
      <c r="AK64">
        <v>0.65639112000000011</v>
      </c>
      <c r="AL64">
        <v>-41.845858</v>
      </c>
      <c r="AM64">
        <v>5.4472109999999994</v>
      </c>
      <c r="AN64">
        <v>0.37475885999999953</v>
      </c>
      <c r="AO64">
        <v>0.52040557999999992</v>
      </c>
      <c r="AP64">
        <v>33.69988</v>
      </c>
      <c r="AQ64">
        <v>3.1875673999999989</v>
      </c>
      <c r="AR64">
        <v>0.39015258000000003</v>
      </c>
      <c r="AS64">
        <v>0.3752199</v>
      </c>
      <c r="AT64">
        <v>41.531138000000013</v>
      </c>
    </row>
    <row r="65" spans="1:46" x14ac:dyDescent="0.25">
      <c r="A65">
        <v>63</v>
      </c>
      <c r="B65">
        <v>9.4990000000000006</v>
      </c>
      <c r="C65">
        <v>0.54050037912087912</v>
      </c>
      <c r="D65">
        <v>0.69826735074333734</v>
      </c>
      <c r="E65">
        <v>-3.2525336963040608E-2</v>
      </c>
      <c r="F65">
        <v>2.9080750561333382</v>
      </c>
      <c r="G65">
        <v>4.8842980999999996</v>
      </c>
      <c r="H65">
        <v>-9.3007239999999989</v>
      </c>
      <c r="I65">
        <v>-2.560860299999999</v>
      </c>
      <c r="J65">
        <v>9.7684978999999998</v>
      </c>
      <c r="K65">
        <v>1.3737887600000001</v>
      </c>
      <c r="L65">
        <v>-8.1995658999999996</v>
      </c>
      <c r="M65">
        <v>2.711587339999999</v>
      </c>
      <c r="N65">
        <v>-6.1644300000000012</v>
      </c>
      <c r="O65">
        <v>-21.219638</v>
      </c>
      <c r="P65">
        <v>42.218547999999998</v>
      </c>
      <c r="Q65">
        <v>-5.8981928000000003</v>
      </c>
      <c r="R65">
        <v>14.290265</v>
      </c>
      <c r="S65">
        <v>19.085684999999991</v>
      </c>
      <c r="T65">
        <v>-8.5060173999999993</v>
      </c>
      <c r="U65">
        <v>-145.64537500000009</v>
      </c>
      <c r="V65">
        <v>56.727349999999923</v>
      </c>
      <c r="W65">
        <v>219.8535875</v>
      </c>
      <c r="X65">
        <v>69.501674999999878</v>
      </c>
      <c r="Y65">
        <v>-149.1466375</v>
      </c>
      <c r="Z65">
        <v>135.5850750000001</v>
      </c>
      <c r="AA65">
        <v>-636.18477999999993</v>
      </c>
      <c r="AB65">
        <v>-229.99574999999999</v>
      </c>
      <c r="AC65">
        <v>-32.40375000000018</v>
      </c>
      <c r="AD65">
        <v>-476.60612499999979</v>
      </c>
      <c r="AE65">
        <v>130.8457250000001</v>
      </c>
      <c r="AF65">
        <v>-366.6713749999999</v>
      </c>
      <c r="AG65">
        <v>-1000.9293</v>
      </c>
      <c r="AH65">
        <v>240.27096250000011</v>
      </c>
      <c r="AI65">
        <v>-5.275743499999999</v>
      </c>
      <c r="AJ65">
        <v>-2.9592056000000002</v>
      </c>
      <c r="AK65">
        <v>0.67019605000000004</v>
      </c>
      <c r="AL65">
        <v>-41.817753999999987</v>
      </c>
      <c r="AM65">
        <v>5.3731445000000004</v>
      </c>
      <c r="AN65">
        <v>0.3008552909999998</v>
      </c>
      <c r="AO65">
        <v>0.51138985999999997</v>
      </c>
      <c r="AP65">
        <v>34.454656999999997</v>
      </c>
      <c r="AQ65">
        <v>3.0617961</v>
      </c>
      <c r="AR65">
        <v>0.38484109</v>
      </c>
      <c r="AS65">
        <v>0.37403146999999998</v>
      </c>
      <c r="AT65">
        <v>41.991562000000002</v>
      </c>
    </row>
    <row r="66" spans="1:46" x14ac:dyDescent="0.25">
      <c r="A66">
        <v>64</v>
      </c>
      <c r="B66">
        <v>9.5057500000000026</v>
      </c>
      <c r="C66">
        <v>0.54068863736263739</v>
      </c>
      <c r="D66">
        <v>0.71370408704362698</v>
      </c>
      <c r="E66">
        <v>-2.973749849480627E-2</v>
      </c>
      <c r="F66">
        <v>2.8275867670159061</v>
      </c>
      <c r="G66">
        <v>4.7246767999999992</v>
      </c>
      <c r="H66">
        <v>-9.2384620000000002</v>
      </c>
      <c r="I66">
        <v>-2.3138183999999988</v>
      </c>
      <c r="J66">
        <v>9.8572711999999996</v>
      </c>
      <c r="K66">
        <v>1.2104052799999989</v>
      </c>
      <c r="L66">
        <v>-8.0361051999999997</v>
      </c>
      <c r="M66">
        <v>2.0362455199999978</v>
      </c>
      <c r="N66">
        <v>-6.4020300000000008</v>
      </c>
      <c r="O66">
        <v>-21.239564000000001</v>
      </c>
      <c r="P66">
        <v>41.671743999999997</v>
      </c>
      <c r="Q66">
        <v>-5.7341083999999993</v>
      </c>
      <c r="R66">
        <v>13.86542</v>
      </c>
      <c r="S66">
        <v>17.886479999999999</v>
      </c>
      <c r="T66">
        <v>-8.2273071999999985</v>
      </c>
      <c r="U66">
        <v>-146.56675000000001</v>
      </c>
      <c r="V66">
        <v>57.263299999999951</v>
      </c>
      <c r="W66">
        <v>224.54044999999999</v>
      </c>
      <c r="X66">
        <v>76.803149999999903</v>
      </c>
      <c r="Y66">
        <v>-149.85235</v>
      </c>
      <c r="Z66">
        <v>143.92335000000011</v>
      </c>
      <c r="AA66">
        <v>-628.96983999999998</v>
      </c>
      <c r="AB66">
        <v>-223.1985</v>
      </c>
      <c r="AC66">
        <v>-24.742500000000039</v>
      </c>
      <c r="AD66">
        <v>-490.9464999999999</v>
      </c>
      <c r="AE66">
        <v>140.82155000000009</v>
      </c>
      <c r="AF66">
        <v>-380.07349999999991</v>
      </c>
      <c r="AG66">
        <v>-1059.7704000000001</v>
      </c>
      <c r="AH66">
        <v>249.27445</v>
      </c>
      <c r="AI66">
        <v>-5.2129279999999998</v>
      </c>
      <c r="AJ66">
        <v>-2.9520667999999999</v>
      </c>
      <c r="AK66">
        <v>0.6684964000000001</v>
      </c>
      <c r="AL66">
        <v>-40.766212000000003</v>
      </c>
      <c r="AM66">
        <v>5.204515999999999</v>
      </c>
      <c r="AN66">
        <v>0.2321751479999998</v>
      </c>
      <c r="AO66">
        <v>0.49599608000000001</v>
      </c>
      <c r="AP66">
        <v>34.180795999999987</v>
      </c>
      <c r="AQ66">
        <v>2.9161608000000001</v>
      </c>
      <c r="AR66">
        <v>0.37609552000000002</v>
      </c>
      <c r="AS66">
        <v>0.37293715999999999</v>
      </c>
      <c r="AT66">
        <v>41.339835999999998</v>
      </c>
    </row>
    <row r="67" spans="1:46" x14ac:dyDescent="0.25">
      <c r="A67">
        <v>65</v>
      </c>
      <c r="B67">
        <v>9.5125000000000046</v>
      </c>
      <c r="C67">
        <v>0.54087689560439567</v>
      </c>
      <c r="D67">
        <v>0.7298258890640934</v>
      </c>
      <c r="E67">
        <v>-2.61719530511508E-2</v>
      </c>
      <c r="F67">
        <v>2.7160136611628718</v>
      </c>
      <c r="G67">
        <v>4.5650555000000006</v>
      </c>
      <c r="H67">
        <v>-9.1761999999999997</v>
      </c>
      <c r="I67">
        <v>-2.0667765000000009</v>
      </c>
      <c r="J67">
        <v>9.9460444999999993</v>
      </c>
      <c r="K67">
        <v>1.0470218</v>
      </c>
      <c r="L67">
        <v>-7.8726444999999998</v>
      </c>
      <c r="M67">
        <v>1.360903700000003</v>
      </c>
      <c r="N67">
        <v>-6.6396299999999986</v>
      </c>
      <c r="O67">
        <v>-21.25949</v>
      </c>
      <c r="P67">
        <v>41.124940000000002</v>
      </c>
      <c r="Q67">
        <v>-5.570024000000001</v>
      </c>
      <c r="R67">
        <v>13.440575000000001</v>
      </c>
      <c r="S67">
        <v>16.687275</v>
      </c>
      <c r="T67">
        <v>-7.9485970000000004</v>
      </c>
      <c r="U67">
        <v>-147.488125</v>
      </c>
      <c r="V67">
        <v>57.799249999999979</v>
      </c>
      <c r="W67">
        <v>229.22731250000001</v>
      </c>
      <c r="X67">
        <v>84.104624999999871</v>
      </c>
      <c r="Y67">
        <v>-150.55806250000001</v>
      </c>
      <c r="Z67">
        <v>152.26162500000001</v>
      </c>
      <c r="AA67">
        <v>-621.75490000000002</v>
      </c>
      <c r="AB67">
        <v>-216.40125</v>
      </c>
      <c r="AC67">
        <v>-17.081249999999962</v>
      </c>
      <c r="AD67">
        <v>-505.28687499999978</v>
      </c>
      <c r="AE67">
        <v>150.79737499999999</v>
      </c>
      <c r="AF67">
        <v>-393.47562499999992</v>
      </c>
      <c r="AG67">
        <v>-1118.6115</v>
      </c>
      <c r="AH67">
        <v>258.27793750000001</v>
      </c>
      <c r="AI67">
        <v>-5.1501124999999996</v>
      </c>
      <c r="AJ67">
        <v>-2.944928</v>
      </c>
      <c r="AK67">
        <v>0.66679675000000005</v>
      </c>
      <c r="AL67">
        <v>-39.714669999999998</v>
      </c>
      <c r="AM67">
        <v>5.0358875000000003</v>
      </c>
      <c r="AN67">
        <v>0.16349500500000019</v>
      </c>
      <c r="AO67">
        <v>0.48060229999999998</v>
      </c>
      <c r="AP67">
        <v>33.906934999999997</v>
      </c>
      <c r="AQ67">
        <v>2.7705255000000011</v>
      </c>
      <c r="AR67">
        <v>0.36734994999999998</v>
      </c>
      <c r="AS67">
        <v>0.37184285</v>
      </c>
      <c r="AT67">
        <v>40.688110000000002</v>
      </c>
    </row>
    <row r="68" spans="1:46" x14ac:dyDescent="0.25">
      <c r="A68">
        <v>66</v>
      </c>
      <c r="B68">
        <v>9.5192500000000067</v>
      </c>
      <c r="C68">
        <v>0.54106515384615383</v>
      </c>
      <c r="D68">
        <v>0.77607744625009434</v>
      </c>
      <c r="E68">
        <v>-1.4766242838110309E-2</v>
      </c>
      <c r="F68">
        <v>2.6377371146966029</v>
      </c>
      <c r="G68">
        <v>4.4054341999999993</v>
      </c>
      <c r="H68">
        <v>-9.113938000000001</v>
      </c>
      <c r="I68">
        <v>-1.819734599999999</v>
      </c>
      <c r="J68">
        <v>10.034817800000001</v>
      </c>
      <c r="K68">
        <v>0.88363831999999931</v>
      </c>
      <c r="L68">
        <v>-7.709183799999999</v>
      </c>
      <c r="M68">
        <v>0.68556187999999718</v>
      </c>
      <c r="N68">
        <v>-6.8772300000000008</v>
      </c>
      <c r="O68">
        <v>-21.279416000000001</v>
      </c>
      <c r="P68">
        <v>40.578136000000001</v>
      </c>
      <c r="Q68">
        <v>-5.4059395999999991</v>
      </c>
      <c r="R68">
        <v>13.01573</v>
      </c>
      <c r="S68">
        <v>15.48806999999999</v>
      </c>
      <c r="T68">
        <v>-7.6698867999999987</v>
      </c>
      <c r="U68">
        <v>-148.40950000000001</v>
      </c>
      <c r="V68">
        <v>58.335200000000007</v>
      </c>
      <c r="W68">
        <v>233.914175</v>
      </c>
      <c r="X68">
        <v>91.406099999999952</v>
      </c>
      <c r="Y68">
        <v>-151.26377500000001</v>
      </c>
      <c r="Z68">
        <v>160.59989999999999</v>
      </c>
      <c r="AA68">
        <v>-614.53995999999995</v>
      </c>
      <c r="AB68">
        <v>-209.60400000000001</v>
      </c>
      <c r="AC68">
        <v>-9.4199999999997743</v>
      </c>
      <c r="AD68">
        <v>-519.62724999999989</v>
      </c>
      <c r="AE68">
        <v>160.77320000000009</v>
      </c>
      <c r="AF68">
        <v>-406.87774999999988</v>
      </c>
      <c r="AG68">
        <v>-1177.4526000000001</v>
      </c>
      <c r="AH68">
        <v>267.28142500000001</v>
      </c>
      <c r="AI68">
        <v>-5.0872970000000004</v>
      </c>
      <c r="AJ68">
        <v>-2.9377892000000001</v>
      </c>
      <c r="AK68">
        <v>0.66509710000000011</v>
      </c>
      <c r="AL68">
        <v>-38.663127999999993</v>
      </c>
      <c r="AM68">
        <v>4.8672589999999989</v>
      </c>
      <c r="AN68">
        <v>9.4814861999999722E-2</v>
      </c>
      <c r="AO68">
        <v>0.46520852000000001</v>
      </c>
      <c r="AP68">
        <v>33.633073999999993</v>
      </c>
      <c r="AQ68">
        <v>2.624890199999999</v>
      </c>
      <c r="AR68">
        <v>0.35860437999999989</v>
      </c>
      <c r="AS68">
        <v>0.37074854000000002</v>
      </c>
      <c r="AT68">
        <v>40.036383999999998</v>
      </c>
    </row>
    <row r="69" spans="1:46" x14ac:dyDescent="0.25">
      <c r="A69">
        <v>67</v>
      </c>
      <c r="B69">
        <v>9.5258875000000067</v>
      </c>
      <c r="C69">
        <v>0.54126340109890114</v>
      </c>
      <c r="D69">
        <v>0.81000133882165948</v>
      </c>
      <c r="E69">
        <v>-2.0409973747141319E-2</v>
      </c>
      <c r="F69">
        <v>2.54549828893713</v>
      </c>
      <c r="G69">
        <v>4.2449300000000001</v>
      </c>
      <c r="H69">
        <v>-9.0509254000000006</v>
      </c>
      <c r="I69">
        <v>-1.5667194</v>
      </c>
      <c r="J69">
        <v>10.133725999999999</v>
      </c>
      <c r="K69">
        <v>0.71992850000000008</v>
      </c>
      <c r="L69">
        <v>-7.5350625999999998</v>
      </c>
      <c r="M69">
        <v>2.1442340000000559E-2</v>
      </c>
      <c r="N69">
        <v>-7.1040821999999997</v>
      </c>
      <c r="O69">
        <v>-21.289162999999999</v>
      </c>
      <c r="P69">
        <v>40.014853000000002</v>
      </c>
      <c r="Q69">
        <v>-5.2306996999999997</v>
      </c>
      <c r="R69">
        <v>12.574730000000001</v>
      </c>
      <c r="S69">
        <v>14.212325399999999</v>
      </c>
      <c r="T69">
        <v>-7.3802190999999997</v>
      </c>
      <c r="U69">
        <v>-149.14221249999991</v>
      </c>
      <c r="V69">
        <v>58.893875000000051</v>
      </c>
      <c r="W69">
        <v>238.43505500000001</v>
      </c>
      <c r="X69">
        <v>98.851237499999939</v>
      </c>
      <c r="Y69">
        <v>-151.6283425</v>
      </c>
      <c r="Z69">
        <v>168.68797499999991</v>
      </c>
      <c r="AA69">
        <v>-606.51547000000005</v>
      </c>
      <c r="AB69">
        <v>-202.039275</v>
      </c>
      <c r="AC69">
        <v>-1.8644999999997549</v>
      </c>
      <c r="AD69">
        <v>-532.50624999999991</v>
      </c>
      <c r="AE69">
        <v>169.52671250000009</v>
      </c>
      <c r="AF69">
        <v>-419.2692874999999</v>
      </c>
      <c r="AG69">
        <v>-1234.480875</v>
      </c>
      <c r="AH69">
        <v>275.69698749999992</v>
      </c>
      <c r="AI69">
        <v>-5.0167486999999999</v>
      </c>
      <c r="AJ69">
        <v>-2.9234116999999999</v>
      </c>
      <c r="AK69">
        <v>0.66065191000000012</v>
      </c>
      <c r="AL69">
        <v>-37.562742999999998</v>
      </c>
      <c r="AM69">
        <v>4.6873364000000004</v>
      </c>
      <c r="AN69">
        <v>2.8337901000000061E-2</v>
      </c>
      <c r="AO69">
        <v>0.44752541000000001</v>
      </c>
      <c r="AP69">
        <v>33.121541000000001</v>
      </c>
      <c r="AQ69">
        <v>2.4757286999999999</v>
      </c>
      <c r="AR69">
        <v>0.34884829000000001</v>
      </c>
      <c r="AS69">
        <v>0.36848305999999997</v>
      </c>
      <c r="AT69">
        <v>39.060172000000001</v>
      </c>
    </row>
    <row r="70" spans="1:46" x14ac:dyDescent="0.25">
      <c r="A70">
        <v>68</v>
      </c>
      <c r="B70">
        <v>9.5323000000000082</v>
      </c>
      <c r="C70">
        <v>0.5414816263736264</v>
      </c>
      <c r="D70">
        <v>0.81266984247058816</v>
      </c>
      <c r="E70">
        <v>-1.949998509612649E-2</v>
      </c>
      <c r="F70">
        <v>2.440191437337031</v>
      </c>
      <c r="G70">
        <v>4.0826600000000006</v>
      </c>
      <c r="H70">
        <v>-8.9864116000000003</v>
      </c>
      <c r="I70">
        <v>-1.3017576000000011</v>
      </c>
      <c r="J70">
        <v>10.252903999999999</v>
      </c>
      <c r="K70">
        <v>0.55556600000000056</v>
      </c>
      <c r="L70">
        <v>-7.3396204000000003</v>
      </c>
      <c r="M70">
        <v>-0.62023263999999778</v>
      </c>
      <c r="N70">
        <v>-7.3094387999999997</v>
      </c>
      <c r="O70">
        <v>-21.278552000000001</v>
      </c>
      <c r="P70">
        <v>39.418612000000003</v>
      </c>
      <c r="Q70">
        <v>-5.0331488000000002</v>
      </c>
      <c r="R70">
        <v>12.101419999999999</v>
      </c>
      <c r="S70">
        <v>12.783501599999999</v>
      </c>
      <c r="T70">
        <v>-7.0686364000000008</v>
      </c>
      <c r="U70">
        <v>-149.49759999999989</v>
      </c>
      <c r="V70">
        <v>59.498000000000083</v>
      </c>
      <c r="W70">
        <v>242.62397000000001</v>
      </c>
      <c r="X70">
        <v>106.58369999999989</v>
      </c>
      <c r="Y70">
        <v>-151.31062</v>
      </c>
      <c r="Z70">
        <v>176.2756499999999</v>
      </c>
      <c r="AA70">
        <v>-596.87188000000003</v>
      </c>
      <c r="AB70">
        <v>-192.93960000000001</v>
      </c>
      <c r="AC70">
        <v>5.4795000000001366</v>
      </c>
      <c r="AD70">
        <v>-542.46249999999998</v>
      </c>
      <c r="AE70">
        <v>175.8356</v>
      </c>
      <c r="AF70">
        <v>-429.6396499999999</v>
      </c>
      <c r="AG70">
        <v>-1287.8834999999999</v>
      </c>
      <c r="AH70">
        <v>282.93669999999992</v>
      </c>
      <c r="AI70">
        <v>-4.9307348000000006</v>
      </c>
      <c r="AJ70">
        <v>-2.8945568000000002</v>
      </c>
      <c r="AK70">
        <v>0.65071564000000015</v>
      </c>
      <c r="AL70">
        <v>-36.364672000000013</v>
      </c>
      <c r="AM70">
        <v>4.4848256000000006</v>
      </c>
      <c r="AN70">
        <v>-3.3732695999999777E-2</v>
      </c>
      <c r="AO70">
        <v>0.42526364000000011</v>
      </c>
      <c r="AP70">
        <v>32.134664000000001</v>
      </c>
      <c r="AQ70">
        <v>2.3195148000000012</v>
      </c>
      <c r="AR70">
        <v>0.33707115999999998</v>
      </c>
      <c r="AS70">
        <v>0.36387523999999999</v>
      </c>
      <c r="AT70">
        <v>37.434987999999997</v>
      </c>
    </row>
    <row r="71" spans="1:46" x14ac:dyDescent="0.25">
      <c r="A71">
        <v>69</v>
      </c>
      <c r="B71">
        <v>9.5387125000000097</v>
      </c>
      <c r="C71">
        <v>0.54169985164835166</v>
      </c>
      <c r="D71">
        <v>0.80635070682678189</v>
      </c>
      <c r="E71">
        <v>-1.8088400212616779E-2</v>
      </c>
      <c r="F71">
        <v>2.3416789342758748</v>
      </c>
      <c r="G71">
        <v>3.920389999999998</v>
      </c>
      <c r="H71">
        <v>-8.9218978</v>
      </c>
      <c r="I71">
        <v>-1.0367957999999979</v>
      </c>
      <c r="J71">
        <v>10.372082000000001</v>
      </c>
      <c r="K71">
        <v>0.39120349999999859</v>
      </c>
      <c r="L71">
        <v>-7.1441781999999989</v>
      </c>
      <c r="M71">
        <v>-1.261907620000005</v>
      </c>
      <c r="N71">
        <v>-7.5147954000000023</v>
      </c>
      <c r="O71">
        <v>-21.267941</v>
      </c>
      <c r="P71">
        <v>38.822370999999997</v>
      </c>
      <c r="Q71">
        <v>-4.835597899999998</v>
      </c>
      <c r="R71">
        <v>11.62811</v>
      </c>
      <c r="S71">
        <v>11.35467779999999</v>
      </c>
      <c r="T71">
        <v>-6.7570536999999966</v>
      </c>
      <c r="U71">
        <v>-149.85298750000001</v>
      </c>
      <c r="V71">
        <v>60.102125000000107</v>
      </c>
      <c r="W71">
        <v>246.81288499999999</v>
      </c>
      <c r="X71">
        <v>114.3161625</v>
      </c>
      <c r="Y71">
        <v>-150.9928975</v>
      </c>
      <c r="Z71">
        <v>183.863325</v>
      </c>
      <c r="AA71">
        <v>-587.2282899999999</v>
      </c>
      <c r="AB71">
        <v>-183.83992499999991</v>
      </c>
      <c r="AC71">
        <v>12.823500000000131</v>
      </c>
      <c r="AD71">
        <v>-552.41875000000016</v>
      </c>
      <c r="AE71">
        <v>182.14448750000011</v>
      </c>
      <c r="AF71">
        <v>-440.01001250000002</v>
      </c>
      <c r="AG71">
        <v>-1341.2861250000001</v>
      </c>
      <c r="AH71">
        <v>290.17641250000003</v>
      </c>
      <c r="AI71">
        <v>-4.8447209000000004</v>
      </c>
      <c r="AJ71">
        <v>-2.865701899999999</v>
      </c>
      <c r="AK71">
        <v>0.64077936999999996</v>
      </c>
      <c r="AL71">
        <v>-35.166600999999993</v>
      </c>
      <c r="AM71">
        <v>4.2823147999999982</v>
      </c>
      <c r="AN71">
        <v>-9.5803293000000497E-2</v>
      </c>
      <c r="AO71">
        <v>0.40300186999999982</v>
      </c>
      <c r="AP71">
        <v>31.14778699999999</v>
      </c>
      <c r="AQ71">
        <v>2.163300899999999</v>
      </c>
      <c r="AR71">
        <v>0.32529402999999979</v>
      </c>
      <c r="AS71">
        <v>0.35926741999999989</v>
      </c>
      <c r="AT71">
        <v>35.809803999999993</v>
      </c>
    </row>
    <row r="72" spans="1:46" x14ac:dyDescent="0.25">
      <c r="A72">
        <v>70</v>
      </c>
      <c r="B72">
        <v>9.5451250000000112</v>
      </c>
      <c r="C72">
        <v>0.54191807692307692</v>
      </c>
      <c r="D72">
        <v>0.79508574741596871</v>
      </c>
      <c r="E72">
        <v>-1.730936074599582E-2</v>
      </c>
      <c r="F72">
        <v>2.2237479693337669</v>
      </c>
      <c r="G72">
        <v>3.758119999999999</v>
      </c>
      <c r="H72">
        <v>-8.8573839999999997</v>
      </c>
      <c r="I72">
        <v>-0.77183399999999835</v>
      </c>
      <c r="J72">
        <v>10.49126</v>
      </c>
      <c r="K72">
        <v>0.2268409999999991</v>
      </c>
      <c r="L72">
        <v>-6.9487359999999994</v>
      </c>
      <c r="M72">
        <v>-1.903582600000004</v>
      </c>
      <c r="N72">
        <v>-7.7201520000000006</v>
      </c>
      <c r="O72">
        <v>-21.25733</v>
      </c>
      <c r="P72">
        <v>38.226129999999998</v>
      </c>
      <c r="Q72">
        <v>-4.6380469999999976</v>
      </c>
      <c r="R72">
        <v>11.1548</v>
      </c>
      <c r="S72">
        <v>9.9258539999999922</v>
      </c>
      <c r="T72">
        <v>-6.4454709999999986</v>
      </c>
      <c r="U72">
        <v>-150.20837499999999</v>
      </c>
      <c r="V72">
        <v>60.706250000000139</v>
      </c>
      <c r="W72">
        <v>251.0018</v>
      </c>
      <c r="X72">
        <v>122.048625</v>
      </c>
      <c r="Y72">
        <v>-150.675175</v>
      </c>
      <c r="Z72">
        <v>191.45099999999999</v>
      </c>
      <c r="AA72">
        <v>-577.5847</v>
      </c>
      <c r="AB72">
        <v>-174.74024999999989</v>
      </c>
      <c r="AC72">
        <v>20.167500000000029</v>
      </c>
      <c r="AD72">
        <v>-562.37500000000011</v>
      </c>
      <c r="AE72">
        <v>188.45337499999999</v>
      </c>
      <c r="AF72">
        <v>-450.38037500000007</v>
      </c>
      <c r="AG72">
        <v>-1394.68875</v>
      </c>
      <c r="AH72">
        <v>297.41612500000002</v>
      </c>
      <c r="AI72">
        <v>-4.7587070000000002</v>
      </c>
      <c r="AJ72">
        <v>-2.8368470000000001</v>
      </c>
      <c r="AK72">
        <v>0.63084309999999999</v>
      </c>
      <c r="AL72">
        <v>-33.968529999999987</v>
      </c>
      <c r="AM72">
        <v>4.0798039999999993</v>
      </c>
      <c r="AN72">
        <v>-0.15787389000000029</v>
      </c>
      <c r="AO72">
        <v>0.38074009999999991</v>
      </c>
      <c r="AP72">
        <v>30.160909999999991</v>
      </c>
      <c r="AQ72">
        <v>2.007086999999999</v>
      </c>
      <c r="AR72">
        <v>0.31351689999999988</v>
      </c>
      <c r="AS72">
        <v>0.35465960000000002</v>
      </c>
      <c r="AT72">
        <v>34.184620000000002</v>
      </c>
    </row>
    <row r="73" spans="1:46" x14ac:dyDescent="0.25">
      <c r="A73">
        <v>71</v>
      </c>
      <c r="B73">
        <v>9.5513250000000092</v>
      </c>
      <c r="C73">
        <v>0.54215227472527472</v>
      </c>
      <c r="D73">
        <v>0.77932206863032016</v>
      </c>
      <c r="E73">
        <v>-1.6118440010541149E-2</v>
      </c>
      <c r="F73">
        <v>2.110784854994221</v>
      </c>
      <c r="G73">
        <v>3.5957275999999969</v>
      </c>
      <c r="H73">
        <v>-8.7912449999999982</v>
      </c>
      <c r="I73">
        <v>-0.49705537999999572</v>
      </c>
      <c r="J73">
        <v>10.630243</v>
      </c>
      <c r="K73">
        <v>6.4695299999997583E-2</v>
      </c>
      <c r="L73">
        <v>-6.7352108999999967</v>
      </c>
      <c r="M73">
        <v>-2.5178801000000091</v>
      </c>
      <c r="N73">
        <v>-7.8999746000000028</v>
      </c>
      <c r="O73">
        <v>-21.228954000000002</v>
      </c>
      <c r="P73">
        <v>37.610865999999987</v>
      </c>
      <c r="Q73">
        <v>-4.4297894999999956</v>
      </c>
      <c r="R73">
        <v>10.659769099999989</v>
      </c>
      <c r="S73">
        <v>8.3726139999999756</v>
      </c>
      <c r="T73">
        <v>-6.118119099999995</v>
      </c>
      <c r="U73">
        <v>-150.15236250000001</v>
      </c>
      <c r="V73">
        <v>61.366900000000108</v>
      </c>
      <c r="W73">
        <v>254.77544750000001</v>
      </c>
      <c r="X73">
        <v>129.79575000000011</v>
      </c>
      <c r="Y73">
        <v>-149.60875125000001</v>
      </c>
      <c r="Z73">
        <v>198.47172499999999</v>
      </c>
      <c r="AA73">
        <v>-566.4309149999998</v>
      </c>
      <c r="AB73">
        <v>-164.5272874999998</v>
      </c>
      <c r="AC73">
        <v>26.995125000000058</v>
      </c>
      <c r="AD73">
        <v>-569.05662500000005</v>
      </c>
      <c r="AE73">
        <v>192.07073750000001</v>
      </c>
      <c r="AF73">
        <v>-458.30783750000012</v>
      </c>
      <c r="AG73">
        <v>-1441.0206499999999</v>
      </c>
      <c r="AH73">
        <v>303.2988125</v>
      </c>
      <c r="AI73">
        <v>-4.6664591999999994</v>
      </c>
      <c r="AJ73">
        <v>-2.7874798999999988</v>
      </c>
      <c r="AK73">
        <v>0.6152850999999997</v>
      </c>
      <c r="AL73">
        <v>-32.757232999999978</v>
      </c>
      <c r="AM73">
        <v>3.8610921999999972</v>
      </c>
      <c r="AN73">
        <v>-0.21013921000000069</v>
      </c>
      <c r="AO73">
        <v>0.35659948999999957</v>
      </c>
      <c r="AP73">
        <v>28.80848199999998</v>
      </c>
      <c r="AQ73">
        <v>1.8470446999999981</v>
      </c>
      <c r="AR73">
        <v>0.29883174999999967</v>
      </c>
      <c r="AS73">
        <v>0.34703189999999978</v>
      </c>
      <c r="AT73">
        <v>32.079474999999967</v>
      </c>
    </row>
    <row r="74" spans="1:46" x14ac:dyDescent="0.25">
      <c r="A74">
        <v>72</v>
      </c>
      <c r="B74">
        <v>9.557400000000003</v>
      </c>
      <c r="C74">
        <v>0.54239586813186813</v>
      </c>
      <c r="D74">
        <v>0.76560998164040583</v>
      </c>
      <c r="E74">
        <v>-1.582216575013717E-2</v>
      </c>
      <c r="F74">
        <v>1.998039041270026</v>
      </c>
      <c r="G74">
        <v>3.433263199999999</v>
      </c>
      <c r="H74">
        <v>-8.7241499999999981</v>
      </c>
      <c r="I74">
        <v>-0.21650215999999761</v>
      </c>
      <c r="J74">
        <v>10.780875999999999</v>
      </c>
      <c r="K74">
        <v>-9.6146400000001353E-2</v>
      </c>
      <c r="L74">
        <v>-6.5110487999999984</v>
      </c>
      <c r="M74">
        <v>-3.1160732000000051</v>
      </c>
      <c r="N74">
        <v>-8.0647772000000018</v>
      </c>
      <c r="O74">
        <v>-21.190128000000001</v>
      </c>
      <c r="P74">
        <v>36.984411999999992</v>
      </c>
      <c r="Q74">
        <v>-4.2152339999999979</v>
      </c>
      <c r="R74">
        <v>10.151961200000001</v>
      </c>
      <c r="S74">
        <v>6.7461879999999859</v>
      </c>
      <c r="T74">
        <v>-5.7814911999999978</v>
      </c>
      <c r="U74">
        <v>-149.85435000000001</v>
      </c>
      <c r="V74">
        <v>62.060800000000043</v>
      </c>
      <c r="W74">
        <v>258.30482000000001</v>
      </c>
      <c r="X74">
        <v>137.55150000000009</v>
      </c>
      <c r="Y74">
        <v>-148.10191499999999</v>
      </c>
      <c r="Z74">
        <v>205.15895000000009</v>
      </c>
      <c r="AA74">
        <v>-554.38877999999988</v>
      </c>
      <c r="AB74">
        <v>-153.65944999999991</v>
      </c>
      <c r="AC74">
        <v>33.519000000000041</v>
      </c>
      <c r="AD74">
        <v>-573.8119999999999</v>
      </c>
      <c r="AE74">
        <v>194.10485</v>
      </c>
      <c r="AF74">
        <v>-464.79829999999998</v>
      </c>
      <c r="AG74">
        <v>-1483.1932999999999</v>
      </c>
      <c r="AH74">
        <v>308.38324999999998</v>
      </c>
      <c r="AI74">
        <v>-4.5705443999999993</v>
      </c>
      <c r="AJ74">
        <v>-2.7260467999999989</v>
      </c>
      <c r="AK74">
        <v>0.59642019999999984</v>
      </c>
      <c r="AL74">
        <v>-31.53815599999999</v>
      </c>
      <c r="AM74">
        <v>3.6328503999999979</v>
      </c>
      <c r="AN74">
        <v>-0.25663672000000037</v>
      </c>
      <c r="AO74">
        <v>0.33135367999999982</v>
      </c>
      <c r="AP74">
        <v>27.241023999999989</v>
      </c>
      <c r="AQ74">
        <v>1.6847503999999991</v>
      </c>
      <c r="AR74">
        <v>0.28243599999999991</v>
      </c>
      <c r="AS74">
        <v>0.33762779999999992</v>
      </c>
      <c r="AT74">
        <v>29.691999999999979</v>
      </c>
    </row>
    <row r="75" spans="1:46" x14ac:dyDescent="0.25">
      <c r="A75">
        <v>73</v>
      </c>
      <c r="B75">
        <v>9.5634749999999986</v>
      </c>
      <c r="C75">
        <v>0.54263946153846154</v>
      </c>
      <c r="D75">
        <v>0.75075541313680871</v>
      </c>
      <c r="E75">
        <v>-2.042726949132655E-2</v>
      </c>
      <c r="F75">
        <v>1.870880626340671</v>
      </c>
      <c r="G75">
        <v>3.2707988000000001</v>
      </c>
      <c r="H75">
        <v>-8.6570549999999997</v>
      </c>
      <c r="I75">
        <v>6.4051060000000604E-2</v>
      </c>
      <c r="J75">
        <v>10.931509</v>
      </c>
      <c r="K75">
        <v>-0.25698810000000027</v>
      </c>
      <c r="L75">
        <v>-6.2868867000000002</v>
      </c>
      <c r="M75">
        <v>-3.7142663000000011</v>
      </c>
      <c r="N75">
        <v>-8.2295797999999998</v>
      </c>
      <c r="O75">
        <v>-21.151302000000001</v>
      </c>
      <c r="P75">
        <v>36.357958000000004</v>
      </c>
      <c r="Q75">
        <v>-4.0006784999999994</v>
      </c>
      <c r="R75">
        <v>9.6441532999999993</v>
      </c>
      <c r="S75">
        <v>5.1197619999999961</v>
      </c>
      <c r="T75">
        <v>-5.4448632999999997</v>
      </c>
      <c r="U75">
        <v>-149.55633750000001</v>
      </c>
      <c r="V75">
        <v>62.754699999999957</v>
      </c>
      <c r="W75">
        <v>261.83419249999997</v>
      </c>
      <c r="X75">
        <v>145.3072500000001</v>
      </c>
      <c r="Y75">
        <v>-146.59507875</v>
      </c>
      <c r="Z75">
        <v>211.8461750000001</v>
      </c>
      <c r="AA75">
        <v>-542.34664499999997</v>
      </c>
      <c r="AB75">
        <v>-142.7916124999999</v>
      </c>
      <c r="AC75">
        <v>40.042875000000024</v>
      </c>
      <c r="AD75">
        <v>-578.56737499999974</v>
      </c>
      <c r="AE75">
        <v>196.13896249999999</v>
      </c>
      <c r="AF75">
        <v>-471.28876250000002</v>
      </c>
      <c r="AG75">
        <v>-1525.3659500000001</v>
      </c>
      <c r="AH75">
        <v>313.46768750000001</v>
      </c>
      <c r="AI75">
        <v>-4.4746296000000001</v>
      </c>
      <c r="AJ75">
        <v>-2.6646136999999999</v>
      </c>
      <c r="AK75">
        <v>0.57755529999999999</v>
      </c>
      <c r="AL75">
        <v>-30.319078999999999</v>
      </c>
      <c r="AM75">
        <v>3.4046086</v>
      </c>
      <c r="AN75">
        <v>-0.30313423000000012</v>
      </c>
      <c r="AO75">
        <v>0.30610786999999989</v>
      </c>
      <c r="AP75">
        <v>25.67356599999999</v>
      </c>
      <c r="AQ75">
        <v>1.5224561000000001</v>
      </c>
      <c r="AR75">
        <v>0.26604024999999998</v>
      </c>
      <c r="AS75">
        <v>0.32822370000000001</v>
      </c>
      <c r="AT75">
        <v>27.304525000000002</v>
      </c>
    </row>
    <row r="76" spans="1:46" x14ac:dyDescent="0.25">
      <c r="A76">
        <v>74</v>
      </c>
      <c r="B76">
        <v>9.5695499999999942</v>
      </c>
      <c r="C76">
        <v>0.54288305494505495</v>
      </c>
      <c r="D76">
        <v>0.72632498992865635</v>
      </c>
      <c r="E76">
        <v>-1.4714778097458499E-2</v>
      </c>
      <c r="F76">
        <v>1.719580433476847</v>
      </c>
      <c r="G76">
        <v>3.1083343999999982</v>
      </c>
      <c r="H76">
        <v>-8.5899599999999996</v>
      </c>
      <c r="I76">
        <v>0.34460428000000293</v>
      </c>
      <c r="J76">
        <v>11.082141999999999</v>
      </c>
      <c r="K76">
        <v>-0.41782980000000147</v>
      </c>
      <c r="L76">
        <v>-6.0627245999999966</v>
      </c>
      <c r="M76">
        <v>-4.312459400000006</v>
      </c>
      <c r="N76">
        <v>-8.3943824000000014</v>
      </c>
      <c r="O76">
        <v>-21.112476000000001</v>
      </c>
      <c r="P76">
        <v>35.731503999999987</v>
      </c>
      <c r="Q76">
        <v>-3.7861229999999981</v>
      </c>
      <c r="R76">
        <v>9.1363453999999944</v>
      </c>
      <c r="S76">
        <v>3.4933359999999829</v>
      </c>
      <c r="T76">
        <v>-5.1082353999999972</v>
      </c>
      <c r="U76">
        <v>-149.25832500000001</v>
      </c>
      <c r="V76">
        <v>63.4485999999999</v>
      </c>
      <c r="W76">
        <v>265.36356500000011</v>
      </c>
      <c r="X76">
        <v>153.06300000000019</v>
      </c>
      <c r="Y76">
        <v>-145.08824250000001</v>
      </c>
      <c r="Z76">
        <v>218.53340000000011</v>
      </c>
      <c r="AA76">
        <v>-530.30450999999994</v>
      </c>
      <c r="AB76">
        <v>-131.92377499999981</v>
      </c>
      <c r="AC76">
        <v>46.566750000000098</v>
      </c>
      <c r="AD76">
        <v>-583.32274999999959</v>
      </c>
      <c r="AE76">
        <v>198.17307500000001</v>
      </c>
      <c r="AF76">
        <v>-477.77922500000011</v>
      </c>
      <c r="AG76">
        <v>-1567.538600000001</v>
      </c>
      <c r="AH76">
        <v>318.55212499999999</v>
      </c>
      <c r="AI76">
        <v>-4.3787147999999982</v>
      </c>
      <c r="AJ76">
        <v>-2.6031806</v>
      </c>
      <c r="AK76">
        <v>0.55869039999999981</v>
      </c>
      <c r="AL76">
        <v>-29.100001999999989</v>
      </c>
      <c r="AM76">
        <v>3.176366799999998</v>
      </c>
      <c r="AN76">
        <v>-0.34963174000000052</v>
      </c>
      <c r="AO76">
        <v>0.28086205999999969</v>
      </c>
      <c r="AP76">
        <v>24.106107999999981</v>
      </c>
      <c r="AQ76">
        <v>1.360161799999998</v>
      </c>
      <c r="AR76">
        <v>0.24964449999999991</v>
      </c>
      <c r="AS76">
        <v>0.31881959999999993</v>
      </c>
      <c r="AT76">
        <v>24.917049999999971</v>
      </c>
    </row>
    <row r="77" spans="1:46" x14ac:dyDescent="0.25">
      <c r="A77">
        <v>75</v>
      </c>
      <c r="B77">
        <v>9.5749999999999886</v>
      </c>
      <c r="C77">
        <v>0.54314615384615395</v>
      </c>
      <c r="D77">
        <v>0.67810864235234891</v>
      </c>
      <c r="E77">
        <v>-1.3625008583411809E-2</v>
      </c>
      <c r="F77">
        <v>1.6078918106044759</v>
      </c>
      <c r="G77">
        <v>2.9482575</v>
      </c>
      <c r="H77">
        <v>-8.5201149999999988</v>
      </c>
      <c r="I77">
        <v>0.63686450000000105</v>
      </c>
      <c r="J77">
        <v>11.261100000000001</v>
      </c>
      <c r="K77">
        <v>-0.57076975000000052</v>
      </c>
      <c r="L77">
        <v>-5.8156199999999991</v>
      </c>
      <c r="M77">
        <v>-4.8617125000000021</v>
      </c>
      <c r="N77">
        <v>-8.5162324999999992</v>
      </c>
      <c r="O77">
        <v>-21.051449999999999</v>
      </c>
      <c r="P77">
        <v>35.097799999999999</v>
      </c>
      <c r="Q77">
        <v>-3.5722449999999988</v>
      </c>
      <c r="R77">
        <v>8.6124024999999982</v>
      </c>
      <c r="S77">
        <v>1.737484999999994</v>
      </c>
      <c r="T77">
        <v>-4.757134999999999</v>
      </c>
      <c r="U77">
        <v>-148.29468750000001</v>
      </c>
      <c r="V77">
        <v>64.236874999999912</v>
      </c>
      <c r="W77">
        <v>268.15293750000001</v>
      </c>
      <c r="X77">
        <v>160.40000000000009</v>
      </c>
      <c r="Y77">
        <v>-142.39015624999999</v>
      </c>
      <c r="Z77">
        <v>224.2390625000001</v>
      </c>
      <c r="AA77">
        <v>-516.23312499999997</v>
      </c>
      <c r="AB77">
        <v>-120.0193749999999</v>
      </c>
      <c r="AC77">
        <v>51.925000000000011</v>
      </c>
      <c r="AD77">
        <v>-582.59999999999957</v>
      </c>
      <c r="AE77">
        <v>196.24187499999999</v>
      </c>
      <c r="AF77">
        <v>-480.02656250000001</v>
      </c>
      <c r="AG77">
        <v>-1593.5690625</v>
      </c>
      <c r="AH77">
        <v>321.3721875</v>
      </c>
      <c r="AI77">
        <v>-4.2258974999999994</v>
      </c>
      <c r="AJ77">
        <v>-2.5130325</v>
      </c>
      <c r="AK77">
        <v>0.53096724999999989</v>
      </c>
      <c r="AL77">
        <v>-27.58499999999999</v>
      </c>
      <c r="AM77">
        <v>2.9046149999999988</v>
      </c>
      <c r="AN77">
        <v>-0.37972225000000009</v>
      </c>
      <c r="AO77">
        <v>0.25256849999999992</v>
      </c>
      <c r="AP77">
        <v>21.989174999999989</v>
      </c>
      <c r="AQ77">
        <v>1.2139457499999999</v>
      </c>
      <c r="AR77">
        <v>0.23053699999999991</v>
      </c>
      <c r="AS77">
        <v>0.29941049999999991</v>
      </c>
      <c r="AT77">
        <v>22.409549999999989</v>
      </c>
    </row>
    <row r="78" spans="1:46" x14ac:dyDescent="0.25">
      <c r="A78">
        <v>76</v>
      </c>
      <c r="B78">
        <v>9.5803999999999832</v>
      </c>
      <c r="C78">
        <v>0.54341081318681328</v>
      </c>
      <c r="D78">
        <v>0.60458105890367231</v>
      </c>
      <c r="E78">
        <v>-3.8923205101436351E-3</v>
      </c>
      <c r="F78">
        <v>1.4515404327970589</v>
      </c>
      <c r="G78">
        <v>2.7883716000000009</v>
      </c>
      <c r="H78">
        <v>-8.4500500000000009</v>
      </c>
      <c r="I78">
        <v>0.93006127999999921</v>
      </c>
      <c r="J78">
        <v>11.442323999999999</v>
      </c>
      <c r="K78">
        <v>-0.72307755999999956</v>
      </c>
      <c r="L78">
        <v>-5.5666800000000007</v>
      </c>
      <c r="M78">
        <v>-5.4070503999999984</v>
      </c>
      <c r="N78">
        <v>-8.6346463999999994</v>
      </c>
      <c r="O78">
        <v>-20.988648000000001</v>
      </c>
      <c r="P78">
        <v>34.463516000000013</v>
      </c>
      <c r="Q78">
        <v>-3.3584212</v>
      </c>
      <c r="R78">
        <v>8.0871688000000006</v>
      </c>
      <c r="S78">
        <v>-2.8719999999994968E-2</v>
      </c>
      <c r="T78">
        <v>-4.4048768000000011</v>
      </c>
      <c r="U78">
        <v>-147.27780000000001</v>
      </c>
      <c r="V78">
        <v>65.032699999999934</v>
      </c>
      <c r="W78">
        <v>270.88310999999999</v>
      </c>
      <c r="X78">
        <v>167.7035000000001</v>
      </c>
      <c r="Y78">
        <v>-139.59676999999999</v>
      </c>
      <c r="Z78">
        <v>229.86619999999999</v>
      </c>
      <c r="AA78">
        <v>-501.99939999999998</v>
      </c>
      <c r="AB78">
        <v>-108.0320500000001</v>
      </c>
      <c r="AC78">
        <v>57.189999999999941</v>
      </c>
      <c r="AD78">
        <v>-581.43899999999962</v>
      </c>
      <c r="AE78">
        <v>193.99345</v>
      </c>
      <c r="AF78">
        <v>-481.93445000000003</v>
      </c>
      <c r="AG78">
        <v>-1618.3081500000001</v>
      </c>
      <c r="AH78">
        <v>324.0111</v>
      </c>
      <c r="AI78">
        <v>-4.0685280000000006</v>
      </c>
      <c r="AJ78">
        <v>-2.4205871999999999</v>
      </c>
      <c r="AK78">
        <v>0.50253544000000006</v>
      </c>
      <c r="AL78">
        <v>-26.046324000000009</v>
      </c>
      <c r="AM78">
        <v>2.6293824000000008</v>
      </c>
      <c r="AN78">
        <v>-0.40850019999999992</v>
      </c>
      <c r="AO78">
        <v>0.22403112000000011</v>
      </c>
      <c r="AP78">
        <v>19.828284000000011</v>
      </c>
      <c r="AQ78">
        <v>1.0690159600000011</v>
      </c>
      <c r="AR78">
        <v>0.2112125600000001</v>
      </c>
      <c r="AS78">
        <v>0.27920099999999998</v>
      </c>
      <c r="AT78">
        <v>19.892448000000009</v>
      </c>
    </row>
    <row r="79" spans="1:46" x14ac:dyDescent="0.25">
      <c r="A79">
        <v>77</v>
      </c>
      <c r="B79">
        <v>9.5857999999999794</v>
      </c>
      <c r="C79">
        <v>0.54367547252747261</v>
      </c>
      <c r="D79">
        <v>0.61360920561562404</v>
      </c>
      <c r="E79">
        <v>-4.850248243709515E-3</v>
      </c>
      <c r="F79">
        <v>1.317552613480715</v>
      </c>
      <c r="G79">
        <v>2.6284856999999988</v>
      </c>
      <c r="H79">
        <v>-8.3799849999999996</v>
      </c>
      <c r="I79">
        <v>1.2232580600000009</v>
      </c>
      <c r="J79">
        <v>11.623548</v>
      </c>
      <c r="K79">
        <v>-0.87538537000000072</v>
      </c>
      <c r="L79">
        <v>-5.3177399999999988</v>
      </c>
      <c r="M79">
        <v>-5.9523883000000026</v>
      </c>
      <c r="N79">
        <v>-8.7530602999999996</v>
      </c>
      <c r="O79">
        <v>-20.925846</v>
      </c>
      <c r="P79">
        <v>33.829231999999998</v>
      </c>
      <c r="Q79">
        <v>-3.144597399999999</v>
      </c>
      <c r="R79">
        <v>7.5619350999999968</v>
      </c>
      <c r="S79">
        <v>-1.794925000000009</v>
      </c>
      <c r="T79">
        <v>-4.0526185999999988</v>
      </c>
      <c r="U79">
        <v>-146.26091249999999</v>
      </c>
      <c r="V79">
        <v>65.828524999999971</v>
      </c>
      <c r="W79">
        <v>273.61328250000003</v>
      </c>
      <c r="X79">
        <v>175.00700000000009</v>
      </c>
      <c r="Y79">
        <v>-136.80338374999999</v>
      </c>
      <c r="Z79">
        <v>235.49333750000011</v>
      </c>
      <c r="AA79">
        <v>-487.76567499999987</v>
      </c>
      <c r="AB79">
        <v>-96.044725</v>
      </c>
      <c r="AC79">
        <v>62.454999999999941</v>
      </c>
      <c r="AD79">
        <v>-580.27799999999968</v>
      </c>
      <c r="AE79">
        <v>191.745025</v>
      </c>
      <c r="AF79">
        <v>-483.84233749999999</v>
      </c>
      <c r="AG79">
        <v>-1643.0472374999999</v>
      </c>
      <c r="AH79">
        <v>326.65001250000012</v>
      </c>
      <c r="AI79">
        <v>-3.9111585</v>
      </c>
      <c r="AJ79">
        <v>-2.328141899999999</v>
      </c>
      <c r="AK79">
        <v>0.47410362999999989</v>
      </c>
      <c r="AL79">
        <v>-24.507647999999989</v>
      </c>
      <c r="AM79">
        <v>2.3541497999999978</v>
      </c>
      <c r="AN79">
        <v>-0.43727815000000009</v>
      </c>
      <c r="AO79">
        <v>0.19549373999999989</v>
      </c>
      <c r="AP79">
        <v>17.66739299999999</v>
      </c>
      <c r="AQ79">
        <v>0.92408616999999937</v>
      </c>
      <c r="AR79">
        <v>0.19188811999999991</v>
      </c>
      <c r="AS79">
        <v>0.25899149999999987</v>
      </c>
      <c r="AT79">
        <v>17.37534599999999</v>
      </c>
    </row>
    <row r="80" spans="1:46" x14ac:dyDescent="0.25">
      <c r="A80">
        <v>78</v>
      </c>
      <c r="B80">
        <v>9.5910499999999761</v>
      </c>
      <c r="C80">
        <v>0.5439438571428572</v>
      </c>
      <c r="D80">
        <v>0.60011425846441258</v>
      </c>
      <c r="E80">
        <v>-1.271741644129239E-2</v>
      </c>
      <c r="F80">
        <v>1.188640184401814</v>
      </c>
      <c r="G80">
        <v>2.4698346</v>
      </c>
      <c r="H80">
        <v>-8.3091652000000007</v>
      </c>
      <c r="I80">
        <v>1.5184987999999999</v>
      </c>
      <c r="J80">
        <v>11.810957999999999</v>
      </c>
      <c r="K80">
        <v>-1.0246235800000001</v>
      </c>
      <c r="L80">
        <v>-5.0643023999999999</v>
      </c>
      <c r="M80">
        <v>-6.4841673999999996</v>
      </c>
      <c r="N80">
        <v>-8.8604719999999997</v>
      </c>
      <c r="O80">
        <v>-20.859012</v>
      </c>
      <c r="P80">
        <v>33.198752000000013</v>
      </c>
      <c r="Q80">
        <v>-2.9346082</v>
      </c>
      <c r="R80">
        <v>7.0371819999999996</v>
      </c>
      <c r="S80">
        <v>-3.5740485999999989</v>
      </c>
      <c r="T80">
        <v>-3.6991423999999999</v>
      </c>
      <c r="U80">
        <v>-145.07400000000001</v>
      </c>
      <c r="V80">
        <v>66.648424999999989</v>
      </c>
      <c r="W80">
        <v>276.14291999999989</v>
      </c>
      <c r="X80">
        <v>182.09750000000011</v>
      </c>
      <c r="Y80">
        <v>-133.72150250000001</v>
      </c>
      <c r="Z80">
        <v>240.85137499999999</v>
      </c>
      <c r="AA80">
        <v>-473.13504999999998</v>
      </c>
      <c r="AB80">
        <v>-83.962750000000085</v>
      </c>
      <c r="AC80">
        <v>67.368999999999886</v>
      </c>
      <c r="AD80">
        <v>-577.67999999999984</v>
      </c>
      <c r="AE80">
        <v>188.68142499999999</v>
      </c>
      <c r="AF80">
        <v>-484.62740000000002</v>
      </c>
      <c r="AG80">
        <v>-1662.9101250000001</v>
      </c>
      <c r="AH80">
        <v>328.75192500000003</v>
      </c>
      <c r="AI80">
        <v>-3.755770800000001</v>
      </c>
      <c r="AJ80">
        <v>-2.2387427999999998</v>
      </c>
      <c r="AK80">
        <v>0.44664964000000001</v>
      </c>
      <c r="AL80">
        <v>-23.008302</v>
      </c>
      <c r="AM80">
        <v>2.0818872000000002</v>
      </c>
      <c r="AN80">
        <v>-0.46504983999999999</v>
      </c>
      <c r="AO80">
        <v>0.16734324</v>
      </c>
      <c r="AP80">
        <v>15.522574799999999</v>
      </c>
      <c r="AQ80">
        <v>0.78560128000000007</v>
      </c>
      <c r="AR80">
        <v>0.17221563200000001</v>
      </c>
      <c r="AS80">
        <v>0.23685426000000001</v>
      </c>
      <c r="AT80">
        <v>14.9313252</v>
      </c>
    </row>
    <row r="81" spans="1:46" x14ac:dyDescent="0.25">
      <c r="A81">
        <v>79</v>
      </c>
      <c r="B81">
        <v>9.5957749999999784</v>
      </c>
      <c r="C81">
        <v>0.54422528021978023</v>
      </c>
      <c r="D81">
        <v>0.56294148262695121</v>
      </c>
      <c r="E81">
        <v>-1.2604195079255229E-2</v>
      </c>
      <c r="F81">
        <v>1.0488064241330619</v>
      </c>
      <c r="G81">
        <v>2.3155052999999999</v>
      </c>
      <c r="H81">
        <v>-8.2357036000000008</v>
      </c>
      <c r="I81">
        <v>1.820893399999999</v>
      </c>
      <c r="J81">
        <v>12.020019</v>
      </c>
      <c r="K81">
        <v>-1.1631181900000001</v>
      </c>
      <c r="L81">
        <v>-4.7951232000000008</v>
      </c>
      <c r="M81">
        <v>-6.9684906999999976</v>
      </c>
      <c r="N81">
        <v>-8.9293759999999995</v>
      </c>
      <c r="O81">
        <v>-20.778065999999999</v>
      </c>
      <c r="P81">
        <v>32.581586000000001</v>
      </c>
      <c r="Q81">
        <v>-2.738040100000001</v>
      </c>
      <c r="R81">
        <v>6.5141110000000024</v>
      </c>
      <c r="S81">
        <v>-5.3983872999999942</v>
      </c>
      <c r="T81">
        <v>-3.3414032000000011</v>
      </c>
      <c r="U81">
        <v>-143.292</v>
      </c>
      <c r="V81">
        <v>67.552587499999987</v>
      </c>
      <c r="W81">
        <v>277.97068499999989</v>
      </c>
      <c r="X81">
        <v>188.44250000000011</v>
      </c>
      <c r="Y81">
        <v>-129.62988874999999</v>
      </c>
      <c r="Z81">
        <v>245.2675625</v>
      </c>
      <c r="AA81">
        <v>-457.115275</v>
      </c>
      <c r="AB81">
        <v>-71.54950000000008</v>
      </c>
      <c r="AC81">
        <v>71.054499999999919</v>
      </c>
      <c r="AD81">
        <v>-570.05250000000001</v>
      </c>
      <c r="AE81">
        <v>182.7647125</v>
      </c>
      <c r="AF81">
        <v>-481.482575</v>
      </c>
      <c r="AG81">
        <v>-1665.7063125</v>
      </c>
      <c r="AH81">
        <v>328.97433749999999</v>
      </c>
      <c r="AI81">
        <v>-3.6073194000000011</v>
      </c>
      <c r="AJ81">
        <v>-2.1600054000000002</v>
      </c>
      <c r="AK81">
        <v>0.42261801999999998</v>
      </c>
      <c r="AL81">
        <v>-21.646611</v>
      </c>
      <c r="AM81">
        <v>1.8200196000000011</v>
      </c>
      <c r="AN81">
        <v>-0.48929961999999988</v>
      </c>
      <c r="AO81">
        <v>0.1405468200000001</v>
      </c>
      <c r="AP81">
        <v>13.43401140000001</v>
      </c>
      <c r="AQ81">
        <v>0.66967354000000046</v>
      </c>
      <c r="AR81">
        <v>0.15132497600000011</v>
      </c>
      <c r="AS81">
        <v>0.20796993000000011</v>
      </c>
      <c r="AT81">
        <v>12.743088600000011</v>
      </c>
    </row>
    <row r="82" spans="1:46" x14ac:dyDescent="0.25">
      <c r="A82">
        <v>80</v>
      </c>
      <c r="B82">
        <v>9.6004999999999825</v>
      </c>
      <c r="C82">
        <v>0.54450670329670325</v>
      </c>
      <c r="D82">
        <v>0.4657820091627165</v>
      </c>
      <c r="E82">
        <v>-5.5241759101260406E-3</v>
      </c>
      <c r="F82">
        <v>0.90390759930463349</v>
      </c>
      <c r="G82">
        <v>2.161175999999998</v>
      </c>
      <c r="H82">
        <v>-8.1622419999999991</v>
      </c>
      <c r="I82">
        <v>2.1232880000000018</v>
      </c>
      <c r="J82">
        <v>12.22908</v>
      </c>
      <c r="K82">
        <v>-1.3016128000000009</v>
      </c>
      <c r="L82">
        <v>-4.5259439999999973</v>
      </c>
      <c r="M82">
        <v>-7.4528140000000036</v>
      </c>
      <c r="N82">
        <v>-8.9982800000000012</v>
      </c>
      <c r="O82">
        <v>-20.697120000000002</v>
      </c>
      <c r="P82">
        <v>31.96442</v>
      </c>
      <c r="Q82">
        <v>-2.541471999999998</v>
      </c>
      <c r="R82">
        <v>5.9910399999999946</v>
      </c>
      <c r="S82">
        <v>-7.2227260000000149</v>
      </c>
      <c r="T82">
        <v>-2.983663999999997</v>
      </c>
      <c r="U82">
        <v>-141.51</v>
      </c>
      <c r="V82">
        <v>68.45675</v>
      </c>
      <c r="W82">
        <v>279.79845</v>
      </c>
      <c r="X82">
        <v>194.78750000000011</v>
      </c>
      <c r="Y82">
        <v>-125.538275</v>
      </c>
      <c r="Z82">
        <v>249.68375</v>
      </c>
      <c r="AA82">
        <v>-441.09549999999979</v>
      </c>
      <c r="AB82">
        <v>-59.136249999999919</v>
      </c>
      <c r="AC82">
        <v>74.740000000000009</v>
      </c>
      <c r="AD82">
        <v>-562.42500000000007</v>
      </c>
      <c r="AE82">
        <v>176.84800000000001</v>
      </c>
      <c r="AF82">
        <v>-478.33775000000003</v>
      </c>
      <c r="AG82">
        <v>-1668.5025000000001</v>
      </c>
      <c r="AH82">
        <v>329.19675000000001</v>
      </c>
      <c r="AI82">
        <v>-3.4588679999999989</v>
      </c>
      <c r="AJ82">
        <v>-2.0812679999999988</v>
      </c>
      <c r="AK82">
        <v>0.39858639999999979</v>
      </c>
      <c r="AL82">
        <v>-20.284919999999989</v>
      </c>
      <c r="AM82">
        <v>1.558151999999998</v>
      </c>
      <c r="AN82">
        <v>-0.51354940000000027</v>
      </c>
      <c r="AO82">
        <v>0.11375039999999979</v>
      </c>
      <c r="AP82">
        <v>11.34544799999998</v>
      </c>
      <c r="AQ82">
        <v>0.55374579999999907</v>
      </c>
      <c r="AR82">
        <v>0.1304343199999998</v>
      </c>
      <c r="AS82">
        <v>0.17908559999999971</v>
      </c>
      <c r="AT82">
        <v>10.554851999999981</v>
      </c>
    </row>
    <row r="83" spans="1:46" x14ac:dyDescent="0.25">
      <c r="A83">
        <v>81</v>
      </c>
      <c r="B83">
        <v>9.6052249999999866</v>
      </c>
      <c r="C83">
        <v>0.54478812637362639</v>
      </c>
      <c r="D83">
        <v>0.40712338087041261</v>
      </c>
      <c r="E83">
        <v>1.112413119331108E-3</v>
      </c>
      <c r="F83">
        <v>0.79388513841558239</v>
      </c>
      <c r="G83">
        <v>2.0068466999999992</v>
      </c>
      <c r="H83">
        <v>-8.0887803999999992</v>
      </c>
      <c r="I83">
        <v>2.4256826000000018</v>
      </c>
      <c r="J83">
        <v>12.438141</v>
      </c>
      <c r="K83">
        <v>-1.4401074100000011</v>
      </c>
      <c r="L83">
        <v>-4.2567647999999982</v>
      </c>
      <c r="M83">
        <v>-7.9371373000000034</v>
      </c>
      <c r="N83">
        <v>-9.067184000000001</v>
      </c>
      <c r="O83">
        <v>-20.616174000000001</v>
      </c>
      <c r="P83">
        <v>31.347254</v>
      </c>
      <c r="Q83">
        <v>-2.344903899999998</v>
      </c>
      <c r="R83">
        <v>5.4679689999999974</v>
      </c>
      <c r="S83">
        <v>-9.0470647000000106</v>
      </c>
      <c r="T83">
        <v>-2.6259247999999982</v>
      </c>
      <c r="U83">
        <v>-139.72800000000001</v>
      </c>
      <c r="V83">
        <v>69.360912500000012</v>
      </c>
      <c r="W83">
        <v>281.626215</v>
      </c>
      <c r="X83">
        <v>201.13249999999999</v>
      </c>
      <c r="Y83">
        <v>-121.44666125000001</v>
      </c>
      <c r="Z83">
        <v>254.09993750000001</v>
      </c>
      <c r="AA83">
        <v>-425.07572499999969</v>
      </c>
      <c r="AB83">
        <v>-46.722999999999921</v>
      </c>
      <c r="AC83">
        <v>78.425500000000042</v>
      </c>
      <c r="AD83">
        <v>-554.79750000000024</v>
      </c>
      <c r="AE83">
        <v>170.93128749999991</v>
      </c>
      <c r="AF83">
        <v>-475.19292499999989</v>
      </c>
      <c r="AG83">
        <v>-1671.2986874999999</v>
      </c>
      <c r="AH83">
        <v>329.41916250000003</v>
      </c>
      <c r="AI83">
        <v>-3.310416599999999</v>
      </c>
      <c r="AJ83">
        <v>-2.0025305999999992</v>
      </c>
      <c r="AK83">
        <v>0.37455477999999981</v>
      </c>
      <c r="AL83">
        <v>-18.923228999999989</v>
      </c>
      <c r="AM83">
        <v>1.296284399999998</v>
      </c>
      <c r="AN83">
        <v>-0.53779918000000015</v>
      </c>
      <c r="AO83">
        <v>8.6953979999999848E-2</v>
      </c>
      <c r="AP83">
        <v>9.2568845999999887</v>
      </c>
      <c r="AQ83">
        <v>0.43781805999999929</v>
      </c>
      <c r="AR83">
        <v>0.1095436639999999</v>
      </c>
      <c r="AS83">
        <v>0.1502012699999998</v>
      </c>
      <c r="AT83">
        <v>8.3666153999999864</v>
      </c>
    </row>
    <row r="84" spans="1:46" x14ac:dyDescent="0.25">
      <c r="A84">
        <v>82</v>
      </c>
      <c r="B84">
        <v>9.6095999999999897</v>
      </c>
      <c r="C84">
        <v>0.54507562637362639</v>
      </c>
      <c r="D84">
        <v>0.3173348697977153</v>
      </c>
      <c r="E84">
        <v>-4.0247421075376424E-3</v>
      </c>
      <c r="F84">
        <v>0.67341351761206836</v>
      </c>
      <c r="G84">
        <v>1.8570282</v>
      </c>
      <c r="H84">
        <v>-8.0133293999999999</v>
      </c>
      <c r="I84">
        <v>2.7308897999999999</v>
      </c>
      <c r="J84">
        <v>12.659088000000001</v>
      </c>
      <c r="K84">
        <v>-1.5687918000000001</v>
      </c>
      <c r="L84">
        <v>-3.979760999999999</v>
      </c>
      <c r="M84">
        <v>-8.3866454000000008</v>
      </c>
      <c r="N84">
        <v>-9.1102678000000008</v>
      </c>
      <c r="O84">
        <v>-20.529347999999999</v>
      </c>
      <c r="P84">
        <v>30.752852000000001</v>
      </c>
      <c r="Q84">
        <v>-2.1639317999999998</v>
      </c>
      <c r="R84">
        <v>4.9568217999999993</v>
      </c>
      <c r="S84">
        <v>-10.852859</v>
      </c>
      <c r="T84">
        <v>-2.2701049999999992</v>
      </c>
      <c r="U84">
        <v>-137.53712999999999</v>
      </c>
      <c r="V84">
        <v>70.320374999999999</v>
      </c>
      <c r="W84">
        <v>282.95092499999998</v>
      </c>
      <c r="X84">
        <v>206.71625</v>
      </c>
      <c r="Y84">
        <v>-116.73029750000001</v>
      </c>
      <c r="Z84">
        <v>257.81227499999989</v>
      </c>
      <c r="AA84">
        <v>-408.43347499999987</v>
      </c>
      <c r="AB84">
        <v>-34.440299999999951</v>
      </c>
      <c r="AC84">
        <v>81.218500000000034</v>
      </c>
      <c r="AD84">
        <v>-543.67350000000022</v>
      </c>
      <c r="AE84">
        <v>163.70242500000001</v>
      </c>
      <c r="AF84">
        <v>-469.35064999999997</v>
      </c>
      <c r="AG84">
        <v>-1662.2445749999999</v>
      </c>
      <c r="AH84">
        <v>328.61740500000002</v>
      </c>
      <c r="AI84">
        <v>-3.2486951999999998</v>
      </c>
      <c r="AJ84">
        <v>-1.9719378000000001</v>
      </c>
      <c r="AK84">
        <v>0.36184482000000001</v>
      </c>
      <c r="AL84">
        <v>-18.071082000000001</v>
      </c>
      <c r="AM84">
        <v>1.09978</v>
      </c>
      <c r="AN84">
        <v>-0.57674406000000011</v>
      </c>
      <c r="AO84">
        <v>6.2415633999999977E-2</v>
      </c>
      <c r="AP84">
        <v>7.6866781999999976</v>
      </c>
      <c r="AQ84">
        <v>0.33498722199999992</v>
      </c>
      <c r="AR84">
        <v>9.2039957999999991E-2</v>
      </c>
      <c r="AS84">
        <v>0.11876959799999991</v>
      </c>
      <c r="AT84">
        <v>6.4103984199999973</v>
      </c>
    </row>
    <row r="85" spans="1:46" x14ac:dyDescent="0.25">
      <c r="A85">
        <v>83</v>
      </c>
      <c r="B85">
        <v>9.6136499999999945</v>
      </c>
      <c r="C85">
        <v>0.54536876923076916</v>
      </c>
      <c r="D85">
        <v>0.26453647773214328</v>
      </c>
      <c r="E85">
        <v>-5.4343109598086661E-3</v>
      </c>
      <c r="F85">
        <v>0.58415260367370547</v>
      </c>
      <c r="G85">
        <v>1.711398299999999</v>
      </c>
      <c r="H85">
        <v>-7.9360310999999992</v>
      </c>
      <c r="I85">
        <v>3.038708700000003</v>
      </c>
      <c r="J85">
        <v>12.891071999999999</v>
      </c>
      <c r="K85">
        <v>-1.6883667000000011</v>
      </c>
      <c r="L85">
        <v>-3.695491499999997</v>
      </c>
      <c r="M85">
        <v>-8.8038251000000027</v>
      </c>
      <c r="N85">
        <v>-9.1293757000000006</v>
      </c>
      <c r="O85">
        <v>-20.437062000000001</v>
      </c>
      <c r="P85">
        <v>30.179587999999999</v>
      </c>
      <c r="Q85">
        <v>-1.997441699999998</v>
      </c>
      <c r="R85">
        <v>4.4567466999999956</v>
      </c>
      <c r="S85">
        <v>-12.641433500000019</v>
      </c>
      <c r="T85">
        <v>-1.916067499999996</v>
      </c>
      <c r="U85">
        <v>-134.96659500000001</v>
      </c>
      <c r="V85">
        <v>71.331187499999984</v>
      </c>
      <c r="W85">
        <v>283.80851250000001</v>
      </c>
      <c r="X85">
        <v>211.59312499999999</v>
      </c>
      <c r="Y85">
        <v>-111.4338087499999</v>
      </c>
      <c r="Z85">
        <v>260.8710375</v>
      </c>
      <c r="AA85">
        <v>-391.21321249999983</v>
      </c>
      <c r="AB85">
        <v>-22.278824999999831</v>
      </c>
      <c r="AC85">
        <v>83.182750000000027</v>
      </c>
      <c r="AD85">
        <v>-529.30275000000006</v>
      </c>
      <c r="AE85">
        <v>155.2551374999999</v>
      </c>
      <c r="AF85">
        <v>-461.00359999999989</v>
      </c>
      <c r="AG85">
        <v>-1642.1866124999999</v>
      </c>
      <c r="AH85">
        <v>326.86463250000003</v>
      </c>
      <c r="AI85">
        <v>-3.2675087999999999</v>
      </c>
      <c r="AJ85">
        <v>-1.9860507000000001</v>
      </c>
      <c r="AK85">
        <v>0.35964782999999989</v>
      </c>
      <c r="AL85">
        <v>-17.692083</v>
      </c>
      <c r="AM85">
        <v>0.96396999999999877</v>
      </c>
      <c r="AN85">
        <v>-0.62933439000000047</v>
      </c>
      <c r="AO85">
        <v>3.9974070999999799E-2</v>
      </c>
      <c r="AP85">
        <v>6.59780329999999</v>
      </c>
      <c r="AQ85">
        <v>0.24431779299999909</v>
      </c>
      <c r="AR85">
        <v>7.7681276999999868E-2</v>
      </c>
      <c r="AS85">
        <v>8.4972536999999682E-2</v>
      </c>
      <c r="AT85">
        <v>4.6696282299999838</v>
      </c>
    </row>
    <row r="86" spans="1:46" x14ac:dyDescent="0.25">
      <c r="A86">
        <v>84</v>
      </c>
      <c r="B86">
        <v>9.6176999999999975</v>
      </c>
      <c r="C86">
        <v>0.54566191208791204</v>
      </c>
      <c r="D86">
        <v>0.21117628107467851</v>
      </c>
      <c r="E86">
        <v>-7.2241822765562889E-4</v>
      </c>
      <c r="F86">
        <v>0.49890063495007242</v>
      </c>
      <c r="G86">
        <v>1.5657684000000001</v>
      </c>
      <c r="H86">
        <v>-7.8587327999999994</v>
      </c>
      <c r="I86">
        <v>3.3465276000000008</v>
      </c>
      <c r="J86">
        <v>13.123056</v>
      </c>
      <c r="K86">
        <v>-1.8079415999999999</v>
      </c>
      <c r="L86">
        <v>-3.4112219999999991</v>
      </c>
      <c r="M86">
        <v>-9.2210048000000011</v>
      </c>
      <c r="N86">
        <v>-9.1484836000000005</v>
      </c>
      <c r="O86">
        <v>-20.344776</v>
      </c>
      <c r="P86">
        <v>29.606324000000001</v>
      </c>
      <c r="Q86">
        <v>-1.830951599999999</v>
      </c>
      <c r="R86">
        <v>3.9566715999999982</v>
      </c>
      <c r="S86">
        <v>-14.43000800000001</v>
      </c>
      <c r="T86">
        <v>-1.5620299999999989</v>
      </c>
      <c r="U86">
        <v>-132.39606000000001</v>
      </c>
      <c r="V86">
        <v>72.341999999999956</v>
      </c>
      <c r="W86">
        <v>284.66609999999997</v>
      </c>
      <c r="X86">
        <v>216.47000000000011</v>
      </c>
      <c r="Y86">
        <v>-106.13732</v>
      </c>
      <c r="Z86">
        <v>263.9298</v>
      </c>
      <c r="AA86">
        <v>-373.99295000000001</v>
      </c>
      <c r="AB86">
        <v>-10.117349999999879</v>
      </c>
      <c r="AC86">
        <v>85.146999999999991</v>
      </c>
      <c r="AD86">
        <v>-514.93200000000002</v>
      </c>
      <c r="AE86">
        <v>146.80785</v>
      </c>
      <c r="AF86">
        <v>-452.65654999999998</v>
      </c>
      <c r="AG86">
        <v>-1622.1286500000001</v>
      </c>
      <c r="AH86">
        <v>325.11185999999998</v>
      </c>
      <c r="AI86">
        <v>-3.2863224</v>
      </c>
      <c r="AJ86">
        <v>-2.0001636</v>
      </c>
      <c r="AK86">
        <v>0.35745083999999988</v>
      </c>
      <c r="AL86">
        <v>-17.313084</v>
      </c>
      <c r="AM86">
        <v>0.82815999999999956</v>
      </c>
      <c r="AN86">
        <v>-0.68192472000000015</v>
      </c>
      <c r="AO86">
        <v>1.753250799999994E-2</v>
      </c>
      <c r="AP86">
        <v>5.5089283999999967</v>
      </c>
      <c r="AQ86">
        <v>0.1536483639999997</v>
      </c>
      <c r="AR86">
        <v>6.3322595999999953E-2</v>
      </c>
      <c r="AS86">
        <v>5.1175475999999907E-2</v>
      </c>
      <c r="AT86">
        <v>2.9288580399999948</v>
      </c>
    </row>
    <row r="87" spans="1:46" x14ac:dyDescent="0.25">
      <c r="A87">
        <v>85</v>
      </c>
      <c r="B87">
        <v>9.6217500000000022</v>
      </c>
      <c r="C87">
        <v>0.54595505494505492</v>
      </c>
      <c r="D87">
        <v>0.15448124525179341</v>
      </c>
      <c r="E87">
        <v>5.4125908848152689E-3</v>
      </c>
      <c r="F87">
        <v>0.42225072437135258</v>
      </c>
      <c r="G87">
        <v>1.420138499999998</v>
      </c>
      <c r="H87">
        <v>-7.7814344999999996</v>
      </c>
      <c r="I87">
        <v>3.6543465000000031</v>
      </c>
      <c r="J87">
        <v>13.355040000000001</v>
      </c>
      <c r="K87">
        <v>-1.927516500000001</v>
      </c>
      <c r="L87">
        <v>-3.1269524999999971</v>
      </c>
      <c r="M87">
        <v>-9.638184500000003</v>
      </c>
      <c r="N87">
        <v>-9.1675915000000003</v>
      </c>
      <c r="O87">
        <v>-20.252490000000002</v>
      </c>
      <c r="P87">
        <v>29.033059999999988</v>
      </c>
      <c r="Q87">
        <v>-1.664461499999998</v>
      </c>
      <c r="R87">
        <v>3.456596499999995</v>
      </c>
      <c r="S87">
        <v>-16.218582500000021</v>
      </c>
      <c r="T87">
        <v>-1.207992499999996</v>
      </c>
      <c r="U87">
        <v>-129.825525</v>
      </c>
      <c r="V87">
        <v>73.352812499999956</v>
      </c>
      <c r="W87">
        <v>285.52368750000011</v>
      </c>
      <c r="X87">
        <v>221.3468750000001</v>
      </c>
      <c r="Y87">
        <v>-100.84083124999989</v>
      </c>
      <c r="Z87">
        <v>266.98856250000011</v>
      </c>
      <c r="AA87">
        <v>-356.77268749999979</v>
      </c>
      <c r="AB87">
        <v>2.044125000000236</v>
      </c>
      <c r="AC87">
        <v>87.111249999999984</v>
      </c>
      <c r="AD87">
        <v>-500.56124999999992</v>
      </c>
      <c r="AE87">
        <v>138.3605624999999</v>
      </c>
      <c r="AF87">
        <v>-444.3094999999999</v>
      </c>
      <c r="AG87">
        <v>-1602.0706875000001</v>
      </c>
      <c r="AH87">
        <v>323.35908749999999</v>
      </c>
      <c r="AI87">
        <v>-3.3051360000000001</v>
      </c>
      <c r="AJ87">
        <v>-2.0142764999999998</v>
      </c>
      <c r="AK87">
        <v>0.35525384999999993</v>
      </c>
      <c r="AL87">
        <v>-16.934085</v>
      </c>
      <c r="AM87">
        <v>0.69234999999999847</v>
      </c>
      <c r="AN87">
        <v>-0.7345150500000005</v>
      </c>
      <c r="AO87">
        <v>-4.9090550000002314E-3</v>
      </c>
      <c r="AP87">
        <v>4.4200534999999883</v>
      </c>
      <c r="AQ87">
        <v>6.2978934999999014E-2</v>
      </c>
      <c r="AR87">
        <v>4.8963914999999851E-2</v>
      </c>
      <c r="AS87">
        <v>1.7378414999999661E-2</v>
      </c>
      <c r="AT87">
        <v>1.188087849999981</v>
      </c>
    </row>
    <row r="88" spans="1:46" x14ac:dyDescent="0.25">
      <c r="A88">
        <v>86</v>
      </c>
      <c r="B88">
        <v>9.6249750000000063</v>
      </c>
      <c r="C88">
        <v>0.54625351648351639</v>
      </c>
      <c r="D88">
        <v>0.1084595917080303</v>
      </c>
      <c r="E88">
        <v>6.541363890767561E-3</v>
      </c>
      <c r="F88">
        <v>0.36830611345296632</v>
      </c>
      <c r="G88">
        <v>1.2841762799999989</v>
      </c>
      <c r="H88">
        <v>-7.7006733999999986</v>
      </c>
      <c r="I88">
        <v>3.9633358000000012</v>
      </c>
      <c r="J88">
        <v>13.600135999999999</v>
      </c>
      <c r="K88">
        <v>-2.0279821999999998</v>
      </c>
      <c r="L88">
        <v>-2.835040199999999</v>
      </c>
      <c r="M88">
        <v>-9.9978232000000009</v>
      </c>
      <c r="N88">
        <v>-9.1479991999999992</v>
      </c>
      <c r="O88">
        <v>-20.156639999999999</v>
      </c>
      <c r="P88">
        <v>28.517700000000001</v>
      </c>
      <c r="Q88">
        <v>-1.528527199999999</v>
      </c>
      <c r="R88">
        <v>2.992194399999998</v>
      </c>
      <c r="S88">
        <v>-17.905550000000009</v>
      </c>
      <c r="T88">
        <v>-0.86236427999999854</v>
      </c>
      <c r="U88">
        <v>-126.6188325</v>
      </c>
      <c r="V88">
        <v>74.442549999999969</v>
      </c>
      <c r="W88">
        <v>285.56837500000012</v>
      </c>
      <c r="X88">
        <v>224.65900000000011</v>
      </c>
      <c r="Y88">
        <v>-94.725474999999975</v>
      </c>
      <c r="Z88">
        <v>268.84653750000001</v>
      </c>
      <c r="AA88">
        <v>-339.154225</v>
      </c>
      <c r="AB88">
        <v>13.508200000000111</v>
      </c>
      <c r="AC88">
        <v>87.692249999999945</v>
      </c>
      <c r="AD88">
        <v>-480.80324999999988</v>
      </c>
      <c r="AE88">
        <v>128.99513250000001</v>
      </c>
      <c r="AF88">
        <v>-431.90735499999988</v>
      </c>
      <c r="AG88">
        <v>-1565.9571249999999</v>
      </c>
      <c r="AH88">
        <v>320.57143500000001</v>
      </c>
      <c r="AI88">
        <v>-3.4159800000000011</v>
      </c>
      <c r="AJ88">
        <v>-2.0547124000000001</v>
      </c>
      <c r="AK88">
        <v>0.36216288000000002</v>
      </c>
      <c r="AL88">
        <v>-16.934277999999999</v>
      </c>
      <c r="AM88">
        <v>0.65182067999999993</v>
      </c>
      <c r="AN88">
        <v>-0.79281284000000019</v>
      </c>
      <c r="AO88">
        <v>-1.9061898000000049E-2</v>
      </c>
      <c r="AP88">
        <v>3.984373999999999</v>
      </c>
      <c r="AQ88">
        <v>-3.9950860000002586E-3</v>
      </c>
      <c r="AR88">
        <v>3.7480061999999953E-2</v>
      </c>
      <c r="AS88">
        <v>-1.2199970000000121E-2</v>
      </c>
      <c r="AT88">
        <v>-3.6579060000004993E-2</v>
      </c>
    </row>
    <row r="89" spans="1:46" x14ac:dyDescent="0.25">
      <c r="A89">
        <v>87</v>
      </c>
      <c r="B89">
        <v>9.6280125000000112</v>
      </c>
      <c r="C89">
        <v>0.54655318681318676</v>
      </c>
      <c r="D89">
        <v>8.3915998332281014E-2</v>
      </c>
      <c r="E89">
        <v>3.9684712966881822E-3</v>
      </c>
      <c r="F89">
        <v>0.34444935947444483</v>
      </c>
      <c r="G89">
        <v>1.15041126</v>
      </c>
      <c r="H89">
        <v>-7.6191253000000003</v>
      </c>
      <c r="I89">
        <v>4.2725910999999996</v>
      </c>
      <c r="J89">
        <v>13.848212</v>
      </c>
      <c r="K89">
        <v>-2.1241048999999999</v>
      </c>
      <c r="L89">
        <v>-2.541390900000001</v>
      </c>
      <c r="M89">
        <v>-10.344384399999999</v>
      </c>
      <c r="N89">
        <v>-9.1196114000000001</v>
      </c>
      <c r="O89">
        <v>-20.059979999999999</v>
      </c>
      <c r="P89">
        <v>28.015499999999999</v>
      </c>
      <c r="Q89">
        <v>-1.3995374</v>
      </c>
      <c r="R89">
        <v>2.535899800000001</v>
      </c>
      <c r="S89">
        <v>-19.569424999999999</v>
      </c>
      <c r="T89">
        <v>-0.51864726000000072</v>
      </c>
      <c r="U89">
        <v>-123.26755875000001</v>
      </c>
      <c r="V89">
        <v>75.550224999999998</v>
      </c>
      <c r="W89">
        <v>285.4283125</v>
      </c>
      <c r="X89">
        <v>227.61550000000011</v>
      </c>
      <c r="Y89">
        <v>-88.424012500000018</v>
      </c>
      <c r="Z89">
        <v>270.43160625000002</v>
      </c>
      <c r="AA89">
        <v>-321.44526250000013</v>
      </c>
      <c r="AB89">
        <v>24.813774999999971</v>
      </c>
      <c r="AC89">
        <v>87.958874999999935</v>
      </c>
      <c r="AD89">
        <v>-459.820875</v>
      </c>
      <c r="AE89">
        <v>119.42103375000001</v>
      </c>
      <c r="AF89">
        <v>-418.58359750000011</v>
      </c>
      <c r="AG89">
        <v>-1526.1945625000001</v>
      </c>
      <c r="AH89">
        <v>317.54858250000001</v>
      </c>
      <c r="AI89">
        <v>-3.5477400000000001</v>
      </c>
      <c r="AJ89">
        <v>-2.1011308</v>
      </c>
      <c r="AK89">
        <v>0.37114145999999992</v>
      </c>
      <c r="AL89">
        <v>-17.020651000000001</v>
      </c>
      <c r="AM89">
        <v>0.63294606000000009</v>
      </c>
      <c r="AN89">
        <v>-0.85240777999999984</v>
      </c>
      <c r="AO89">
        <v>-3.1330940999999973E-2</v>
      </c>
      <c r="AP89">
        <v>3.6971480000000012</v>
      </c>
      <c r="AQ89">
        <v>-6.5583786999999866E-2</v>
      </c>
      <c r="AR89">
        <v>2.6649579000000031E-2</v>
      </c>
      <c r="AS89">
        <v>-4.0819564999999933E-2</v>
      </c>
      <c r="AT89">
        <v>-1.1439497699999981</v>
      </c>
    </row>
    <row r="90" spans="1:46" x14ac:dyDescent="0.25">
      <c r="A90">
        <v>88</v>
      </c>
      <c r="B90">
        <v>9.6310500000000161</v>
      </c>
      <c r="C90">
        <v>0.54685285714285714</v>
      </c>
      <c r="D90">
        <v>6.6978390434285995E-2</v>
      </c>
      <c r="E90">
        <v>4.0089051873469341E-3</v>
      </c>
      <c r="F90">
        <v>0.32676416047713502</v>
      </c>
      <c r="G90">
        <v>1.0166462399999989</v>
      </c>
      <c r="H90">
        <v>-7.5375771999999994</v>
      </c>
      <c r="I90">
        <v>4.5818464000000017</v>
      </c>
      <c r="J90">
        <v>14.096287999999999</v>
      </c>
      <c r="K90">
        <v>-2.2202276000000012</v>
      </c>
      <c r="L90">
        <v>-2.247741599999999</v>
      </c>
      <c r="M90">
        <v>-10.690945599999999</v>
      </c>
      <c r="N90">
        <v>-9.0912235999999993</v>
      </c>
      <c r="O90">
        <v>-19.96332</v>
      </c>
      <c r="P90">
        <v>27.513300000000001</v>
      </c>
      <c r="Q90">
        <v>-1.2705475999999991</v>
      </c>
      <c r="R90">
        <v>2.0796051999999969</v>
      </c>
      <c r="S90">
        <v>-21.23330000000001</v>
      </c>
      <c r="T90">
        <v>-0.17493023999999799</v>
      </c>
      <c r="U90">
        <v>-119.916285</v>
      </c>
      <c r="V90">
        <v>76.657900000000026</v>
      </c>
      <c r="W90">
        <v>285.28825000000001</v>
      </c>
      <c r="X90">
        <v>230.57200000000009</v>
      </c>
      <c r="Y90">
        <v>-82.122549999999961</v>
      </c>
      <c r="Z90">
        <v>272.01667500000002</v>
      </c>
      <c r="AA90">
        <v>-303.73629999999991</v>
      </c>
      <c r="AB90">
        <v>36.11934999999999</v>
      </c>
      <c r="AC90">
        <v>88.225499999999911</v>
      </c>
      <c r="AD90">
        <v>-438.83849999999978</v>
      </c>
      <c r="AE90">
        <v>109.8469349999999</v>
      </c>
      <c r="AF90">
        <v>-405.25983999999988</v>
      </c>
      <c r="AG90">
        <v>-1486.432</v>
      </c>
      <c r="AH90">
        <v>314.52573000000001</v>
      </c>
      <c r="AI90">
        <v>-3.6795000000000009</v>
      </c>
      <c r="AJ90">
        <v>-2.1475491999999998</v>
      </c>
      <c r="AK90">
        <v>0.38012003999999999</v>
      </c>
      <c r="AL90">
        <v>-17.107023999999999</v>
      </c>
      <c r="AM90">
        <v>0.61407143999999991</v>
      </c>
      <c r="AN90">
        <v>-0.91200272000000027</v>
      </c>
      <c r="AO90">
        <v>-4.3599984000000071E-2</v>
      </c>
      <c r="AP90">
        <v>3.4099219999999981</v>
      </c>
      <c r="AQ90">
        <v>-0.12717248800000039</v>
      </c>
      <c r="AR90">
        <v>1.5819095999999939E-2</v>
      </c>
      <c r="AS90">
        <v>-6.9439160000000166E-2</v>
      </c>
      <c r="AT90">
        <v>-2.2513204800000071</v>
      </c>
    </row>
    <row r="91" spans="1:46" x14ac:dyDescent="0.25">
      <c r="A91">
        <v>89</v>
      </c>
      <c r="B91">
        <v>9.6339000000000201</v>
      </c>
      <c r="C91">
        <v>0.54715262637362638</v>
      </c>
      <c r="D91">
        <v>4.7578138546098048E-2</v>
      </c>
      <c r="E91">
        <v>7.7683938194443043E-3</v>
      </c>
      <c r="F91">
        <v>0.30510340142103087</v>
      </c>
      <c r="G91">
        <v>0.88454180999999998</v>
      </c>
      <c r="H91">
        <v>-7.4555167000000004</v>
      </c>
      <c r="I91">
        <v>4.8908176000000001</v>
      </c>
      <c r="J91">
        <v>14.345204000000001</v>
      </c>
      <c r="K91">
        <v>-2.3133547999999999</v>
      </c>
      <c r="L91">
        <v>-1.9537255499999999</v>
      </c>
      <c r="M91">
        <v>-11.029612</v>
      </c>
      <c r="N91">
        <v>-9.0580636999999999</v>
      </c>
      <c r="O91">
        <v>-19.866909</v>
      </c>
      <c r="P91">
        <v>27.021854999999999</v>
      </c>
      <c r="Q91">
        <v>-1.14590141</v>
      </c>
      <c r="R91">
        <v>1.6302894400000001</v>
      </c>
      <c r="S91">
        <v>-22.875686000000002</v>
      </c>
      <c r="T91">
        <v>0.1672465199999999</v>
      </c>
      <c r="U91">
        <v>-116.481942</v>
      </c>
      <c r="V91">
        <v>77.774762500000051</v>
      </c>
      <c r="W91">
        <v>285.03895</v>
      </c>
      <c r="X91">
        <v>233.27725000000009</v>
      </c>
      <c r="Y91">
        <v>-75.741887500000004</v>
      </c>
      <c r="Z91">
        <v>273.43139624999998</v>
      </c>
      <c r="AA91">
        <v>-286.057525</v>
      </c>
      <c r="AB91">
        <v>47.276349999999873</v>
      </c>
      <c r="AC91">
        <v>88.324499999999901</v>
      </c>
      <c r="AD91">
        <v>-417.18450000000001</v>
      </c>
      <c r="AE91">
        <v>100.30071</v>
      </c>
      <c r="AF91">
        <v>-391.45366374999998</v>
      </c>
      <c r="AG91">
        <v>-1445.13175</v>
      </c>
      <c r="AH91">
        <v>311.43804</v>
      </c>
      <c r="AI91">
        <v>-3.7925754</v>
      </c>
      <c r="AJ91">
        <v>-2.1851973999999998</v>
      </c>
      <c r="AK91">
        <v>0.38746266000000001</v>
      </c>
      <c r="AL91">
        <v>-17.100519999999999</v>
      </c>
      <c r="AM91">
        <v>0.58887027000000003</v>
      </c>
      <c r="AN91">
        <v>-0.96602047999999996</v>
      </c>
      <c r="AO91">
        <v>-5.4902465999999997E-2</v>
      </c>
      <c r="AP91">
        <v>3.0973841000000002</v>
      </c>
      <c r="AQ91">
        <v>-0.18486598000000001</v>
      </c>
      <c r="AR91">
        <v>5.9194767000000006E-3</v>
      </c>
      <c r="AS91">
        <v>-9.6528145999999995E-2</v>
      </c>
      <c r="AT91">
        <v>-3.2755515000000002</v>
      </c>
    </row>
    <row r="92" spans="1:46" x14ac:dyDescent="0.25">
      <c r="A92">
        <v>90</v>
      </c>
      <c r="B92">
        <v>9.6352500000000187</v>
      </c>
      <c r="C92">
        <v>0.54745318681318678</v>
      </c>
      <c r="D92">
        <v>4.4372193347609008E-2</v>
      </c>
      <c r="E92">
        <v>1.4464854093639739E-2</v>
      </c>
      <c r="F92">
        <v>0.2409800596329538</v>
      </c>
      <c r="G92">
        <v>0.76572210000000029</v>
      </c>
      <c r="H92">
        <v>-7.3693569999999999</v>
      </c>
      <c r="I92">
        <v>5.1975159999999994</v>
      </c>
      <c r="J92">
        <v>14.60084</v>
      </c>
      <c r="K92">
        <v>-2.3825180000000001</v>
      </c>
      <c r="L92">
        <v>-1.6567755000000011</v>
      </c>
      <c r="M92">
        <v>-11.305120000000001</v>
      </c>
      <c r="N92">
        <v>-8.9867270000000001</v>
      </c>
      <c r="O92">
        <v>-19.772490000000001</v>
      </c>
      <c r="P92">
        <v>26.61645</v>
      </c>
      <c r="Q92">
        <v>-1.0560041</v>
      </c>
      <c r="R92">
        <v>1.2368044000000009</v>
      </c>
      <c r="S92">
        <v>-24.34615999999999</v>
      </c>
      <c r="T92">
        <v>0.49710119999999902</v>
      </c>
      <c r="U92">
        <v>-112.383045</v>
      </c>
      <c r="V92">
        <v>78.965125000000043</v>
      </c>
      <c r="W92">
        <v>283.91575</v>
      </c>
      <c r="X92">
        <v>233.9725</v>
      </c>
      <c r="Y92">
        <v>-68.727625000000018</v>
      </c>
      <c r="Z92">
        <v>273.4833375</v>
      </c>
      <c r="AA92">
        <v>-268.62025000000011</v>
      </c>
      <c r="AB92">
        <v>57.244749999999861</v>
      </c>
      <c r="AC92">
        <v>87.082500000000053</v>
      </c>
      <c r="AD92">
        <v>-390.15750000000008</v>
      </c>
      <c r="AE92">
        <v>90.977475000000013</v>
      </c>
      <c r="AF92">
        <v>-373.78813750000012</v>
      </c>
      <c r="AG92">
        <v>-1391.53</v>
      </c>
      <c r="AH92">
        <v>307.83165000000002</v>
      </c>
      <c r="AI92">
        <v>-3.7561740000000001</v>
      </c>
      <c r="AJ92">
        <v>-2.1526839999999998</v>
      </c>
      <c r="AK92">
        <v>0.38171759999999999</v>
      </c>
      <c r="AL92">
        <v>-16.350999999999999</v>
      </c>
      <c r="AM92">
        <v>0.51305670000000025</v>
      </c>
      <c r="AN92">
        <v>-0.97542079999999998</v>
      </c>
      <c r="AO92">
        <v>-5.847245999999999E-2</v>
      </c>
      <c r="AP92">
        <v>2.582351000000001</v>
      </c>
      <c r="AQ92">
        <v>-0.21139779999999991</v>
      </c>
      <c r="AR92">
        <v>3.4667670000000069E-3</v>
      </c>
      <c r="AS92">
        <v>-0.11137226</v>
      </c>
      <c r="AT92">
        <v>-3.6346649999999991</v>
      </c>
    </row>
    <row r="93" spans="1:46" x14ac:dyDescent="0.25">
      <c r="A93">
        <v>91</v>
      </c>
      <c r="B93">
        <v>9.6366000000000174</v>
      </c>
      <c r="C93">
        <v>0.54775374725274728</v>
      </c>
      <c r="D93">
        <v>4.4397826824199717E-2</v>
      </c>
      <c r="E93">
        <v>1.347156985564114E-2</v>
      </c>
      <c r="F93">
        <v>0.1940183267967216</v>
      </c>
      <c r="G93">
        <v>0.64690238999999894</v>
      </c>
      <c r="H93">
        <v>-7.2831972999999994</v>
      </c>
      <c r="I93">
        <v>5.5042144000000031</v>
      </c>
      <c r="J93">
        <v>14.856476000000001</v>
      </c>
      <c r="K93">
        <v>-2.4516812000000008</v>
      </c>
      <c r="L93">
        <v>-1.359825449999998</v>
      </c>
      <c r="M93">
        <v>-11.580628000000001</v>
      </c>
      <c r="N93">
        <v>-8.9153903000000003</v>
      </c>
      <c r="O93">
        <v>-19.678070999999999</v>
      </c>
      <c r="P93">
        <v>26.211044999999999</v>
      </c>
      <c r="Q93">
        <v>-0.96610678999999922</v>
      </c>
      <c r="R93">
        <v>0.84331935999999652</v>
      </c>
      <c r="S93">
        <v>-25.816634000000011</v>
      </c>
      <c r="T93">
        <v>0.82695588000000297</v>
      </c>
      <c r="U93">
        <v>-108.284148</v>
      </c>
      <c r="V93">
        <v>80.155487500000049</v>
      </c>
      <c r="W93">
        <v>282.79254999999989</v>
      </c>
      <c r="X93">
        <v>234.66775000000001</v>
      </c>
      <c r="Y93">
        <v>-61.713362499999931</v>
      </c>
      <c r="Z93">
        <v>273.53527874999997</v>
      </c>
      <c r="AA93">
        <v>-251.18297499999991</v>
      </c>
      <c r="AB93">
        <v>67.213149999999999</v>
      </c>
      <c r="AC93">
        <v>85.840500000000162</v>
      </c>
      <c r="AD93">
        <v>-363.13049999999981</v>
      </c>
      <c r="AE93">
        <v>81.654239999999916</v>
      </c>
      <c r="AF93">
        <v>-356.12261124999992</v>
      </c>
      <c r="AG93">
        <v>-1337.928249999999</v>
      </c>
      <c r="AH93">
        <v>304.22525999999988</v>
      </c>
      <c r="AI93">
        <v>-3.7197726000000002</v>
      </c>
      <c r="AJ93">
        <v>-2.1201705999999998</v>
      </c>
      <c r="AK93">
        <v>0.37597253999999991</v>
      </c>
      <c r="AL93">
        <v>-15.60147999999999</v>
      </c>
      <c r="AM93">
        <v>0.43724312999999931</v>
      </c>
      <c r="AN93">
        <v>-0.98482112000000011</v>
      </c>
      <c r="AO93">
        <v>-6.2042454000000032E-2</v>
      </c>
      <c r="AP93">
        <v>2.067317899999995</v>
      </c>
      <c r="AQ93">
        <v>-0.23792962000000031</v>
      </c>
      <c r="AR93">
        <v>1.0140572999999781E-3</v>
      </c>
      <c r="AS93">
        <v>-0.1262163740000001</v>
      </c>
      <c r="AT93">
        <v>-3.993778500000003</v>
      </c>
    </row>
    <row r="94" spans="1:46" x14ac:dyDescent="0.25">
      <c r="A94">
        <v>92</v>
      </c>
      <c r="B94">
        <v>9.637950000000016</v>
      </c>
      <c r="C94">
        <v>0.54805430769230767</v>
      </c>
      <c r="D94">
        <v>2.9283972550555589E-2</v>
      </c>
      <c r="E94">
        <v>7.4311679229137444E-3</v>
      </c>
      <c r="F94">
        <v>0.15235916030773511</v>
      </c>
      <c r="G94">
        <v>0.52808267999999925</v>
      </c>
      <c r="H94">
        <v>-7.1970375999999989</v>
      </c>
      <c r="I94">
        <v>5.8109128000000023</v>
      </c>
      <c r="J94">
        <v>15.112112</v>
      </c>
      <c r="K94">
        <v>-2.520844400000001</v>
      </c>
      <c r="L94">
        <v>-1.062875399999998</v>
      </c>
      <c r="M94">
        <v>-11.856135999999999</v>
      </c>
      <c r="N94">
        <v>-8.8440536000000005</v>
      </c>
      <c r="O94">
        <v>-19.583652000000001</v>
      </c>
      <c r="P94">
        <v>25.80564</v>
      </c>
      <c r="Q94">
        <v>-0.87620947999999943</v>
      </c>
      <c r="R94">
        <v>0.44983431999999751</v>
      </c>
      <c r="S94">
        <v>-27.287108000000011</v>
      </c>
      <c r="T94">
        <v>1.156810560000002</v>
      </c>
      <c r="U94">
        <v>-104.18525099999999</v>
      </c>
      <c r="V94">
        <v>81.345850000000041</v>
      </c>
      <c r="W94">
        <v>281.66935000000001</v>
      </c>
      <c r="X94">
        <v>235.36299999999989</v>
      </c>
      <c r="Y94">
        <v>-54.699099999999937</v>
      </c>
      <c r="Z94">
        <v>273.58722</v>
      </c>
      <c r="AA94">
        <v>-233.74569999999991</v>
      </c>
      <c r="AB94">
        <v>77.181549999999987</v>
      </c>
      <c r="AC94">
        <v>84.598500000000314</v>
      </c>
      <c r="AD94">
        <v>-336.10349999999988</v>
      </c>
      <c r="AE94">
        <v>72.331004999999948</v>
      </c>
      <c r="AF94">
        <v>-338.45708499999989</v>
      </c>
      <c r="AG94">
        <v>-1284.326499999999</v>
      </c>
      <c r="AH94">
        <v>300.61887000000002</v>
      </c>
      <c r="AI94">
        <v>-3.6833711999999998</v>
      </c>
      <c r="AJ94">
        <v>-2.0876572000000002</v>
      </c>
      <c r="AK94">
        <v>0.37022747999999989</v>
      </c>
      <c r="AL94">
        <v>-14.851959999999989</v>
      </c>
      <c r="AM94">
        <v>0.36142955999999948</v>
      </c>
      <c r="AN94">
        <v>-0.99422144000000001</v>
      </c>
      <c r="AO94">
        <v>-6.5612448000000018E-2</v>
      </c>
      <c r="AP94">
        <v>1.5522847999999969</v>
      </c>
      <c r="AQ94">
        <v>-0.26446144000000021</v>
      </c>
      <c r="AR94">
        <v>-1.438652400000015E-3</v>
      </c>
      <c r="AS94">
        <v>-0.14106048800000009</v>
      </c>
      <c r="AT94">
        <v>-4.3528920000000024</v>
      </c>
    </row>
    <row r="95" spans="1:46" x14ac:dyDescent="0.25">
      <c r="A95">
        <v>93</v>
      </c>
      <c r="B95">
        <v>9.6388875000000116</v>
      </c>
      <c r="C95">
        <v>0.54835317582417586</v>
      </c>
      <c r="D95">
        <v>1.045599614150281E-2</v>
      </c>
      <c r="E95">
        <v>9.2978688963843512E-4</v>
      </c>
      <c r="F95">
        <v>0.12649480259449719</v>
      </c>
      <c r="G95">
        <v>0.41653350799999977</v>
      </c>
      <c r="H95">
        <v>-7.1088769999999997</v>
      </c>
      <c r="I95">
        <v>6.1149921000000003</v>
      </c>
      <c r="J95">
        <v>15.366934000000001</v>
      </c>
      <c r="K95">
        <v>-2.5781298000000001</v>
      </c>
      <c r="L95">
        <v>-0.76710080999999941</v>
      </c>
      <c r="M95">
        <v>-12.103759</v>
      </c>
      <c r="N95">
        <v>-8.7577250000000006</v>
      </c>
      <c r="O95">
        <v>-19.492367999999999</v>
      </c>
      <c r="P95">
        <v>25.448888</v>
      </c>
      <c r="Q95">
        <v>-0.80077243999999992</v>
      </c>
      <c r="R95">
        <v>8.8336729999999308E-2</v>
      </c>
      <c r="S95">
        <v>-28.661673</v>
      </c>
      <c r="T95">
        <v>1.4805587000000009</v>
      </c>
      <c r="U95">
        <v>-99.808378499999975</v>
      </c>
      <c r="V95">
        <v>82.562612500000029</v>
      </c>
      <c r="W95">
        <v>280.16431249999988</v>
      </c>
      <c r="X95">
        <v>235.0613749999998</v>
      </c>
      <c r="Y95">
        <v>-47.537574999999983</v>
      </c>
      <c r="Z95">
        <v>273.02016374999999</v>
      </c>
      <c r="AA95">
        <v>-216.70525000000001</v>
      </c>
      <c r="AB95">
        <v>86.473037499999975</v>
      </c>
      <c r="AC95">
        <v>82.871125000000362</v>
      </c>
      <c r="AD95">
        <v>-307.01125000000002</v>
      </c>
      <c r="AE95">
        <v>63.552022499999993</v>
      </c>
      <c r="AF95">
        <v>-319.42758624999999</v>
      </c>
      <c r="AG95">
        <v>-1227.7506249999999</v>
      </c>
      <c r="AH95">
        <v>296.95159499999988</v>
      </c>
      <c r="AI95">
        <v>-3.6332285999999998</v>
      </c>
      <c r="AJ95">
        <v>-2.0301583999999999</v>
      </c>
      <c r="AK95">
        <v>0.35997032999999989</v>
      </c>
      <c r="AL95">
        <v>-14.070892000000001</v>
      </c>
      <c r="AM95">
        <v>0.28247712789999979</v>
      </c>
      <c r="AN95">
        <v>-0.98630258999999998</v>
      </c>
      <c r="AO95">
        <v>-6.7410782000000002E-2</v>
      </c>
      <c r="AP95">
        <v>1.111739486999999</v>
      </c>
      <c r="AQ95">
        <v>-0.28185853000000011</v>
      </c>
      <c r="AR95">
        <v>-3.057327800000001E-3</v>
      </c>
      <c r="AS95">
        <v>-0.15178189</v>
      </c>
      <c r="AT95">
        <v>-4.5295110999999997</v>
      </c>
    </row>
    <row r="96" spans="1:46" x14ac:dyDescent="0.25">
      <c r="A96">
        <v>94</v>
      </c>
      <c r="B96">
        <v>9.6392250000000033</v>
      </c>
      <c r="C96">
        <v>0.54864958241758244</v>
      </c>
      <c r="D96">
        <v>6.2432640337394766E-4</v>
      </c>
      <c r="E96">
        <v>-5.6699924674346027E-3</v>
      </c>
      <c r="F96">
        <v>9.9068892644569584E-2</v>
      </c>
      <c r="G96">
        <v>0.31555966399999902</v>
      </c>
      <c r="H96">
        <v>-7.0178059999999984</v>
      </c>
      <c r="I96">
        <v>6.4152618000000032</v>
      </c>
      <c r="J96">
        <v>15.620571999999999</v>
      </c>
      <c r="K96">
        <v>-2.6181383999999999</v>
      </c>
      <c r="L96">
        <v>-0.47303597999999708</v>
      </c>
      <c r="M96">
        <v>-12.310822</v>
      </c>
      <c r="N96">
        <v>-8.6495899999999999</v>
      </c>
      <c r="O96">
        <v>-19.405643999999999</v>
      </c>
      <c r="P96">
        <v>25.162904000000001</v>
      </c>
      <c r="Q96">
        <v>-0.74636851999999942</v>
      </c>
      <c r="R96">
        <v>-0.22663366000000321</v>
      </c>
      <c r="S96">
        <v>-29.896734000000009</v>
      </c>
      <c r="T96">
        <v>1.7954246000000029</v>
      </c>
      <c r="U96">
        <v>-95.02717799999995</v>
      </c>
      <c r="V96">
        <v>83.817775000000026</v>
      </c>
      <c r="W96">
        <v>278.1038749999999</v>
      </c>
      <c r="X96">
        <v>233.30974999999981</v>
      </c>
      <c r="Y96">
        <v>-40.161849999999923</v>
      </c>
      <c r="Z96">
        <v>271.55274750000001</v>
      </c>
      <c r="AA96">
        <v>-200.24199999999979</v>
      </c>
      <c r="AB96">
        <v>94.779925000000105</v>
      </c>
      <c r="AC96">
        <v>80.43775000000025</v>
      </c>
      <c r="AD96">
        <v>-274.91499999999968</v>
      </c>
      <c r="AE96">
        <v>55.564679999999917</v>
      </c>
      <c r="AF96">
        <v>-298.41412749999978</v>
      </c>
      <c r="AG96">
        <v>-1166.848749999999</v>
      </c>
      <c r="AH96">
        <v>293.19576000000001</v>
      </c>
      <c r="AI96">
        <v>-3.5630988000000001</v>
      </c>
      <c r="AJ96">
        <v>-1.9363171999999991</v>
      </c>
      <c r="AK96">
        <v>0.34315013999999983</v>
      </c>
      <c r="AL96">
        <v>-13.243935999999991</v>
      </c>
      <c r="AM96">
        <v>0.19895907819999911</v>
      </c>
      <c r="AN96">
        <v>-0.9531922199999997</v>
      </c>
      <c r="AO96">
        <v>-6.6632155999999998E-2</v>
      </c>
      <c r="AP96">
        <v>0.77954004599999671</v>
      </c>
      <c r="AQ96">
        <v>-0.28596874000000011</v>
      </c>
      <c r="AR96">
        <v>-3.4628624000000051E-3</v>
      </c>
      <c r="AS96">
        <v>-0.15650662000000001</v>
      </c>
      <c r="AT96">
        <v>-4.4406837999999986</v>
      </c>
    </row>
    <row r="97" spans="1:46" x14ac:dyDescent="0.25">
      <c r="A97">
        <v>95</v>
      </c>
      <c r="B97">
        <v>9.6395624999999949</v>
      </c>
      <c r="C97">
        <v>0.54894598901098901</v>
      </c>
      <c r="D97">
        <v>4.0655252225903641E-3</v>
      </c>
      <c r="E97">
        <v>-7.7987738762632852E-3</v>
      </c>
      <c r="F97">
        <v>8.0435616129988549E-2</v>
      </c>
      <c r="G97">
        <v>0.21458581999999959</v>
      </c>
      <c r="H97">
        <v>-6.9267349999999999</v>
      </c>
      <c r="I97">
        <v>6.7155315000000009</v>
      </c>
      <c r="J97">
        <v>15.87421</v>
      </c>
      <c r="K97">
        <v>-2.658147</v>
      </c>
      <c r="L97">
        <v>-0.178971149999999</v>
      </c>
      <c r="M97">
        <v>-12.517885</v>
      </c>
      <c r="N97">
        <v>-8.5414549999999991</v>
      </c>
      <c r="O97">
        <v>-19.318919999999999</v>
      </c>
      <c r="P97">
        <v>24.876919999999998</v>
      </c>
      <c r="Q97">
        <v>-0.69196459999999982</v>
      </c>
      <c r="R97">
        <v>-0.54160405000000111</v>
      </c>
      <c r="S97">
        <v>-31.131795</v>
      </c>
      <c r="T97">
        <v>2.110290500000001</v>
      </c>
      <c r="U97">
        <v>-90.245977499999981</v>
      </c>
      <c r="V97">
        <v>85.072937500000009</v>
      </c>
      <c r="W97">
        <v>276.04343749999992</v>
      </c>
      <c r="X97">
        <v>231.55812499999979</v>
      </c>
      <c r="Y97">
        <v>-32.78612499999997</v>
      </c>
      <c r="Z97">
        <v>270.08533125000002</v>
      </c>
      <c r="AA97">
        <v>-183.77874999999989</v>
      </c>
      <c r="AB97">
        <v>103.08681250000009</v>
      </c>
      <c r="AC97">
        <v>78.004375000000181</v>
      </c>
      <c r="AD97">
        <v>-242.81874999999991</v>
      </c>
      <c r="AE97">
        <v>47.577337499999977</v>
      </c>
      <c r="AF97">
        <v>-277.40066874999991</v>
      </c>
      <c r="AG97">
        <v>-1105.9468750000001</v>
      </c>
      <c r="AH97">
        <v>289.43992500000002</v>
      </c>
      <c r="AI97">
        <v>-3.492969</v>
      </c>
      <c r="AJ97">
        <v>-1.842476</v>
      </c>
      <c r="AK97">
        <v>0.32632994999999992</v>
      </c>
      <c r="AL97">
        <v>-12.416980000000001</v>
      </c>
      <c r="AM97">
        <v>0.1154410284999997</v>
      </c>
      <c r="AN97">
        <v>-0.92008184999999987</v>
      </c>
      <c r="AO97">
        <v>-6.5853529999999993E-2</v>
      </c>
      <c r="AP97">
        <v>0.44734060499999889</v>
      </c>
      <c r="AQ97">
        <v>-0.29007895</v>
      </c>
      <c r="AR97">
        <v>-3.8683970000000021E-3</v>
      </c>
      <c r="AS97">
        <v>-0.16123135</v>
      </c>
      <c r="AT97">
        <v>-4.3518565000000002</v>
      </c>
    </row>
    <row r="98" spans="1:46" x14ac:dyDescent="0.25">
      <c r="A98">
        <v>96</v>
      </c>
      <c r="B98">
        <v>9.6398999999999866</v>
      </c>
      <c r="C98">
        <v>0.54924239560439558</v>
      </c>
      <c r="D98">
        <v>5.5236746977069019E-3</v>
      </c>
      <c r="E98">
        <v>-1.0839691985188389E-2</v>
      </c>
      <c r="F98">
        <v>6.5234896349098431E-2</v>
      </c>
      <c r="G98">
        <v>0.11361197600000029</v>
      </c>
      <c r="H98">
        <v>-6.8356640000000004</v>
      </c>
      <c r="I98">
        <v>7.0158011999999994</v>
      </c>
      <c r="J98">
        <v>16.127848</v>
      </c>
      <c r="K98">
        <v>-2.6981556000000002</v>
      </c>
      <c r="L98">
        <v>0.1150936799999991</v>
      </c>
      <c r="M98">
        <v>-12.724947999999999</v>
      </c>
      <c r="N98">
        <v>-8.4333200000000001</v>
      </c>
      <c r="O98">
        <v>-19.232195999999998</v>
      </c>
      <c r="P98">
        <v>24.590935999999999</v>
      </c>
      <c r="Q98">
        <v>-0.63756068000000021</v>
      </c>
      <c r="R98">
        <v>-0.85657443999999905</v>
      </c>
      <c r="S98">
        <v>-32.366855999999991</v>
      </c>
      <c r="T98">
        <v>2.4251563999999992</v>
      </c>
      <c r="U98">
        <v>-85.464777000000012</v>
      </c>
      <c r="V98">
        <v>86.328100000000006</v>
      </c>
      <c r="W98">
        <v>273.98299999999989</v>
      </c>
      <c r="X98">
        <v>229.80649999999989</v>
      </c>
      <c r="Y98">
        <v>-25.41040000000001</v>
      </c>
      <c r="Z98">
        <v>268.61791499999998</v>
      </c>
      <c r="AA98">
        <v>-167.31549999999999</v>
      </c>
      <c r="AB98">
        <v>111.39370000000009</v>
      </c>
      <c r="AC98">
        <v>75.571000000000112</v>
      </c>
      <c r="AD98">
        <v>-210.72250000000011</v>
      </c>
      <c r="AE98">
        <v>39.58999500000003</v>
      </c>
      <c r="AF98">
        <v>-256.38720999999998</v>
      </c>
      <c r="AG98">
        <v>-1045.0450000000001</v>
      </c>
      <c r="AH98">
        <v>285.68409000000003</v>
      </c>
      <c r="AI98">
        <v>-3.4228391999999999</v>
      </c>
      <c r="AJ98">
        <v>-1.7486348</v>
      </c>
      <c r="AK98">
        <v>0.30950976000000008</v>
      </c>
      <c r="AL98">
        <v>-11.590024</v>
      </c>
      <c r="AM98">
        <v>3.1922978800000217E-2</v>
      </c>
      <c r="AN98">
        <v>-0.88697148000000003</v>
      </c>
      <c r="AO98">
        <v>-6.5074904000000003E-2</v>
      </c>
      <c r="AP98">
        <v>0.1151411640000011</v>
      </c>
      <c r="AQ98">
        <v>-0.29418915999999989</v>
      </c>
      <c r="AR98">
        <v>-4.2739315999999992E-3</v>
      </c>
      <c r="AS98">
        <v>-0.16595608000000001</v>
      </c>
      <c r="AT98">
        <v>-4.263029200000001</v>
      </c>
    </row>
    <row r="99" spans="1:46" x14ac:dyDescent="0.25">
      <c r="A99">
        <v>97</v>
      </c>
      <c r="B99">
        <v>9.6392874999999911</v>
      </c>
      <c r="C99">
        <v>0.54953264285714287</v>
      </c>
      <c r="D99">
        <v>-5.2357945851110672E-4</v>
      </c>
      <c r="E99">
        <v>-9.0425380055814287E-3</v>
      </c>
      <c r="F99">
        <v>6.2933142125582806E-2</v>
      </c>
      <c r="G99">
        <v>2.6996317999999599E-2</v>
      </c>
      <c r="H99">
        <v>-6.7409829999999991</v>
      </c>
      <c r="I99">
        <v>7.3089953000000012</v>
      </c>
      <c r="J99">
        <v>16.373031000000001</v>
      </c>
      <c r="K99">
        <v>-2.7171577999999998</v>
      </c>
      <c r="L99">
        <v>0.40292784000000142</v>
      </c>
      <c r="M99">
        <v>-12.887494</v>
      </c>
      <c r="N99">
        <v>-8.3043153999999983</v>
      </c>
      <c r="O99">
        <v>-19.153756000000001</v>
      </c>
      <c r="P99">
        <v>24.401605</v>
      </c>
      <c r="Q99">
        <v>-0.60314570999999984</v>
      </c>
      <c r="R99">
        <v>-1.1084978900000011</v>
      </c>
      <c r="S99">
        <v>-33.424723</v>
      </c>
      <c r="T99">
        <v>2.729426000000001</v>
      </c>
      <c r="U99">
        <v>-80.264412749999977</v>
      </c>
      <c r="V99">
        <v>87.615087500000001</v>
      </c>
      <c r="W99">
        <v>271.3176499999999</v>
      </c>
      <c r="X99">
        <v>226.3044999999999</v>
      </c>
      <c r="Y99">
        <v>-18.048924999999961</v>
      </c>
      <c r="Z99">
        <v>266.15513624999988</v>
      </c>
      <c r="AA99">
        <v>-151.95187499999989</v>
      </c>
      <c r="AB99">
        <v>118.40763750000011</v>
      </c>
      <c r="AC99">
        <v>72.531999999999982</v>
      </c>
      <c r="AD99">
        <v>-175.9472499999998</v>
      </c>
      <c r="AE99">
        <v>32.97682749999997</v>
      </c>
      <c r="AF99">
        <v>-233.90110874999991</v>
      </c>
      <c r="AG99">
        <v>-983.0007499999997</v>
      </c>
      <c r="AH99">
        <v>281.89035000000001</v>
      </c>
      <c r="AI99">
        <v>-3.3713541</v>
      </c>
      <c r="AJ99">
        <v>-1.6908118999999999</v>
      </c>
      <c r="AK99">
        <v>0.30142310999999999</v>
      </c>
      <c r="AL99">
        <v>-10.8778527</v>
      </c>
      <c r="AM99">
        <v>-2.632483910000024E-2</v>
      </c>
      <c r="AN99">
        <v>-0.86832599999999993</v>
      </c>
      <c r="AO99">
        <v>-6.338822999999999E-2</v>
      </c>
      <c r="AP99">
        <v>-2.3573840000001359E-3</v>
      </c>
      <c r="AQ99">
        <v>-0.29308007000000003</v>
      </c>
      <c r="AR99">
        <v>-4.7591427000000033E-3</v>
      </c>
      <c r="AS99">
        <v>-0.16771073</v>
      </c>
      <c r="AT99">
        <v>-4.0800682999999989</v>
      </c>
    </row>
    <row r="100" spans="1:46" x14ac:dyDescent="0.25">
      <c r="A100">
        <v>98</v>
      </c>
      <c r="B100">
        <v>9.6382750000000001</v>
      </c>
      <c r="C100">
        <v>0.54982029670329668</v>
      </c>
      <c r="D100">
        <v>-4.8037216346062846E-3</v>
      </c>
      <c r="E100">
        <v>-6.6344281310062338E-4</v>
      </c>
      <c r="F100">
        <v>4.6991785277640918E-2</v>
      </c>
      <c r="G100">
        <v>-5.3573787999999893E-2</v>
      </c>
      <c r="H100">
        <v>-6.6447820000000002</v>
      </c>
      <c r="I100">
        <v>7.599210199999999</v>
      </c>
      <c r="J100">
        <v>16.614654000000002</v>
      </c>
      <c r="K100">
        <v>-2.7273152000000001</v>
      </c>
      <c r="L100">
        <v>0.68813855999999962</v>
      </c>
      <c r="M100">
        <v>-13.031295999999999</v>
      </c>
      <c r="N100">
        <v>-8.1665235999999997</v>
      </c>
      <c r="O100">
        <v>-19.078804000000002</v>
      </c>
      <c r="P100">
        <v>24.252970000000001</v>
      </c>
      <c r="Q100">
        <v>-0.57714714</v>
      </c>
      <c r="R100">
        <v>-1.3338752599999999</v>
      </c>
      <c r="S100">
        <v>-34.407981999999997</v>
      </c>
      <c r="T100">
        <v>3.0292340000000002</v>
      </c>
      <c r="U100">
        <v>-74.887558500000011</v>
      </c>
      <c r="V100">
        <v>88.915474999999986</v>
      </c>
      <c r="W100">
        <v>268.39760000000001</v>
      </c>
      <c r="X100">
        <v>222.0654999999999</v>
      </c>
      <c r="Y100">
        <v>-10.693450000000009</v>
      </c>
      <c r="Z100">
        <v>263.2732575</v>
      </c>
      <c r="AA100">
        <v>-137.05125000000001</v>
      </c>
      <c r="AB100">
        <v>124.87717500000009</v>
      </c>
      <c r="AC100">
        <v>69.237999999999886</v>
      </c>
      <c r="AD100">
        <v>-140.04400000000001</v>
      </c>
      <c r="AE100">
        <v>26.942260000000012</v>
      </c>
      <c r="AF100">
        <v>-210.79494750000001</v>
      </c>
      <c r="AG100">
        <v>-920.47550000000035</v>
      </c>
      <c r="AH100">
        <v>278.08064999999999</v>
      </c>
      <c r="AI100">
        <v>-3.3277193999999999</v>
      </c>
      <c r="AJ100">
        <v>-1.6481546</v>
      </c>
      <c r="AK100">
        <v>0.29701374000000003</v>
      </c>
      <c r="AL100">
        <v>-10.2140118</v>
      </c>
      <c r="AM100">
        <v>-7.3932559399999931E-2</v>
      </c>
      <c r="AN100">
        <v>-0.85577099999999995</v>
      </c>
      <c r="AO100">
        <v>-6.1319220000000001E-2</v>
      </c>
      <c r="AP100">
        <v>-2.9455555999999959E-2</v>
      </c>
      <c r="AQ100">
        <v>-0.28977338000000002</v>
      </c>
      <c r="AR100">
        <v>-5.2779017999999992E-3</v>
      </c>
      <c r="AS100">
        <v>-0.16821481999999999</v>
      </c>
      <c r="AT100">
        <v>-3.857472200000001</v>
      </c>
    </row>
    <row r="101" spans="1:46" x14ac:dyDescent="0.25">
      <c r="A101">
        <v>99</v>
      </c>
      <c r="B101">
        <v>9.6372625000000092</v>
      </c>
      <c r="C101">
        <v>0.55010795054945061</v>
      </c>
      <c r="D101">
        <v>-5.4651189905423562E-3</v>
      </c>
      <c r="E101">
        <v>-3.723009910737532E-3</v>
      </c>
      <c r="F101">
        <v>6.3632033245043712E-2</v>
      </c>
      <c r="G101">
        <v>-0.13414389400000051</v>
      </c>
      <c r="H101">
        <v>-6.5485810000000004</v>
      </c>
      <c r="I101">
        <v>7.8894251000000013</v>
      </c>
      <c r="J101">
        <v>16.856276999999999</v>
      </c>
      <c r="K101">
        <v>-2.7374725999999998</v>
      </c>
      <c r="L101">
        <v>0.97334928000000176</v>
      </c>
      <c r="M101">
        <v>-13.175098</v>
      </c>
      <c r="N101">
        <v>-8.0287317999999992</v>
      </c>
      <c r="O101">
        <v>-19.003851999999998</v>
      </c>
      <c r="P101">
        <v>24.104334999999999</v>
      </c>
      <c r="Q101">
        <v>-0.55114856999999984</v>
      </c>
      <c r="R101">
        <v>-1.5592526300000009</v>
      </c>
      <c r="S101">
        <v>-35.391241000000001</v>
      </c>
      <c r="T101">
        <v>3.3290420000000021</v>
      </c>
      <c r="U101">
        <v>-69.510704249999975</v>
      </c>
      <c r="V101">
        <v>90.215862499999972</v>
      </c>
      <c r="W101">
        <v>265.47755000000001</v>
      </c>
      <c r="X101">
        <v>217.82650000000001</v>
      </c>
      <c r="Y101">
        <v>-3.3379749999999468</v>
      </c>
      <c r="Z101">
        <v>260.39137874999989</v>
      </c>
      <c r="AA101">
        <v>-122.15062499999981</v>
      </c>
      <c r="AB101">
        <v>131.34671250000011</v>
      </c>
      <c r="AC101">
        <v>65.943999999999747</v>
      </c>
      <c r="AD101">
        <v>-104.1407499999997</v>
      </c>
      <c r="AE101">
        <v>20.90769249999996</v>
      </c>
      <c r="AF101">
        <v>-187.68878624999991</v>
      </c>
      <c r="AG101">
        <v>-857.9502500000001</v>
      </c>
      <c r="AH101">
        <v>274.27095000000003</v>
      </c>
      <c r="AI101">
        <v>-3.2840846999999989</v>
      </c>
      <c r="AJ101">
        <v>-1.6054972999999999</v>
      </c>
      <c r="AK101">
        <v>0.29260436999999989</v>
      </c>
      <c r="AL101">
        <v>-9.5501708999999959</v>
      </c>
      <c r="AM101">
        <v>-0.12154027970000029</v>
      </c>
      <c r="AN101">
        <v>-0.84321599999999985</v>
      </c>
      <c r="AO101">
        <v>-5.9250209999999977E-2</v>
      </c>
      <c r="AP101">
        <v>-5.6553728000000178E-2</v>
      </c>
      <c r="AQ101">
        <v>-0.28646669000000002</v>
      </c>
      <c r="AR101">
        <v>-5.7966609000000037E-3</v>
      </c>
      <c r="AS101">
        <v>-0.16871891</v>
      </c>
      <c r="AT101">
        <v>-3.6348760999999992</v>
      </c>
    </row>
    <row r="102" spans="1:46" x14ac:dyDescent="0.25">
      <c r="A102">
        <v>100</v>
      </c>
      <c r="B102">
        <v>9.6362500000000182</v>
      </c>
      <c r="C102">
        <v>0.55039560439560442</v>
      </c>
      <c r="D102">
        <v>-5.7348649593594722E-3</v>
      </c>
      <c r="E102">
        <v>-4.7826773842290322E-3</v>
      </c>
      <c r="F102">
        <v>5.1330184840893051E-2</v>
      </c>
      <c r="G102">
        <v>-0.21471399999999999</v>
      </c>
      <c r="H102">
        <v>-6.4523799999999998</v>
      </c>
      <c r="I102">
        <v>8.1796399999999991</v>
      </c>
      <c r="J102">
        <v>17.097899999999999</v>
      </c>
      <c r="K102">
        <v>-2.74763</v>
      </c>
      <c r="L102">
        <v>1.2585599999999999</v>
      </c>
      <c r="M102">
        <v>-13.318899999999999</v>
      </c>
      <c r="N102">
        <v>-7.8909399999999996</v>
      </c>
      <c r="O102">
        <v>-18.928899999999999</v>
      </c>
      <c r="P102">
        <v>23.9557</v>
      </c>
      <c r="Q102">
        <v>-0.52515000000000001</v>
      </c>
      <c r="R102">
        <v>-1.7846299999999999</v>
      </c>
      <c r="S102">
        <v>-36.374499999999998</v>
      </c>
      <c r="T102">
        <v>3.6288499999999999</v>
      </c>
      <c r="U102">
        <v>-64.13385000000001</v>
      </c>
      <c r="V102">
        <v>91.516249999999957</v>
      </c>
      <c r="W102">
        <v>262.5575</v>
      </c>
      <c r="X102">
        <v>213.58750000000001</v>
      </c>
      <c r="Y102">
        <v>4.0175000000000072</v>
      </c>
      <c r="Z102">
        <v>257.5095</v>
      </c>
      <c r="AA102">
        <v>-107.2499999999998</v>
      </c>
      <c r="AB102">
        <v>137.81625</v>
      </c>
      <c r="AC102">
        <v>62.64999999999965</v>
      </c>
      <c r="AD102">
        <v>-68.237499999999955</v>
      </c>
      <c r="AE102">
        <v>14.873125</v>
      </c>
      <c r="AF102">
        <v>-164.58262500000001</v>
      </c>
      <c r="AG102">
        <v>-795.42500000000075</v>
      </c>
      <c r="AH102">
        <v>270.46125000000012</v>
      </c>
      <c r="AI102">
        <v>-3.2404500000000001</v>
      </c>
      <c r="AJ102">
        <v>-1.56284</v>
      </c>
      <c r="AK102">
        <v>0.28819499999999998</v>
      </c>
      <c r="AL102">
        <v>-8.8863299999999992</v>
      </c>
      <c r="AM102">
        <v>-0.16914799999999999</v>
      </c>
      <c r="AN102">
        <v>-0.83066099999999998</v>
      </c>
      <c r="AO102">
        <v>-5.7181199999999988E-2</v>
      </c>
      <c r="AP102">
        <v>-8.3651900000000001E-2</v>
      </c>
      <c r="AQ102">
        <v>-0.28316000000000002</v>
      </c>
      <c r="AR102">
        <v>-6.3154200000000004E-3</v>
      </c>
      <c r="AS102">
        <v>-0.16922300000000001</v>
      </c>
      <c r="AT102">
        <v>-3.41228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55585-7EA3-47AA-9925-8EF20BD2A33E}">
  <sheetPr codeName="Sheet12">
    <tabColor rgb="FF6495EC"/>
  </sheetPr>
  <dimension ref="A1:Q17"/>
  <sheetViews>
    <sheetView workbookViewId="0">
      <selection sqref="A1:XFD1048576"/>
    </sheetView>
  </sheetViews>
  <sheetFormatPr defaultRowHeight="15" x14ac:dyDescent="0.25"/>
  <cols>
    <col min="1" max="1" width="20.7109375" customWidth="1"/>
  </cols>
  <sheetData>
    <row r="1" spans="1:17" x14ac:dyDescent="0.25">
      <c r="A1" s="1" t="s">
        <v>0</v>
      </c>
      <c r="C1" s="1" t="s">
        <v>10</v>
      </c>
    </row>
    <row r="2" spans="1:17" x14ac:dyDescent="0.25">
      <c r="A2" s="1" t="s">
        <v>1</v>
      </c>
      <c r="B2" t="s">
        <v>2</v>
      </c>
      <c r="G2" s="1" t="s">
        <v>69</v>
      </c>
      <c r="H2" s="1" t="s">
        <v>70</v>
      </c>
      <c r="I2" s="1" t="s">
        <v>71</v>
      </c>
      <c r="J2" s="1" t="s">
        <v>72</v>
      </c>
      <c r="L2" s="1" t="s">
        <v>73</v>
      </c>
      <c r="M2" s="1" t="s">
        <v>74</v>
      </c>
      <c r="N2" s="1" t="s">
        <v>75</v>
      </c>
      <c r="O2" s="1" t="s">
        <v>76</v>
      </c>
      <c r="P2" s="1" t="s">
        <v>77</v>
      </c>
      <c r="Q2" s="1" t="s">
        <v>78</v>
      </c>
    </row>
    <row r="3" spans="1:17" x14ac:dyDescent="0.25">
      <c r="D3" s="1" t="s">
        <v>11</v>
      </c>
      <c r="F3" s="1" t="s">
        <v>117</v>
      </c>
      <c r="G3">
        <v>9.3799999999999937</v>
      </c>
      <c r="H3">
        <v>0.55475274725274726</v>
      </c>
      <c r="I3">
        <v>191.25</v>
      </c>
      <c r="J3">
        <v>11.92660550458716</v>
      </c>
      <c r="K3" s="1" t="s">
        <v>79</v>
      </c>
      <c r="L3">
        <v>19.296299999999999</v>
      </c>
      <c r="M3">
        <v>10.901300000000001</v>
      </c>
      <c r="N3">
        <v>36.3474</v>
      </c>
      <c r="O3">
        <v>46.747700000000002</v>
      </c>
      <c r="P3">
        <v>26.429400000000001</v>
      </c>
      <c r="Q3">
        <v>-2.08087</v>
      </c>
    </row>
    <row r="4" spans="1:17" x14ac:dyDescent="0.25">
      <c r="A4" s="1" t="s">
        <v>3</v>
      </c>
      <c r="B4" t="s">
        <v>4</v>
      </c>
      <c r="C4" s="1" t="s">
        <v>12</v>
      </c>
      <c r="D4">
        <v>252.10081481933591</v>
      </c>
      <c r="F4" s="1" t="s">
        <v>113</v>
      </c>
      <c r="G4">
        <v>9.3662499999999795</v>
      </c>
      <c r="H4">
        <v>0.54181978021978017</v>
      </c>
      <c r="K4" s="1" t="s">
        <v>80</v>
      </c>
      <c r="L4">
        <v>6.0208000000000004</v>
      </c>
      <c r="M4">
        <v>-5.6941800000000002</v>
      </c>
      <c r="N4">
        <v>-2.12243</v>
      </c>
      <c r="O4">
        <v>1.93066</v>
      </c>
    </row>
    <row r="5" spans="1:17" x14ac:dyDescent="0.25">
      <c r="A5" s="1" t="s">
        <v>5</v>
      </c>
      <c r="B5">
        <v>70.360000610351563</v>
      </c>
      <c r="C5" s="1" t="s">
        <v>13</v>
      </c>
      <c r="D5">
        <v>9.5360317230224609</v>
      </c>
      <c r="F5" s="1" t="s">
        <v>114</v>
      </c>
      <c r="G5">
        <v>9.7425000000000068</v>
      </c>
      <c r="H5">
        <v>0.55387362637362636</v>
      </c>
      <c r="K5" s="1" t="s">
        <v>81</v>
      </c>
      <c r="L5">
        <v>3.1621000000000001</v>
      </c>
      <c r="M5">
        <v>12.7371</v>
      </c>
      <c r="N5">
        <v>-16.1191</v>
      </c>
      <c r="O5">
        <v>16.670500000000001</v>
      </c>
    </row>
    <row r="6" spans="1:17" x14ac:dyDescent="0.25">
      <c r="A6" s="1" t="s">
        <v>6</v>
      </c>
      <c r="B6">
        <v>1820</v>
      </c>
      <c r="C6" s="1" t="s">
        <v>14</v>
      </c>
      <c r="D6">
        <v>0.47600007057189941</v>
      </c>
      <c r="F6" s="1" t="s">
        <v>115</v>
      </c>
      <c r="G6">
        <v>1.375000000001414E-2</v>
      </c>
      <c r="H6">
        <v>1.2932967032967089E-2</v>
      </c>
      <c r="K6" s="1" t="s">
        <v>82</v>
      </c>
      <c r="L6">
        <v>11.235609999999999</v>
      </c>
      <c r="M6">
        <v>10.844303999999999</v>
      </c>
      <c r="N6">
        <v>52.906799999999997</v>
      </c>
      <c r="O6">
        <v>29.7029</v>
      </c>
      <c r="P6">
        <v>62.952300000000001</v>
      </c>
      <c r="Q6">
        <v>13.331429999999999</v>
      </c>
    </row>
    <row r="7" spans="1:17" x14ac:dyDescent="0.25">
      <c r="A7" s="1" t="s">
        <v>7</v>
      </c>
      <c r="B7">
        <v>960</v>
      </c>
      <c r="C7" s="1" t="s">
        <v>15</v>
      </c>
      <c r="D7">
        <v>0.23199987411499021</v>
      </c>
      <c r="F7" s="1" t="s">
        <v>116</v>
      </c>
      <c r="G7">
        <v>1.038646055437102</v>
      </c>
      <c r="H7">
        <v>0.99841529242806915</v>
      </c>
      <c r="K7" s="1" t="s">
        <v>83</v>
      </c>
      <c r="L7">
        <v>9.6177200000000003</v>
      </c>
      <c r="M7">
        <v>4.5742200000000004</v>
      </c>
      <c r="N7">
        <v>8.1403700000000008</v>
      </c>
      <c r="O7">
        <v>7.9201499999999996</v>
      </c>
    </row>
    <row r="8" spans="1:17" x14ac:dyDescent="0.25">
      <c r="A8" s="1" t="s">
        <v>8</v>
      </c>
      <c r="B8">
        <v>71</v>
      </c>
      <c r="C8" s="1" t="s">
        <v>16</v>
      </c>
      <c r="D8">
        <v>51.260536193847663</v>
      </c>
      <c r="K8" s="1" t="s">
        <v>84</v>
      </c>
      <c r="L8">
        <v>12.034800000000001</v>
      </c>
      <c r="M8">
        <v>21.120439999999999</v>
      </c>
      <c r="N8">
        <v>9.5775000000000006</v>
      </c>
      <c r="O8">
        <v>21.468959999999999</v>
      </c>
    </row>
    <row r="9" spans="1:17" x14ac:dyDescent="0.25">
      <c r="A9" s="1" t="s">
        <v>9</v>
      </c>
      <c r="B9">
        <v>76</v>
      </c>
      <c r="C9" s="1" t="s">
        <v>17</v>
      </c>
      <c r="D9">
        <v>22.899200439453121</v>
      </c>
      <c r="K9" s="1" t="s">
        <v>85</v>
      </c>
      <c r="L9">
        <v>341.25000000000028</v>
      </c>
      <c r="M9">
        <v>-0.6250000000000977</v>
      </c>
      <c r="N9">
        <v>65.287500000000165</v>
      </c>
      <c r="O9">
        <v>319.71249999999958</v>
      </c>
      <c r="P9">
        <v>847.04374999999982</v>
      </c>
      <c r="Q9">
        <v>390.27587499999998</v>
      </c>
    </row>
    <row r="10" spans="1:17" x14ac:dyDescent="0.25">
      <c r="C10" s="1" t="s">
        <v>18</v>
      </c>
      <c r="D10">
        <v>4.539151668548584</v>
      </c>
      <c r="K10" s="1" t="s">
        <v>86</v>
      </c>
      <c r="L10">
        <v>11.5075</v>
      </c>
      <c r="M10">
        <v>84.814999999999969</v>
      </c>
      <c r="N10">
        <v>126.765</v>
      </c>
      <c r="O10">
        <v>324.83775000000003</v>
      </c>
    </row>
    <row r="11" spans="1:17" x14ac:dyDescent="0.25">
      <c r="C11" s="1" t="s">
        <v>19</v>
      </c>
      <c r="D11">
        <v>2.2927179336547852</v>
      </c>
      <c r="K11" s="1" t="s">
        <v>87</v>
      </c>
      <c r="L11">
        <v>295.409875</v>
      </c>
      <c r="M11">
        <v>375.36374999999998</v>
      </c>
      <c r="N11">
        <v>241.27500000000029</v>
      </c>
      <c r="O11">
        <v>524.51499999999999</v>
      </c>
    </row>
    <row r="12" spans="1:17" x14ac:dyDescent="0.25">
      <c r="C12" s="1" t="s">
        <v>20</v>
      </c>
      <c r="D12">
        <v>22.697347402572628</v>
      </c>
    </row>
    <row r="13" spans="1:17" x14ac:dyDescent="0.25">
      <c r="C13" s="1" t="s">
        <v>21</v>
      </c>
      <c r="D13">
        <v>0</v>
      </c>
    </row>
    <row r="14" spans="1:17" x14ac:dyDescent="0.25">
      <c r="C14" s="1" t="s">
        <v>16</v>
      </c>
      <c r="D14">
        <v>51.260536193847663</v>
      </c>
    </row>
    <row r="15" spans="1:17" x14ac:dyDescent="0.25">
      <c r="C15" s="1" t="s">
        <v>22</v>
      </c>
      <c r="D15">
        <v>0.1809999942779541</v>
      </c>
    </row>
    <row r="16" spans="1:17" x14ac:dyDescent="0.25">
      <c r="C16" s="1" t="s">
        <v>23</v>
      </c>
      <c r="D16">
        <v>77.100799560546875</v>
      </c>
    </row>
    <row r="17" spans="3:4" x14ac:dyDescent="0.25">
      <c r="C17" s="1" t="s">
        <v>118</v>
      </c>
      <c r="D17">
        <v>38.025203244295348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BEEF02-2A02-465E-B040-17992E08606A}">
  <sheetPr codeName="Sheet13">
    <tabColor rgb="FF6495EC"/>
  </sheetPr>
  <dimension ref="A1:AT102"/>
  <sheetViews>
    <sheetView workbookViewId="0">
      <pane xSplit="1" ySplit="1" topLeftCell="B2" activePane="bottomRight" state="frozen"/>
      <selection pane="topRight" activeCell="B1" sqref="B1"/>
      <selection pane="bottomLeft" activeCell="A2" sqref="A2"/>
      <selection pane="bottomRight" activeCell="B54" sqref="B54"/>
    </sheetView>
  </sheetViews>
  <sheetFormatPr defaultRowHeight="15" x14ac:dyDescent="0.25"/>
  <cols>
    <col min="1" max="47" width="25.7109375" customWidth="1"/>
  </cols>
  <sheetData>
    <row r="1" spans="1:46" x14ac:dyDescent="0.25">
      <c r="A1" s="2" t="s">
        <v>250</v>
      </c>
      <c r="B1" s="2" t="s">
        <v>24</v>
      </c>
      <c r="C1" s="2" t="s">
        <v>251</v>
      </c>
      <c r="D1" s="2" t="s">
        <v>26</v>
      </c>
      <c r="E1" s="2" t="s">
        <v>27</v>
      </c>
      <c r="F1" s="2" t="s">
        <v>28</v>
      </c>
      <c r="G1" s="2" t="s">
        <v>29</v>
      </c>
      <c r="H1" s="2" t="s">
        <v>30</v>
      </c>
      <c r="I1" s="2" t="s">
        <v>31</v>
      </c>
      <c r="J1" s="2" t="s">
        <v>32</v>
      </c>
      <c r="K1" s="2" t="s">
        <v>33</v>
      </c>
      <c r="L1" s="2" t="s">
        <v>34</v>
      </c>
      <c r="M1" s="2" t="s">
        <v>35</v>
      </c>
      <c r="N1" s="2" t="s">
        <v>36</v>
      </c>
      <c r="O1" s="2" t="s">
        <v>37</v>
      </c>
      <c r="P1" s="2" t="s">
        <v>38</v>
      </c>
      <c r="Q1" s="2" t="s">
        <v>39</v>
      </c>
      <c r="R1" s="2" t="s">
        <v>40</v>
      </c>
      <c r="S1" s="2" t="s">
        <v>41</v>
      </c>
      <c r="T1" s="2" t="s">
        <v>42</v>
      </c>
      <c r="U1" s="2" t="s">
        <v>43</v>
      </c>
      <c r="V1" s="2" t="s">
        <v>44</v>
      </c>
      <c r="W1" s="2" t="s">
        <v>45</v>
      </c>
      <c r="X1" s="2" t="s">
        <v>46</v>
      </c>
      <c r="Y1" s="2" t="s">
        <v>47</v>
      </c>
      <c r="Z1" s="2" t="s">
        <v>48</v>
      </c>
      <c r="AA1" s="2" t="s">
        <v>49</v>
      </c>
      <c r="AB1" s="2" t="s">
        <v>50</v>
      </c>
      <c r="AC1" s="2" t="s">
        <v>51</v>
      </c>
      <c r="AD1" s="2" t="s">
        <v>52</v>
      </c>
      <c r="AE1" s="2" t="s">
        <v>53</v>
      </c>
      <c r="AF1" s="2" t="s">
        <v>54</v>
      </c>
      <c r="AG1" s="2" t="s">
        <v>55</v>
      </c>
      <c r="AH1" s="2" t="s">
        <v>56</v>
      </c>
      <c r="AI1" s="2" t="s">
        <v>57</v>
      </c>
      <c r="AJ1" s="2" t="s">
        <v>58</v>
      </c>
      <c r="AK1" s="2" t="s">
        <v>59</v>
      </c>
      <c r="AL1" s="2" t="s">
        <v>60</v>
      </c>
      <c r="AM1" s="2" t="s">
        <v>61</v>
      </c>
      <c r="AN1" s="2" t="s">
        <v>62</v>
      </c>
      <c r="AO1" s="2" t="s">
        <v>63</v>
      </c>
      <c r="AP1" s="2" t="s">
        <v>64</v>
      </c>
      <c r="AQ1" s="2" t="s">
        <v>65</v>
      </c>
      <c r="AR1" s="2" t="s">
        <v>66</v>
      </c>
      <c r="AS1" s="2" t="s">
        <v>67</v>
      </c>
      <c r="AT1" s="2" t="s">
        <v>68</v>
      </c>
    </row>
    <row r="2" spans="1:46" x14ac:dyDescent="0.25">
      <c r="A2">
        <v>0</v>
      </c>
      <c r="B2">
        <v>9.3799999999999937</v>
      </c>
      <c r="C2">
        <v>0.55475274725274726</v>
      </c>
      <c r="D2">
        <v>2.1635814456536291E-2</v>
      </c>
      <c r="E2">
        <v>2.3466777070162131E-2</v>
      </c>
      <c r="F2">
        <v>0.46935874568191038</v>
      </c>
      <c r="G2">
        <v>10.901300000000001</v>
      </c>
      <c r="H2">
        <v>-9.8035399999999999</v>
      </c>
      <c r="I2">
        <v>-8.3833400000000005</v>
      </c>
      <c r="J2">
        <v>8.0606899999999992</v>
      </c>
      <c r="K2">
        <v>5.99322</v>
      </c>
      <c r="L2">
        <v>-0.282302</v>
      </c>
      <c r="M2">
        <v>36.3474</v>
      </c>
      <c r="N2">
        <v>-4.8700599999999996</v>
      </c>
      <c r="O2">
        <v>-18.375399999999999</v>
      </c>
      <c r="P2">
        <v>39.101599999999998</v>
      </c>
      <c r="Q2">
        <v>1.41296</v>
      </c>
      <c r="R2">
        <v>9.1746099999999995</v>
      </c>
      <c r="S2">
        <v>1.34368</v>
      </c>
      <c r="T2">
        <v>-10.428000000000001</v>
      </c>
      <c r="U2">
        <v>-0.6250000000000977</v>
      </c>
      <c r="V2">
        <v>-49.113749999999847</v>
      </c>
      <c r="W2">
        <v>126.80624999999991</v>
      </c>
      <c r="X2">
        <v>149.63249999999991</v>
      </c>
      <c r="Y2">
        <v>11.5075</v>
      </c>
      <c r="Z2">
        <v>-139.454375</v>
      </c>
      <c r="AA2">
        <v>-270.34999999999962</v>
      </c>
      <c r="AB2">
        <v>117.93</v>
      </c>
      <c r="AC2">
        <v>163.48750000000001</v>
      </c>
      <c r="AD2">
        <v>290.30000000000018</v>
      </c>
      <c r="AE2">
        <v>-34.623750000000008</v>
      </c>
      <c r="AF2">
        <v>524.51499999999999</v>
      </c>
      <c r="AG2">
        <v>657.06574999999998</v>
      </c>
      <c r="AH2">
        <v>156.7624999999999</v>
      </c>
      <c r="AI2">
        <v>5.4448800000000004</v>
      </c>
      <c r="AJ2">
        <v>1.4541599999999999</v>
      </c>
      <c r="AK2">
        <v>-0.32785799999999998</v>
      </c>
      <c r="AL2">
        <v>29.312100000000001</v>
      </c>
      <c r="AM2">
        <v>-1.1456500000000001</v>
      </c>
      <c r="AN2">
        <v>0.5154740000000001</v>
      </c>
      <c r="AO2">
        <v>0.165467</v>
      </c>
      <c r="AP2">
        <v>5.0222899999999999</v>
      </c>
      <c r="AQ2">
        <v>1.25481</v>
      </c>
      <c r="AR2">
        <v>-7.38706E-3</v>
      </c>
      <c r="AS2">
        <v>0.15972700000000001</v>
      </c>
      <c r="AT2">
        <v>-10.484299999999999</v>
      </c>
    </row>
    <row r="3" spans="1:46" x14ac:dyDescent="0.25">
      <c r="A3">
        <v>1</v>
      </c>
      <c r="B3">
        <v>9.3773999999999962</v>
      </c>
      <c r="C3">
        <v>0.55429131868131865</v>
      </c>
      <c r="D3">
        <v>-1.73395695262329E-2</v>
      </c>
      <c r="E3">
        <v>-0.1190351940573805</v>
      </c>
      <c r="F3">
        <v>0.70069681574761333</v>
      </c>
      <c r="G3">
        <v>10.898622</v>
      </c>
      <c r="H3">
        <v>-9.8495235999999995</v>
      </c>
      <c r="I3">
        <v>-8.2611426000000012</v>
      </c>
      <c r="J3">
        <v>8.2187101999999985</v>
      </c>
      <c r="K3">
        <v>6.0003907999999999</v>
      </c>
      <c r="L3">
        <v>-0.44191340000000001</v>
      </c>
      <c r="M3">
        <v>36.057811999999998</v>
      </c>
      <c r="N3">
        <v>-4.7430317999999998</v>
      </c>
      <c r="O3">
        <v>-18.201381999999999</v>
      </c>
      <c r="P3">
        <v>39.414822000000001</v>
      </c>
      <c r="Q3">
        <v>1.3807746000000001</v>
      </c>
      <c r="R3">
        <v>9.7209713999999998</v>
      </c>
      <c r="S3">
        <v>2.1027266</v>
      </c>
      <c r="T3">
        <v>-10.324052</v>
      </c>
      <c r="U3">
        <v>-1.405000000000127</v>
      </c>
      <c r="V3">
        <v>-46.502374999999873</v>
      </c>
      <c r="W3">
        <v>121.7918249999999</v>
      </c>
      <c r="X3">
        <v>149.55385000000001</v>
      </c>
      <c r="Y3">
        <v>8.8889750000000092</v>
      </c>
      <c r="Z3">
        <v>-146.54922250000001</v>
      </c>
      <c r="AA3">
        <v>-275.03324999999973</v>
      </c>
      <c r="AB3">
        <v>119.6551</v>
      </c>
      <c r="AC3">
        <v>163.17549999999989</v>
      </c>
      <c r="AD3">
        <v>295.32775000000021</v>
      </c>
      <c r="AE3">
        <v>-34.607500000000002</v>
      </c>
      <c r="AF3">
        <v>512.32977499999993</v>
      </c>
      <c r="AG3">
        <v>688.30943000000002</v>
      </c>
      <c r="AH3">
        <v>127.0217499999999</v>
      </c>
      <c r="AI3">
        <v>5.0265660000000008</v>
      </c>
      <c r="AJ3">
        <v>1.5062458000000001</v>
      </c>
      <c r="AK3">
        <v>-0.33412426000000001</v>
      </c>
      <c r="AL3">
        <v>27.349489999999999</v>
      </c>
      <c r="AM3">
        <v>-0.8110773200000001</v>
      </c>
      <c r="AN3">
        <v>0.62474888000000006</v>
      </c>
      <c r="AO3">
        <v>0.19689345999999999</v>
      </c>
      <c r="AP3">
        <v>3.554073639999999</v>
      </c>
      <c r="AQ3">
        <v>1.4313499999999999</v>
      </c>
      <c r="AR3">
        <v>4.7296576000000002E-3</v>
      </c>
      <c r="AS3">
        <v>0.18822871999999999</v>
      </c>
      <c r="AT3">
        <v>-12.621188</v>
      </c>
    </row>
    <row r="4" spans="1:46" x14ac:dyDescent="0.25">
      <c r="A4">
        <v>2</v>
      </c>
      <c r="B4">
        <v>9.3747999999999987</v>
      </c>
      <c r="C4">
        <v>0.55382989010989003</v>
      </c>
      <c r="D4">
        <v>-5.6565752314126527E-2</v>
      </c>
      <c r="E4">
        <v>-7.5803227057620715E-2</v>
      </c>
      <c r="F4">
        <v>1.0577271941868389</v>
      </c>
      <c r="G4">
        <v>10.895944</v>
      </c>
      <c r="H4">
        <v>-9.8955071999999991</v>
      </c>
      <c r="I4">
        <v>-8.1389452000000002</v>
      </c>
      <c r="J4">
        <v>8.3767303999999996</v>
      </c>
      <c r="K4">
        <v>6.0075615999999998</v>
      </c>
      <c r="L4">
        <v>-0.60152479999999997</v>
      </c>
      <c r="M4">
        <v>35.768223999999996</v>
      </c>
      <c r="N4">
        <v>-4.6160036</v>
      </c>
      <c r="O4">
        <v>-18.027363999999999</v>
      </c>
      <c r="P4">
        <v>39.728043999999997</v>
      </c>
      <c r="Q4">
        <v>1.3485891999999999</v>
      </c>
      <c r="R4">
        <v>10.2673328</v>
      </c>
      <c r="S4">
        <v>2.8617732</v>
      </c>
      <c r="T4">
        <v>-10.220103999999999</v>
      </c>
      <c r="U4">
        <v>-2.1850000000001568</v>
      </c>
      <c r="V4">
        <v>-43.890999999999892</v>
      </c>
      <c r="W4">
        <v>116.7774</v>
      </c>
      <c r="X4">
        <v>149.47520000000009</v>
      </c>
      <c r="Y4">
        <v>6.2704500000000163</v>
      </c>
      <c r="Z4">
        <v>-153.64407</v>
      </c>
      <c r="AA4">
        <v>-279.71649999999971</v>
      </c>
      <c r="AB4">
        <v>121.3801999999999</v>
      </c>
      <c r="AC4">
        <v>162.86349999999979</v>
      </c>
      <c r="AD4">
        <v>300.35550000000012</v>
      </c>
      <c r="AE4">
        <v>-34.591250000000002</v>
      </c>
      <c r="AF4">
        <v>500.14454999999998</v>
      </c>
      <c r="AG4">
        <v>719.55310999999995</v>
      </c>
      <c r="AH4">
        <v>97.280999999999977</v>
      </c>
      <c r="AI4">
        <v>4.6082520000000002</v>
      </c>
      <c r="AJ4">
        <v>1.5583316</v>
      </c>
      <c r="AK4">
        <v>-0.34039051999999997</v>
      </c>
      <c r="AL4">
        <v>25.386880000000001</v>
      </c>
      <c r="AM4">
        <v>-0.47650463999999998</v>
      </c>
      <c r="AN4">
        <v>0.73402376000000003</v>
      </c>
      <c r="AO4">
        <v>0.22831992000000001</v>
      </c>
      <c r="AP4">
        <v>2.085857279999999</v>
      </c>
      <c r="AQ4">
        <v>1.60789</v>
      </c>
      <c r="AR4">
        <v>1.6846375199999999E-2</v>
      </c>
      <c r="AS4">
        <v>0.21673044</v>
      </c>
      <c r="AT4">
        <v>-14.758076000000001</v>
      </c>
    </row>
    <row r="5" spans="1:46" x14ac:dyDescent="0.25">
      <c r="A5">
        <v>3</v>
      </c>
      <c r="B5">
        <v>9.3722000000000012</v>
      </c>
      <c r="C5">
        <v>0.55336846153846153</v>
      </c>
      <c r="D5">
        <v>-0.117059315502512</v>
      </c>
      <c r="E5">
        <v>3.4422478846549857E-2</v>
      </c>
      <c r="F5">
        <v>1.487169550626771</v>
      </c>
      <c r="G5">
        <v>10.893266000000001</v>
      </c>
      <c r="H5">
        <v>-9.9414908000000004</v>
      </c>
      <c r="I5">
        <v>-8.016747800000001</v>
      </c>
      <c r="J5">
        <v>8.5347505999999989</v>
      </c>
      <c r="K5">
        <v>6.0147324000000006</v>
      </c>
      <c r="L5">
        <v>-0.76113619999999993</v>
      </c>
      <c r="M5">
        <v>35.478636000000002</v>
      </c>
      <c r="N5">
        <v>-4.4889754000000002</v>
      </c>
      <c r="O5">
        <v>-17.853345999999998</v>
      </c>
      <c r="P5">
        <v>40.041266</v>
      </c>
      <c r="Q5">
        <v>1.3164038</v>
      </c>
      <c r="R5">
        <v>10.8136942</v>
      </c>
      <c r="S5">
        <v>3.6208198</v>
      </c>
      <c r="T5">
        <v>-10.116156</v>
      </c>
      <c r="U5">
        <v>-2.9650000000001859</v>
      </c>
      <c r="V5">
        <v>-41.279624999999918</v>
      </c>
      <c r="W5">
        <v>111.762975</v>
      </c>
      <c r="X5">
        <v>149.3965500000001</v>
      </c>
      <c r="Y5">
        <v>3.651925000000023</v>
      </c>
      <c r="Z5">
        <v>-160.73891750000001</v>
      </c>
      <c r="AA5">
        <v>-284.39974999999981</v>
      </c>
      <c r="AB5">
        <v>123.1052999999999</v>
      </c>
      <c r="AC5">
        <v>162.55149999999969</v>
      </c>
      <c r="AD5">
        <v>305.38324999999998</v>
      </c>
      <c r="AE5">
        <v>-34.574999999999989</v>
      </c>
      <c r="AF5">
        <v>487.95932499999998</v>
      </c>
      <c r="AG5">
        <v>750.79678999999999</v>
      </c>
      <c r="AH5">
        <v>67.540250000000029</v>
      </c>
      <c r="AI5">
        <v>4.1899380000000006</v>
      </c>
      <c r="AJ5">
        <v>1.6104174</v>
      </c>
      <c r="AK5">
        <v>-0.34665678</v>
      </c>
      <c r="AL5">
        <v>23.42427</v>
      </c>
      <c r="AM5">
        <v>-0.14193196</v>
      </c>
      <c r="AN5">
        <v>0.84329863999999999</v>
      </c>
      <c r="AO5">
        <v>0.25974638000000011</v>
      </c>
      <c r="AP5">
        <v>0.61764091999999948</v>
      </c>
      <c r="AQ5">
        <v>1.78443</v>
      </c>
      <c r="AR5">
        <v>2.89630928E-2</v>
      </c>
      <c r="AS5">
        <v>0.24523216</v>
      </c>
      <c r="AT5">
        <v>-16.894964000000002</v>
      </c>
    </row>
    <row r="6" spans="1:46" x14ac:dyDescent="0.25">
      <c r="A6">
        <v>4</v>
      </c>
      <c r="B6">
        <v>9.3698500000000013</v>
      </c>
      <c r="C6">
        <v>0.55290879120879111</v>
      </c>
      <c r="D6">
        <v>-0.37458505203478332</v>
      </c>
      <c r="E6">
        <v>-0.14809308151980671</v>
      </c>
      <c r="F6">
        <v>1.610980102162654</v>
      </c>
      <c r="G6">
        <v>10.890252</v>
      </c>
      <c r="H6">
        <v>-9.9858279999999997</v>
      </c>
      <c r="I6">
        <v>-7.8977432000000007</v>
      </c>
      <c r="J6">
        <v>8.6919348000000003</v>
      </c>
      <c r="K6">
        <v>6.0201564000000003</v>
      </c>
      <c r="L6">
        <v>-0.92499392000000003</v>
      </c>
      <c r="M6">
        <v>35.185876</v>
      </c>
      <c r="N6">
        <v>-4.3611720000000007</v>
      </c>
      <c r="O6">
        <v>-17.68094</v>
      </c>
      <c r="P6">
        <v>40.357196000000002</v>
      </c>
      <c r="Q6">
        <v>1.2830619999999999</v>
      </c>
      <c r="R6">
        <v>11.344792</v>
      </c>
      <c r="S6">
        <v>4.3950284000000002</v>
      </c>
      <c r="T6">
        <v>-10.030632000000001</v>
      </c>
      <c r="U6">
        <v>-3.6850000000002048</v>
      </c>
      <c r="V6">
        <v>-38.652199999999937</v>
      </c>
      <c r="W6">
        <v>106.72930000000009</v>
      </c>
      <c r="X6">
        <v>148.92150000000021</v>
      </c>
      <c r="Y6">
        <v>0.98065000000002245</v>
      </c>
      <c r="Z6">
        <v>-167.73840000000001</v>
      </c>
      <c r="AA6">
        <v>-289.25049999999987</v>
      </c>
      <c r="AB6">
        <v>124.65299999999991</v>
      </c>
      <c r="AC6">
        <v>161.5124999999997</v>
      </c>
      <c r="AD6">
        <v>310.04050000000001</v>
      </c>
      <c r="AE6">
        <v>-35.129964999999977</v>
      </c>
      <c r="AF6">
        <v>471.93430000000001</v>
      </c>
      <c r="AG6">
        <v>779.82494999999994</v>
      </c>
      <c r="AH6">
        <v>38.042000000000037</v>
      </c>
      <c r="AI6">
        <v>3.8821704000000001</v>
      </c>
      <c r="AJ6">
        <v>1.62714132</v>
      </c>
      <c r="AK6">
        <v>-0.34732787999999998</v>
      </c>
      <c r="AL6">
        <v>22.113479999999999</v>
      </c>
      <c r="AM6">
        <v>0.12777468</v>
      </c>
      <c r="AN6">
        <v>0.92197151999999993</v>
      </c>
      <c r="AO6">
        <v>0.28428256000000002</v>
      </c>
      <c r="AP6">
        <v>-0.56588664</v>
      </c>
      <c r="AQ6">
        <v>1.954116</v>
      </c>
      <c r="AR6">
        <v>4.0878115999999999E-2</v>
      </c>
      <c r="AS6">
        <v>0.26695368000000003</v>
      </c>
      <c r="AT6">
        <v>-18.986348</v>
      </c>
    </row>
    <row r="7" spans="1:46" x14ac:dyDescent="0.25">
      <c r="A7">
        <v>5</v>
      </c>
      <c r="B7">
        <v>9.3688749999999956</v>
      </c>
      <c r="C7">
        <v>0.55245879120879116</v>
      </c>
      <c r="D7">
        <v>-0.54943381082942488</v>
      </c>
      <c r="E7">
        <v>-0.16990219249071731</v>
      </c>
      <c r="F7">
        <v>1.502096977374797</v>
      </c>
      <c r="G7">
        <v>10.885389999999999</v>
      </c>
      <c r="H7">
        <v>-10.02111</v>
      </c>
      <c r="I7">
        <v>-7.7962990000000003</v>
      </c>
      <c r="J7">
        <v>8.8445210000000003</v>
      </c>
      <c r="K7">
        <v>6.0159730000000007</v>
      </c>
      <c r="L7">
        <v>-1.1122064</v>
      </c>
      <c r="M7">
        <v>34.87567</v>
      </c>
      <c r="N7">
        <v>-4.2291050000000006</v>
      </c>
      <c r="O7">
        <v>-17.517399999999999</v>
      </c>
      <c r="P7">
        <v>40.688020000000002</v>
      </c>
      <c r="Q7">
        <v>1.24336</v>
      </c>
      <c r="R7">
        <v>11.79194</v>
      </c>
      <c r="S7">
        <v>5.2526280000000014</v>
      </c>
      <c r="T7">
        <v>-10.04644</v>
      </c>
      <c r="U7">
        <v>-4.0750000000001618</v>
      </c>
      <c r="V7">
        <v>-35.936499999999988</v>
      </c>
      <c r="W7">
        <v>101.58975</v>
      </c>
      <c r="X7">
        <v>146.2662500000001</v>
      </c>
      <c r="Y7">
        <v>-1.98075000000001</v>
      </c>
      <c r="Z7">
        <v>-174.21337500000001</v>
      </c>
      <c r="AA7">
        <v>-295.02249999999998</v>
      </c>
      <c r="AB7">
        <v>125.22499999999999</v>
      </c>
      <c r="AC7">
        <v>156.4749999999998</v>
      </c>
      <c r="AD7">
        <v>312.65999999999991</v>
      </c>
      <c r="AE7">
        <v>-38.826612499999989</v>
      </c>
      <c r="AF7">
        <v>434.79037499999993</v>
      </c>
      <c r="AG7">
        <v>796.66774999999996</v>
      </c>
      <c r="AH7">
        <v>9.8775000000000404</v>
      </c>
      <c r="AI7">
        <v>4.1824080000000006</v>
      </c>
      <c r="AJ7">
        <v>1.4493749</v>
      </c>
      <c r="AK7">
        <v>-0.3172256</v>
      </c>
      <c r="AL7">
        <v>24.387699999999999</v>
      </c>
      <c r="AM7">
        <v>4.0718099999999972E-2</v>
      </c>
      <c r="AN7">
        <v>0.8323334</v>
      </c>
      <c r="AO7">
        <v>0.2709222</v>
      </c>
      <c r="AP7">
        <v>-0.18362579999999981</v>
      </c>
      <c r="AQ7">
        <v>2.0861049999999999</v>
      </c>
      <c r="AR7">
        <v>5.1683820000000012E-2</v>
      </c>
      <c r="AS7">
        <v>0.2513841</v>
      </c>
      <c r="AT7">
        <v>-20.827459999999999</v>
      </c>
    </row>
    <row r="8" spans="1:46" x14ac:dyDescent="0.25">
      <c r="A8">
        <v>6</v>
      </c>
      <c r="B8">
        <v>9.3678999999999899</v>
      </c>
      <c r="C8">
        <v>0.55200879120879121</v>
      </c>
      <c r="D8">
        <v>-0.53495070367007802</v>
      </c>
      <c r="E8">
        <v>-0.22784915628826199</v>
      </c>
      <c r="F8">
        <v>1.5996113564525469</v>
      </c>
      <c r="G8">
        <v>10.880528</v>
      </c>
      <c r="H8">
        <v>-10.056392000000001</v>
      </c>
      <c r="I8">
        <v>-7.6948547999999999</v>
      </c>
      <c r="J8">
        <v>8.9971072000000003</v>
      </c>
      <c r="K8">
        <v>6.0117896000000002</v>
      </c>
      <c r="L8">
        <v>-1.2994188799999999</v>
      </c>
      <c r="M8">
        <v>34.565463999999999</v>
      </c>
      <c r="N8">
        <v>-4.0970380000000004</v>
      </c>
      <c r="O8">
        <v>-17.353860000000001</v>
      </c>
      <c r="P8">
        <v>41.018844000000001</v>
      </c>
      <c r="Q8">
        <v>1.2036579999999999</v>
      </c>
      <c r="R8">
        <v>12.239088000000001</v>
      </c>
      <c r="S8">
        <v>6.1102276</v>
      </c>
      <c r="T8">
        <v>-10.062248</v>
      </c>
      <c r="U8">
        <v>-4.4650000000001189</v>
      </c>
      <c r="V8">
        <v>-33.22080000000004</v>
      </c>
      <c r="W8">
        <v>96.450200000000024</v>
      </c>
      <c r="X8">
        <v>143.6110000000001</v>
      </c>
      <c r="Y8">
        <v>-4.9421500000000398</v>
      </c>
      <c r="Z8">
        <v>-180.68835000000001</v>
      </c>
      <c r="AA8">
        <v>-300.7945000000002</v>
      </c>
      <c r="AB8">
        <v>125.797</v>
      </c>
      <c r="AC8">
        <v>151.43749999999989</v>
      </c>
      <c r="AD8">
        <v>315.27949999999981</v>
      </c>
      <c r="AE8">
        <v>-42.523259999999993</v>
      </c>
      <c r="AF8">
        <v>397.64645000000002</v>
      </c>
      <c r="AG8">
        <v>813.51054999999997</v>
      </c>
      <c r="AH8">
        <v>-18.286999999999939</v>
      </c>
      <c r="AI8">
        <v>4.4826455999999997</v>
      </c>
      <c r="AJ8">
        <v>1.27160848</v>
      </c>
      <c r="AK8">
        <v>-0.28712332000000002</v>
      </c>
      <c r="AL8">
        <v>26.661919999999999</v>
      </c>
      <c r="AM8">
        <v>-4.6338479999999987E-2</v>
      </c>
      <c r="AN8">
        <v>0.74269527999999996</v>
      </c>
      <c r="AO8">
        <v>0.25756183999999999</v>
      </c>
      <c r="AP8">
        <v>0.1986350399999999</v>
      </c>
      <c r="AQ8">
        <v>2.2180939999999998</v>
      </c>
      <c r="AR8">
        <v>6.2489523999999998E-2</v>
      </c>
      <c r="AS8">
        <v>0.23581452</v>
      </c>
      <c r="AT8">
        <v>-22.668572000000001</v>
      </c>
    </row>
    <row r="9" spans="1:46" x14ac:dyDescent="0.25">
      <c r="A9">
        <v>7</v>
      </c>
      <c r="B9">
        <v>9.3669249999999842</v>
      </c>
      <c r="C9">
        <v>0.55155879120879114</v>
      </c>
      <c r="D9">
        <v>-0.49675347923317997</v>
      </c>
      <c r="E9">
        <v>-0.28858928872187778</v>
      </c>
      <c r="F9">
        <v>1.929960478437492</v>
      </c>
      <c r="G9">
        <v>10.875666000000001</v>
      </c>
      <c r="H9">
        <v>-10.091673999999999</v>
      </c>
      <c r="I9">
        <v>-7.5934106000000003</v>
      </c>
      <c r="J9">
        <v>9.1496934000000003</v>
      </c>
      <c r="K9">
        <v>6.0076062000000006</v>
      </c>
      <c r="L9">
        <v>-1.4866313600000001</v>
      </c>
      <c r="M9">
        <v>34.255257999999998</v>
      </c>
      <c r="N9">
        <v>-3.9649709999999998</v>
      </c>
      <c r="O9">
        <v>-17.19032</v>
      </c>
      <c r="P9">
        <v>41.349668000000001</v>
      </c>
      <c r="Q9">
        <v>1.163956</v>
      </c>
      <c r="R9">
        <v>12.686235999999999</v>
      </c>
      <c r="S9">
        <v>6.9678272000000003</v>
      </c>
      <c r="T9">
        <v>-10.078056</v>
      </c>
      <c r="U9">
        <v>-4.8550000000000759</v>
      </c>
      <c r="V9">
        <v>-30.505100000000091</v>
      </c>
      <c r="W9">
        <v>91.31065000000001</v>
      </c>
      <c r="X9">
        <v>140.95575000000011</v>
      </c>
      <c r="Y9">
        <v>-7.903550000000072</v>
      </c>
      <c r="Z9">
        <v>-187.16332499999999</v>
      </c>
      <c r="AA9">
        <v>-306.56650000000042</v>
      </c>
      <c r="AB9">
        <v>126.369</v>
      </c>
      <c r="AC9">
        <v>146.39999999999989</v>
      </c>
      <c r="AD9">
        <v>317.89899999999972</v>
      </c>
      <c r="AE9">
        <v>-46.219907499999991</v>
      </c>
      <c r="AF9">
        <v>360.50252499999999</v>
      </c>
      <c r="AG9">
        <v>830.35334999999998</v>
      </c>
      <c r="AH9">
        <v>-46.451499999999953</v>
      </c>
      <c r="AI9">
        <v>4.7828831999999997</v>
      </c>
      <c r="AJ9">
        <v>1.0938420600000001</v>
      </c>
      <c r="AK9">
        <v>-0.25702103999999998</v>
      </c>
      <c r="AL9">
        <v>28.936140000000002</v>
      </c>
      <c r="AM9">
        <v>-0.13339506000000009</v>
      </c>
      <c r="AN9">
        <v>0.65305715999999991</v>
      </c>
      <c r="AO9">
        <v>0.24420148</v>
      </c>
      <c r="AP9">
        <v>0.58089588000000003</v>
      </c>
      <c r="AQ9">
        <v>2.3500830000000001</v>
      </c>
      <c r="AR9">
        <v>7.3295228000000004E-2</v>
      </c>
      <c r="AS9">
        <v>0.22024494</v>
      </c>
      <c r="AT9">
        <v>-24.509684</v>
      </c>
    </row>
    <row r="10" spans="1:46" x14ac:dyDescent="0.25">
      <c r="A10">
        <v>8</v>
      </c>
      <c r="B10">
        <v>9.3663499999999793</v>
      </c>
      <c r="C10">
        <v>0.55111494505494507</v>
      </c>
      <c r="D10">
        <v>-0.47869887392054972</v>
      </c>
      <c r="E10">
        <v>-0.33296764744632878</v>
      </c>
      <c r="F10">
        <v>2.2378077331952801</v>
      </c>
      <c r="G10">
        <v>10.870516</v>
      </c>
      <c r="H10">
        <v>-10.123564</v>
      </c>
      <c r="I10">
        <v>-7.4982319999999998</v>
      </c>
      <c r="J10">
        <v>9.2974156000000008</v>
      </c>
      <c r="K10">
        <v>5.9996268000000006</v>
      </c>
      <c r="L10">
        <v>-1.6812895999999999</v>
      </c>
      <c r="M10">
        <v>33.937187999999999</v>
      </c>
      <c r="N10">
        <v>-3.8330464000000002</v>
      </c>
      <c r="O10">
        <v>-17.035955999999999</v>
      </c>
      <c r="P10">
        <v>41.681524000000003</v>
      </c>
      <c r="Q10">
        <v>1.11746736</v>
      </c>
      <c r="R10">
        <v>13.072480000000001</v>
      </c>
      <c r="S10">
        <v>7.8365620000000007</v>
      </c>
      <c r="T10">
        <v>-10.126344</v>
      </c>
      <c r="U10">
        <v>-5.1750000000000362</v>
      </c>
      <c r="V10">
        <v>-27.774000000000111</v>
      </c>
      <c r="W10">
        <v>86.273400000000009</v>
      </c>
      <c r="X10">
        <v>137.52780000000001</v>
      </c>
      <c r="Y10">
        <v>-10.89745000000009</v>
      </c>
      <c r="Z10">
        <v>-193.30152000000001</v>
      </c>
      <c r="AA10">
        <v>-312.8875000000005</v>
      </c>
      <c r="AB10">
        <v>126.41500000000001</v>
      </c>
      <c r="AC10">
        <v>139.96850000000001</v>
      </c>
      <c r="AD10">
        <v>319.12449999999973</v>
      </c>
      <c r="AE10">
        <v>-50.853594999999999</v>
      </c>
      <c r="AF10">
        <v>317.79250000000002</v>
      </c>
      <c r="AG10">
        <v>842.4161499999999</v>
      </c>
      <c r="AH10">
        <v>-72.966999999999956</v>
      </c>
      <c r="AI10">
        <v>5.0110239999999999</v>
      </c>
      <c r="AJ10">
        <v>0.95740276000000002</v>
      </c>
      <c r="AK10">
        <v>-0.23512084</v>
      </c>
      <c r="AL10">
        <v>30.875544000000001</v>
      </c>
      <c r="AM10">
        <v>-0.185836056</v>
      </c>
      <c r="AN10">
        <v>0.58670447999999997</v>
      </c>
      <c r="AO10">
        <v>0.23221159999999999</v>
      </c>
      <c r="AP10">
        <v>0.80995503999999996</v>
      </c>
      <c r="AQ10">
        <v>2.4676040000000001</v>
      </c>
      <c r="AR10">
        <v>8.5301372000000014E-2</v>
      </c>
      <c r="AS10">
        <v>0.206452</v>
      </c>
      <c r="AT10">
        <v>-26.145612</v>
      </c>
    </row>
    <row r="11" spans="1:46" x14ac:dyDescent="0.25">
      <c r="A11">
        <v>9</v>
      </c>
      <c r="B11">
        <v>9.3666749999999794</v>
      </c>
      <c r="C11">
        <v>0.55068494505494503</v>
      </c>
      <c r="D11">
        <v>-0.41418505633212088</v>
      </c>
      <c r="E11">
        <v>-0.32089212458464528</v>
      </c>
      <c r="F11">
        <v>2.3616622041075148</v>
      </c>
      <c r="G11">
        <v>10.864718</v>
      </c>
      <c r="H11">
        <v>-10.147822</v>
      </c>
      <c r="I11">
        <v>-7.4171509999999996</v>
      </c>
      <c r="J11">
        <v>9.434193800000001</v>
      </c>
      <c r="K11">
        <v>5.9831063999999996</v>
      </c>
      <c r="L11">
        <v>-1.8927008000000001</v>
      </c>
      <c r="M11">
        <v>33.601424000000002</v>
      </c>
      <c r="N11">
        <v>-3.7014421999999998</v>
      </c>
      <c r="O11">
        <v>-16.902238000000001</v>
      </c>
      <c r="P11">
        <v>42.015701999999997</v>
      </c>
      <c r="Q11">
        <v>1.05570878</v>
      </c>
      <c r="R11">
        <v>13.32169</v>
      </c>
      <c r="S11">
        <v>8.7303510000000006</v>
      </c>
      <c r="T11">
        <v>-10.247712</v>
      </c>
      <c r="U11">
        <v>-5.3375000000000039</v>
      </c>
      <c r="V11">
        <v>-25.008250000000089</v>
      </c>
      <c r="W11">
        <v>81.466324999999998</v>
      </c>
      <c r="X11">
        <v>132.36127500000001</v>
      </c>
      <c r="Y11">
        <v>-13.96447500000008</v>
      </c>
      <c r="Z11">
        <v>-198.68196</v>
      </c>
      <c r="AA11">
        <v>-320.44375000000042</v>
      </c>
      <c r="AB11">
        <v>125.2775</v>
      </c>
      <c r="AC11">
        <v>130.40049999999999</v>
      </c>
      <c r="AD11">
        <v>317.21349999999973</v>
      </c>
      <c r="AE11">
        <v>-57.595622499999998</v>
      </c>
      <c r="AF11">
        <v>262.55874999999997</v>
      </c>
      <c r="AG11">
        <v>843.72394999999995</v>
      </c>
      <c r="AH11">
        <v>-95.772249999999985</v>
      </c>
      <c r="AI11">
        <v>5.0769469999999997</v>
      </c>
      <c r="AJ11">
        <v>0.91394947999999998</v>
      </c>
      <c r="AK11">
        <v>-0.23167531999999999</v>
      </c>
      <c r="AL11">
        <v>32.061611999999997</v>
      </c>
      <c r="AM11">
        <v>-0.16039198800000001</v>
      </c>
      <c r="AN11">
        <v>0.57274404000000001</v>
      </c>
      <c r="AO11">
        <v>0.22330530000000001</v>
      </c>
      <c r="AP11">
        <v>0.69431041999999998</v>
      </c>
      <c r="AQ11">
        <v>2.5525720000000001</v>
      </c>
      <c r="AR11">
        <v>0.100008506</v>
      </c>
      <c r="AS11">
        <v>0.19665650000000001</v>
      </c>
      <c r="AT11">
        <v>-27.319876000000001</v>
      </c>
    </row>
    <row r="12" spans="1:46" x14ac:dyDescent="0.25">
      <c r="A12">
        <v>10</v>
      </c>
      <c r="B12">
        <v>9.3669999999999796</v>
      </c>
      <c r="C12">
        <v>0.5502549450549451</v>
      </c>
      <c r="D12">
        <v>-0.24494384352032339</v>
      </c>
      <c r="E12">
        <v>-0.19156984031705071</v>
      </c>
      <c r="F12">
        <v>2.37126572643374</v>
      </c>
      <c r="G12">
        <v>10.858919999999999</v>
      </c>
      <c r="H12">
        <v>-10.172079999999999</v>
      </c>
      <c r="I12">
        <v>-7.3360700000000003</v>
      </c>
      <c r="J12">
        <v>9.5709719999999994</v>
      </c>
      <c r="K12">
        <v>5.9665860000000004</v>
      </c>
      <c r="L12">
        <v>-2.1041120000000002</v>
      </c>
      <c r="M12">
        <v>33.265659999999997</v>
      </c>
      <c r="N12">
        <v>-3.5698379999999998</v>
      </c>
      <c r="O12">
        <v>-16.768519999999999</v>
      </c>
      <c r="P12">
        <v>42.349879999999999</v>
      </c>
      <c r="Q12">
        <v>0.99395020000000001</v>
      </c>
      <c r="R12">
        <v>13.5709</v>
      </c>
      <c r="S12">
        <v>9.6241400000000006</v>
      </c>
      <c r="T12">
        <v>-10.36908</v>
      </c>
      <c r="U12">
        <v>-5.4999999999999716</v>
      </c>
      <c r="V12">
        <v>-22.242500000000071</v>
      </c>
      <c r="W12">
        <v>76.659249999999986</v>
      </c>
      <c r="X12">
        <v>127.19475</v>
      </c>
      <c r="Y12">
        <v>-17.031500000000069</v>
      </c>
      <c r="Z12">
        <v>-204.0624</v>
      </c>
      <c r="AA12">
        <v>-328.0000000000004</v>
      </c>
      <c r="AB12">
        <v>124.14</v>
      </c>
      <c r="AC12">
        <v>120.8325</v>
      </c>
      <c r="AD12">
        <v>315.30249999999978</v>
      </c>
      <c r="AE12">
        <v>-64.337649999999996</v>
      </c>
      <c r="AF12">
        <v>207.3250000000001</v>
      </c>
      <c r="AG12">
        <v>845.03174999999987</v>
      </c>
      <c r="AH12">
        <v>-118.5775</v>
      </c>
      <c r="AI12">
        <v>5.1428700000000003</v>
      </c>
      <c r="AJ12">
        <v>0.87049619999999994</v>
      </c>
      <c r="AK12">
        <v>-0.22822980000000001</v>
      </c>
      <c r="AL12">
        <v>33.247680000000003</v>
      </c>
      <c r="AM12">
        <v>-0.13494792</v>
      </c>
      <c r="AN12">
        <v>0.55878360000000005</v>
      </c>
      <c r="AO12">
        <v>0.21439900000000001</v>
      </c>
      <c r="AP12">
        <v>0.57866580000000001</v>
      </c>
      <c r="AQ12">
        <v>2.63754</v>
      </c>
      <c r="AR12">
        <v>0.11471563999999999</v>
      </c>
      <c r="AS12">
        <v>0.186861</v>
      </c>
      <c r="AT12">
        <v>-28.494140000000002</v>
      </c>
    </row>
    <row r="13" spans="1:46" x14ac:dyDescent="0.25">
      <c r="A13">
        <v>11</v>
      </c>
      <c r="B13">
        <v>9.3673249999999779</v>
      </c>
      <c r="C13">
        <v>0.54982494505494506</v>
      </c>
      <c r="D13">
        <v>-5.4375363545434888E-2</v>
      </c>
      <c r="E13">
        <v>-0.1181695317567602</v>
      </c>
      <c r="F13">
        <v>2.2955471915126142</v>
      </c>
      <c r="G13">
        <v>10.853122000000001</v>
      </c>
      <c r="H13">
        <v>-10.196338000000001</v>
      </c>
      <c r="I13">
        <v>-7.2549890000000001</v>
      </c>
      <c r="J13">
        <v>9.7077501999999996</v>
      </c>
      <c r="K13">
        <v>5.9500655999999994</v>
      </c>
      <c r="L13">
        <v>-2.3155231999999999</v>
      </c>
      <c r="M13">
        <v>32.929895999999999</v>
      </c>
      <c r="N13">
        <v>-3.4382337999999999</v>
      </c>
      <c r="O13">
        <v>-16.634802000000001</v>
      </c>
      <c r="P13">
        <v>42.684058</v>
      </c>
      <c r="Q13">
        <v>0.93219162</v>
      </c>
      <c r="R13">
        <v>13.82011</v>
      </c>
      <c r="S13">
        <v>10.517929000000001</v>
      </c>
      <c r="T13">
        <v>-10.490448000000001</v>
      </c>
      <c r="U13">
        <v>-5.6624999999999392</v>
      </c>
      <c r="V13">
        <v>-19.476750000000049</v>
      </c>
      <c r="W13">
        <v>71.85217499999996</v>
      </c>
      <c r="X13">
        <v>122.02822500000001</v>
      </c>
      <c r="Y13">
        <v>-20.098525000000048</v>
      </c>
      <c r="Z13">
        <v>-209.44283999999999</v>
      </c>
      <c r="AA13">
        <v>-335.55625000000032</v>
      </c>
      <c r="AB13">
        <v>123.0025</v>
      </c>
      <c r="AC13">
        <v>111.2645</v>
      </c>
      <c r="AD13">
        <v>313.39149999999978</v>
      </c>
      <c r="AE13">
        <v>-71.079677500000003</v>
      </c>
      <c r="AF13">
        <v>152.09125000000009</v>
      </c>
      <c r="AG13">
        <v>846.3395499999998</v>
      </c>
      <c r="AH13">
        <v>-141.38274999999999</v>
      </c>
      <c r="AI13">
        <v>5.208793</v>
      </c>
      <c r="AJ13">
        <v>0.8270429199999999</v>
      </c>
      <c r="AK13">
        <v>-0.22478428</v>
      </c>
      <c r="AL13">
        <v>34.433748000000001</v>
      </c>
      <c r="AM13">
        <v>-0.109503852</v>
      </c>
      <c r="AN13">
        <v>0.54482316000000008</v>
      </c>
      <c r="AO13">
        <v>0.2054927</v>
      </c>
      <c r="AP13">
        <v>0.46302117999999998</v>
      </c>
      <c r="AQ13">
        <v>2.7225079999999999</v>
      </c>
      <c r="AR13">
        <v>0.12942277399999999</v>
      </c>
      <c r="AS13">
        <v>0.17706549999999999</v>
      </c>
      <c r="AT13">
        <v>-29.668403999999999</v>
      </c>
    </row>
    <row r="14" spans="1:46" x14ac:dyDescent="0.25">
      <c r="A14">
        <v>12</v>
      </c>
      <c r="B14">
        <v>9.3680999999999806</v>
      </c>
      <c r="C14">
        <v>0.54940760439560443</v>
      </c>
      <c r="D14">
        <v>2.338575933119371E-2</v>
      </c>
      <c r="E14">
        <v>-8.5284466315908317E-2</v>
      </c>
      <c r="F14">
        <v>2.2574230292277431</v>
      </c>
      <c r="G14">
        <v>10.847156</v>
      </c>
      <c r="H14">
        <v>-10.215472</v>
      </c>
      <c r="I14">
        <v>-7.1822587999999996</v>
      </c>
      <c r="J14">
        <v>9.8327480000000005</v>
      </c>
      <c r="K14">
        <v>5.9279147999999999</v>
      </c>
      <c r="L14">
        <v>-2.5356320000000001</v>
      </c>
      <c r="M14">
        <v>32.578028000000003</v>
      </c>
      <c r="N14">
        <v>-3.310616</v>
      </c>
      <c r="O14">
        <v>-16.522648</v>
      </c>
      <c r="P14">
        <v>43.009632000000003</v>
      </c>
      <c r="Q14">
        <v>0.85571936000000015</v>
      </c>
      <c r="R14">
        <v>13.956735999999999</v>
      </c>
      <c r="S14">
        <v>11.399844</v>
      </c>
      <c r="T14">
        <v>-10.6473</v>
      </c>
      <c r="U14">
        <v>-5.8039999999999292</v>
      </c>
      <c r="V14">
        <v>-16.714000000000031</v>
      </c>
      <c r="W14">
        <v>67.41304999999997</v>
      </c>
      <c r="X14">
        <v>115.8312</v>
      </c>
      <c r="Y14">
        <v>-23.080800000000039</v>
      </c>
      <c r="Z14">
        <v>-214.10130000000001</v>
      </c>
      <c r="AA14">
        <v>-344.44450000000018</v>
      </c>
      <c r="AB14">
        <v>120.75530000000001</v>
      </c>
      <c r="AC14">
        <v>100.03450000000009</v>
      </c>
      <c r="AD14">
        <v>308.83149999999989</v>
      </c>
      <c r="AE14">
        <v>-78.571101999999996</v>
      </c>
      <c r="AF14">
        <v>96.556000000000225</v>
      </c>
      <c r="AG14">
        <v>841.22599999999977</v>
      </c>
      <c r="AH14">
        <v>-160.36600000000001</v>
      </c>
      <c r="AI14">
        <v>5.1281648000000004</v>
      </c>
      <c r="AJ14">
        <v>0.84142039999999985</v>
      </c>
      <c r="AK14">
        <v>-0.22485115999999999</v>
      </c>
      <c r="AL14">
        <v>34.644360000000013</v>
      </c>
      <c r="AM14">
        <v>2.3541863999999722E-2</v>
      </c>
      <c r="AN14">
        <v>0.57367511999999998</v>
      </c>
      <c r="AO14">
        <v>0.20502899999999999</v>
      </c>
      <c r="AP14">
        <v>-6.1123119999998872E-2</v>
      </c>
      <c r="AQ14">
        <v>2.8282419999999999</v>
      </c>
      <c r="AR14">
        <v>0.13988576</v>
      </c>
      <c r="AS14">
        <v>0.17732828</v>
      </c>
      <c r="AT14">
        <v>-30.901479999999999</v>
      </c>
    </row>
    <row r="15" spans="1:46" x14ac:dyDescent="0.25">
      <c r="A15">
        <v>13</v>
      </c>
      <c r="B15">
        <v>9.3693999999999882</v>
      </c>
      <c r="C15">
        <v>0.54900503296703296</v>
      </c>
      <c r="D15">
        <v>8.1532908761232856E-2</v>
      </c>
      <c r="E15">
        <v>-9.8460412646135351E-2</v>
      </c>
      <c r="F15">
        <v>2.3046211121448801</v>
      </c>
      <c r="G15">
        <v>10.840994</v>
      </c>
      <c r="H15">
        <v>-10.228628</v>
      </c>
      <c r="I15">
        <v>-7.1192712</v>
      </c>
      <c r="J15">
        <v>9.9440019999999993</v>
      </c>
      <c r="K15">
        <v>5.8991951999999994</v>
      </c>
      <c r="L15">
        <v>-2.7658879999999999</v>
      </c>
      <c r="M15">
        <v>32.207371999999999</v>
      </c>
      <c r="N15">
        <v>-3.187649</v>
      </c>
      <c r="O15">
        <v>-16.435652000000001</v>
      </c>
      <c r="P15">
        <v>43.325167999999998</v>
      </c>
      <c r="Q15">
        <v>0.76208114000000005</v>
      </c>
      <c r="R15">
        <v>13.962014</v>
      </c>
      <c r="S15">
        <v>12.267906</v>
      </c>
      <c r="T15">
        <v>-10.845549999999999</v>
      </c>
      <c r="U15">
        <v>-5.9209999999999452</v>
      </c>
      <c r="V15">
        <v>-13.95474999999999</v>
      </c>
      <c r="W15">
        <v>63.403199999999998</v>
      </c>
      <c r="X15">
        <v>108.43192500000001</v>
      </c>
      <c r="Y15">
        <v>-25.964200000000019</v>
      </c>
      <c r="Z15">
        <v>-217.91745</v>
      </c>
      <c r="AA15">
        <v>-354.88675000000012</v>
      </c>
      <c r="AB15">
        <v>117.21344999999999</v>
      </c>
      <c r="AC15">
        <v>86.865500000000026</v>
      </c>
      <c r="AD15">
        <v>301.18099999999998</v>
      </c>
      <c r="AE15">
        <v>-86.936823000000004</v>
      </c>
      <c r="AF15">
        <v>40.669000000000139</v>
      </c>
      <c r="AG15">
        <v>828.62087499999984</v>
      </c>
      <c r="AH15">
        <v>-174.89025000000001</v>
      </c>
      <c r="AI15">
        <v>4.8765602000000001</v>
      </c>
      <c r="AJ15">
        <v>0.9232670999999999</v>
      </c>
      <c r="AK15">
        <v>-0.22901584</v>
      </c>
      <c r="AL15">
        <v>33.716940000000001</v>
      </c>
      <c r="AM15">
        <v>0.28212283599999988</v>
      </c>
      <c r="AN15">
        <v>0.65247487999999998</v>
      </c>
      <c r="AO15">
        <v>0.21441499999999999</v>
      </c>
      <c r="AP15">
        <v>-1.061850379999999</v>
      </c>
      <c r="AQ15">
        <v>2.9582030000000001</v>
      </c>
      <c r="AR15">
        <v>0.14539724000000001</v>
      </c>
      <c r="AS15">
        <v>0.18932572</v>
      </c>
      <c r="AT15">
        <v>-32.20317</v>
      </c>
    </row>
    <row r="16" spans="1:46" x14ac:dyDescent="0.25">
      <c r="A16">
        <v>14</v>
      </c>
      <c r="B16">
        <v>9.370699999999994</v>
      </c>
      <c r="C16">
        <v>0.54860246153846159</v>
      </c>
      <c r="D16">
        <v>0.11929832477640299</v>
      </c>
      <c r="E16">
        <v>-9.5389459789063172E-2</v>
      </c>
      <c r="F16">
        <v>2.454758596194782</v>
      </c>
      <c r="G16">
        <v>10.834832</v>
      </c>
      <c r="H16">
        <v>-10.241784000000001</v>
      </c>
      <c r="I16">
        <v>-7.0562836000000004</v>
      </c>
      <c r="J16">
        <v>10.055256</v>
      </c>
      <c r="K16">
        <v>5.8704755999999998</v>
      </c>
      <c r="L16">
        <v>-2.9961440000000001</v>
      </c>
      <c r="M16">
        <v>31.836715999999999</v>
      </c>
      <c r="N16">
        <v>-3.0646819999999999</v>
      </c>
      <c r="O16">
        <v>-16.348655999999998</v>
      </c>
      <c r="P16">
        <v>43.640703999999999</v>
      </c>
      <c r="Q16">
        <v>0.66844291999999994</v>
      </c>
      <c r="R16">
        <v>13.967292</v>
      </c>
      <c r="S16">
        <v>13.135968</v>
      </c>
      <c r="T16">
        <v>-11.043799999999999</v>
      </c>
      <c r="U16">
        <v>-6.0379999999999612</v>
      </c>
      <c r="V16">
        <v>-11.19549999999996</v>
      </c>
      <c r="W16">
        <v>59.393350000000027</v>
      </c>
      <c r="X16">
        <v>101.03265</v>
      </c>
      <c r="Y16">
        <v>-28.8476</v>
      </c>
      <c r="Z16">
        <v>-221.7336</v>
      </c>
      <c r="AA16">
        <v>-365.32900000000012</v>
      </c>
      <c r="AB16">
        <v>113.6716</v>
      </c>
      <c r="AC16">
        <v>73.6965</v>
      </c>
      <c r="AD16">
        <v>293.53050000000002</v>
      </c>
      <c r="AE16">
        <v>-95.302544000000012</v>
      </c>
      <c r="AF16">
        <v>-15.21799999999995</v>
      </c>
      <c r="AG16">
        <v>816.0157499999998</v>
      </c>
      <c r="AH16">
        <v>-189.4145</v>
      </c>
      <c r="AI16">
        <v>4.6249555999999998</v>
      </c>
      <c r="AJ16">
        <v>1.0051137999999999</v>
      </c>
      <c r="AK16">
        <v>-0.23318052</v>
      </c>
      <c r="AL16">
        <v>32.789520000000003</v>
      </c>
      <c r="AM16">
        <v>0.54070380800000006</v>
      </c>
      <c r="AN16">
        <v>0.73127463999999998</v>
      </c>
      <c r="AO16">
        <v>0.223801</v>
      </c>
      <c r="AP16">
        <v>-2.0625776400000002</v>
      </c>
      <c r="AQ16">
        <v>3.0881639999999999</v>
      </c>
      <c r="AR16">
        <v>0.15090872</v>
      </c>
      <c r="AS16">
        <v>0.20132316</v>
      </c>
      <c r="AT16">
        <v>-33.504860000000001</v>
      </c>
    </row>
    <row r="17" spans="1:46" x14ac:dyDescent="0.25">
      <c r="A17">
        <v>15</v>
      </c>
      <c r="B17">
        <v>9.3719999999999999</v>
      </c>
      <c r="C17">
        <v>0.54819989010989012</v>
      </c>
      <c r="D17">
        <v>0.13383804457462939</v>
      </c>
      <c r="E17">
        <v>-9.9892273268815501E-2</v>
      </c>
      <c r="F17">
        <v>2.544059102433621</v>
      </c>
      <c r="G17">
        <v>10.828670000000001</v>
      </c>
      <c r="H17">
        <v>-10.25494</v>
      </c>
      <c r="I17">
        <v>-6.993296</v>
      </c>
      <c r="J17">
        <v>10.166510000000001</v>
      </c>
      <c r="K17">
        <v>5.8417560000000002</v>
      </c>
      <c r="L17">
        <v>-3.2263999999999999</v>
      </c>
      <c r="M17">
        <v>31.466059999999999</v>
      </c>
      <c r="N17">
        <v>-2.9417149999999999</v>
      </c>
      <c r="O17">
        <v>-16.261659999999999</v>
      </c>
      <c r="P17">
        <v>43.956239999999987</v>
      </c>
      <c r="Q17">
        <v>0.57480469999999995</v>
      </c>
      <c r="R17">
        <v>13.972569999999999</v>
      </c>
      <c r="S17">
        <v>14.00403</v>
      </c>
      <c r="T17">
        <v>-11.242050000000001</v>
      </c>
      <c r="U17">
        <v>-6.1549999999999772</v>
      </c>
      <c r="V17">
        <v>-8.4362499999999212</v>
      </c>
      <c r="W17">
        <v>55.383500000000048</v>
      </c>
      <c r="X17">
        <v>93.633375000000015</v>
      </c>
      <c r="Y17">
        <v>-31.730999999999991</v>
      </c>
      <c r="Z17">
        <v>-225.54974999999999</v>
      </c>
      <c r="AA17">
        <v>-375.77125000000001</v>
      </c>
      <c r="AB17">
        <v>110.12975</v>
      </c>
      <c r="AC17">
        <v>60.527499999999968</v>
      </c>
      <c r="AD17">
        <v>285.88000000000011</v>
      </c>
      <c r="AE17">
        <v>-103.66826500000001</v>
      </c>
      <c r="AF17">
        <v>-71.105000000000004</v>
      </c>
      <c r="AG17">
        <v>803.41062499999975</v>
      </c>
      <c r="AH17">
        <v>-203.93875</v>
      </c>
      <c r="AI17">
        <v>4.3733510000000004</v>
      </c>
      <c r="AJ17">
        <v>1.0869605</v>
      </c>
      <c r="AK17">
        <v>-0.23734520000000001</v>
      </c>
      <c r="AL17">
        <v>31.862100000000002</v>
      </c>
      <c r="AM17">
        <v>0.79928478000000025</v>
      </c>
      <c r="AN17">
        <v>0.81007439999999997</v>
      </c>
      <c r="AO17">
        <v>0.23318700000000001</v>
      </c>
      <c r="AP17">
        <v>-3.0633049000000012</v>
      </c>
      <c r="AQ17">
        <v>3.2181250000000001</v>
      </c>
      <c r="AR17">
        <v>0.15642020000000001</v>
      </c>
      <c r="AS17">
        <v>0.2133206</v>
      </c>
      <c r="AT17">
        <v>-34.806550000000001</v>
      </c>
    </row>
    <row r="18" spans="1:46" x14ac:dyDescent="0.25">
      <c r="A18">
        <v>16</v>
      </c>
      <c r="B18">
        <v>9.3731000000000009</v>
      </c>
      <c r="C18">
        <v>0.54781885714285716</v>
      </c>
      <c r="D18">
        <v>0.1206034088225819</v>
      </c>
      <c r="E18">
        <v>-0.1077031119197186</v>
      </c>
      <c r="F18">
        <v>2.623858616771956</v>
      </c>
      <c r="G18">
        <v>10.822156</v>
      </c>
      <c r="H18">
        <v>-10.261343999999999</v>
      </c>
      <c r="I18">
        <v>-6.9389148</v>
      </c>
      <c r="J18">
        <v>10.257044</v>
      </c>
      <c r="K18">
        <v>5.8063484000000001</v>
      </c>
      <c r="L18">
        <v>-3.4638464</v>
      </c>
      <c r="M18">
        <v>31.065467999999999</v>
      </c>
      <c r="N18">
        <v>-2.8308696000000002</v>
      </c>
      <c r="O18">
        <v>-16.210743999999998</v>
      </c>
      <c r="P18">
        <v>44.245583999999987</v>
      </c>
      <c r="Q18">
        <v>0.45959963199999992</v>
      </c>
      <c r="R18">
        <v>13.852824</v>
      </c>
      <c r="S18">
        <v>14.825868</v>
      </c>
      <c r="T18">
        <v>-11.464492</v>
      </c>
      <c r="U18">
        <v>-6.3699999999999779</v>
      </c>
      <c r="V18">
        <v>-5.7209999999999246</v>
      </c>
      <c r="W18">
        <v>52.131450000000058</v>
      </c>
      <c r="X18">
        <v>85.189499999999981</v>
      </c>
      <c r="Y18">
        <v>-34.33659999999999</v>
      </c>
      <c r="Z18">
        <v>-228.14429999999999</v>
      </c>
      <c r="AA18">
        <v>-388.45549999999992</v>
      </c>
      <c r="AB18">
        <v>104.75790000000001</v>
      </c>
      <c r="AC18">
        <v>45.950499999999963</v>
      </c>
      <c r="AD18">
        <v>274.94549999999998</v>
      </c>
      <c r="AE18">
        <v>-112.01921400000001</v>
      </c>
      <c r="AF18">
        <v>-114.6360000000001</v>
      </c>
      <c r="AG18">
        <v>784.70849999999984</v>
      </c>
      <c r="AH18">
        <v>-212.7769999999999</v>
      </c>
      <c r="AI18">
        <v>4.2597943999999996</v>
      </c>
      <c r="AJ18">
        <v>1.1662912000000001</v>
      </c>
      <c r="AK18">
        <v>-0.24131675999999999</v>
      </c>
      <c r="AL18">
        <v>31.87668</v>
      </c>
      <c r="AM18">
        <v>0.98625916000000013</v>
      </c>
      <c r="AN18">
        <v>0.85858312000000003</v>
      </c>
      <c r="AO18">
        <v>0.2373362</v>
      </c>
      <c r="AP18">
        <v>-3.6580751999999999</v>
      </c>
      <c r="AQ18">
        <v>3.3332700000000002</v>
      </c>
      <c r="AR18">
        <v>0.16564815999999999</v>
      </c>
      <c r="AS18">
        <v>0.21872316</v>
      </c>
      <c r="AT18">
        <v>-35.632863999999998</v>
      </c>
    </row>
    <row r="19" spans="1:46" x14ac:dyDescent="0.25">
      <c r="A19">
        <v>17</v>
      </c>
      <c r="B19">
        <v>9.3740750000000013</v>
      </c>
      <c r="C19">
        <v>0.5474512857142857</v>
      </c>
      <c r="D19">
        <v>9.3822480651700832E-2</v>
      </c>
      <c r="E19">
        <v>-0.13212520914263129</v>
      </c>
      <c r="F19">
        <v>2.7227801970534031</v>
      </c>
      <c r="G19">
        <v>10.815422</v>
      </c>
      <c r="H19">
        <v>-10.263528000000001</v>
      </c>
      <c r="I19">
        <v>-6.8899125999999997</v>
      </c>
      <c r="J19">
        <v>10.334628</v>
      </c>
      <c r="K19">
        <v>5.7667608000000001</v>
      </c>
      <c r="L19">
        <v>-3.7057867999999998</v>
      </c>
      <c r="M19">
        <v>30.646166000000001</v>
      </c>
      <c r="N19">
        <v>-2.7276001999999999</v>
      </c>
      <c r="O19">
        <v>-16.182378</v>
      </c>
      <c r="P19">
        <v>44.518557999999999</v>
      </c>
      <c r="Q19">
        <v>0.33091528399999998</v>
      </c>
      <c r="R19">
        <v>13.654938</v>
      </c>
      <c r="S19">
        <v>15.618816000000001</v>
      </c>
      <c r="T19">
        <v>-11.702054</v>
      </c>
      <c r="U19">
        <v>-6.6462499999999691</v>
      </c>
      <c r="V19">
        <v>-3.0332499999999571</v>
      </c>
      <c r="W19">
        <v>49.353025000000059</v>
      </c>
      <c r="X19">
        <v>76.092749999999953</v>
      </c>
      <c r="Y19">
        <v>-36.768574999999998</v>
      </c>
      <c r="Z19">
        <v>-229.97534999999999</v>
      </c>
      <c r="AA19">
        <v>-402.54099999999988</v>
      </c>
      <c r="AB19">
        <v>98.242300000000029</v>
      </c>
      <c r="AC19">
        <v>30.49349999999998</v>
      </c>
      <c r="AD19">
        <v>261.95850000000007</v>
      </c>
      <c r="AE19">
        <v>-120.36093049999999</v>
      </c>
      <c r="AF19">
        <v>-150.44450000000001</v>
      </c>
      <c r="AG19">
        <v>762.19574999999986</v>
      </c>
      <c r="AH19">
        <v>-218.06149999999991</v>
      </c>
      <c r="AI19">
        <v>4.2325178000000001</v>
      </c>
      <c r="AJ19">
        <v>1.2440494</v>
      </c>
      <c r="AK19">
        <v>-0.24516762</v>
      </c>
      <c r="AL19">
        <v>32.48001</v>
      </c>
      <c r="AM19">
        <v>1.1284794199999999</v>
      </c>
      <c r="AN19">
        <v>0.88815993999999998</v>
      </c>
      <c r="AO19">
        <v>0.23821239999999999</v>
      </c>
      <c r="AP19">
        <v>-3.9991224000000001</v>
      </c>
      <c r="AQ19">
        <v>3.439155</v>
      </c>
      <c r="AR19">
        <v>0.17719892000000001</v>
      </c>
      <c r="AS19">
        <v>0.22000391999999999</v>
      </c>
      <c r="AT19">
        <v>-36.162067999999998</v>
      </c>
    </row>
    <row r="20" spans="1:46" x14ac:dyDescent="0.25">
      <c r="A20">
        <v>18</v>
      </c>
      <c r="B20">
        <v>9.3750499999999999</v>
      </c>
      <c r="C20">
        <v>0.54708371428571423</v>
      </c>
      <c r="D20">
        <v>7.2890417160738838E-2</v>
      </c>
      <c r="E20">
        <v>-0.15382284559860809</v>
      </c>
      <c r="F20">
        <v>2.8545915219184961</v>
      </c>
      <c r="G20">
        <v>10.808688</v>
      </c>
      <c r="H20">
        <v>-10.265712000000001</v>
      </c>
      <c r="I20">
        <v>-6.8409104000000003</v>
      </c>
      <c r="J20">
        <v>10.412212</v>
      </c>
      <c r="K20">
        <v>5.7271731999999993</v>
      </c>
      <c r="L20">
        <v>-3.947727200000001</v>
      </c>
      <c r="M20">
        <v>30.226863999999999</v>
      </c>
      <c r="N20">
        <v>-2.6243308000000001</v>
      </c>
      <c r="O20">
        <v>-16.154012000000002</v>
      </c>
      <c r="P20">
        <v>44.791531999999997</v>
      </c>
      <c r="Q20">
        <v>0.20223093599999981</v>
      </c>
      <c r="R20">
        <v>13.457051999999999</v>
      </c>
      <c r="S20">
        <v>16.411764000000002</v>
      </c>
      <c r="T20">
        <v>-11.939615999999999</v>
      </c>
      <c r="U20">
        <v>-6.9224999999999612</v>
      </c>
      <c r="V20">
        <v>-0.34549999999998082</v>
      </c>
      <c r="W20">
        <v>46.574600000000054</v>
      </c>
      <c r="X20">
        <v>66.995999999999881</v>
      </c>
      <c r="Y20">
        <v>-39.200550000000021</v>
      </c>
      <c r="Z20">
        <v>-231.80639999999991</v>
      </c>
      <c r="AA20">
        <v>-416.62649999999991</v>
      </c>
      <c r="AB20">
        <v>91.726700000000022</v>
      </c>
      <c r="AC20">
        <v>15.03649999999994</v>
      </c>
      <c r="AD20">
        <v>248.97150000000011</v>
      </c>
      <c r="AE20">
        <v>-128.70264700000001</v>
      </c>
      <c r="AF20">
        <v>-186.25300000000021</v>
      </c>
      <c r="AG20">
        <v>739.68299999999988</v>
      </c>
      <c r="AH20">
        <v>-223.34599999999989</v>
      </c>
      <c r="AI20">
        <v>4.2052411999999997</v>
      </c>
      <c r="AJ20">
        <v>1.3218076000000001</v>
      </c>
      <c r="AK20">
        <v>-0.24901847999999999</v>
      </c>
      <c r="AL20">
        <v>33.08334</v>
      </c>
      <c r="AM20">
        <v>1.2706996800000001</v>
      </c>
      <c r="AN20">
        <v>0.91773676000000004</v>
      </c>
      <c r="AO20">
        <v>0.23908860000000001</v>
      </c>
      <c r="AP20">
        <v>-4.3401696000000012</v>
      </c>
      <c r="AQ20">
        <v>3.5450400000000002</v>
      </c>
      <c r="AR20">
        <v>0.18874968</v>
      </c>
      <c r="AS20">
        <v>0.22128468000000001</v>
      </c>
      <c r="AT20">
        <v>-36.691271999999998</v>
      </c>
    </row>
    <row r="21" spans="1:46" x14ac:dyDescent="0.25">
      <c r="A21">
        <v>19</v>
      </c>
      <c r="B21">
        <v>9.3760249999999985</v>
      </c>
      <c r="C21">
        <v>0.54671614285714287</v>
      </c>
      <c r="D21">
        <v>6.7554819522810575E-2</v>
      </c>
      <c r="E21">
        <v>-0.16768357339659859</v>
      </c>
      <c r="F21">
        <v>2.978696705838034</v>
      </c>
      <c r="G21">
        <v>10.801954</v>
      </c>
      <c r="H21">
        <v>-10.267896</v>
      </c>
      <c r="I21">
        <v>-6.7919082</v>
      </c>
      <c r="J21">
        <v>10.489796</v>
      </c>
      <c r="K21">
        <v>5.6875855999999994</v>
      </c>
      <c r="L21">
        <v>-4.1896675999999999</v>
      </c>
      <c r="M21">
        <v>29.807562000000001</v>
      </c>
      <c r="N21">
        <v>-2.5210613999999998</v>
      </c>
      <c r="O21">
        <v>-16.125646</v>
      </c>
      <c r="P21">
        <v>45.064505999999987</v>
      </c>
      <c r="Q21">
        <v>7.3546587999999913E-2</v>
      </c>
      <c r="R21">
        <v>13.259166</v>
      </c>
      <c r="S21">
        <v>17.204712000000001</v>
      </c>
      <c r="T21">
        <v>-12.177178</v>
      </c>
      <c r="U21">
        <v>-7.1987499999999516</v>
      </c>
      <c r="V21">
        <v>2.342249999999988</v>
      </c>
      <c r="W21">
        <v>43.796175000000048</v>
      </c>
      <c r="X21">
        <v>57.899249999999853</v>
      </c>
      <c r="Y21">
        <v>-41.63252500000003</v>
      </c>
      <c r="Z21">
        <v>-233.63744999999989</v>
      </c>
      <c r="AA21">
        <v>-430.71199999999982</v>
      </c>
      <c r="AB21">
        <v>85.21110000000003</v>
      </c>
      <c r="AC21">
        <v>-0.42050000000004673</v>
      </c>
      <c r="AD21">
        <v>235.98450000000011</v>
      </c>
      <c r="AE21">
        <v>-137.0443635</v>
      </c>
      <c r="AF21">
        <v>-222.06150000000011</v>
      </c>
      <c r="AG21">
        <v>717.17025000000001</v>
      </c>
      <c r="AH21">
        <v>-228.6304999999999</v>
      </c>
      <c r="AI21">
        <v>4.1779646000000001</v>
      </c>
      <c r="AJ21">
        <v>1.3995658</v>
      </c>
      <c r="AK21">
        <v>-0.25286934</v>
      </c>
      <c r="AL21">
        <v>33.686669999999999</v>
      </c>
      <c r="AM21">
        <v>1.4129199400000001</v>
      </c>
      <c r="AN21">
        <v>0.94731357999999999</v>
      </c>
      <c r="AO21">
        <v>0.23996480000000001</v>
      </c>
      <c r="AP21">
        <v>-4.6812168000000014</v>
      </c>
      <c r="AQ21">
        <v>3.650925</v>
      </c>
      <c r="AR21">
        <v>0.20030044</v>
      </c>
      <c r="AS21">
        <v>0.22256544</v>
      </c>
      <c r="AT21">
        <v>-37.220475999999998</v>
      </c>
    </row>
    <row r="22" spans="1:46" x14ac:dyDescent="0.25">
      <c r="A22">
        <v>20</v>
      </c>
      <c r="B22">
        <v>9.3764999999999983</v>
      </c>
      <c r="C22">
        <v>0.54638010989010988</v>
      </c>
      <c r="D22">
        <v>7.3000109587070913E-2</v>
      </c>
      <c r="E22">
        <v>-0.16795314910402101</v>
      </c>
      <c r="F22">
        <v>3.075477691412384</v>
      </c>
      <c r="G22">
        <v>10.79396</v>
      </c>
      <c r="H22">
        <v>-10.261979999999999</v>
      </c>
      <c r="I22">
        <v>-6.7492459999999994</v>
      </c>
      <c r="J22">
        <v>10.5373</v>
      </c>
      <c r="K22">
        <v>5.6413919999999997</v>
      </c>
      <c r="L22">
        <v>-4.4338879999999996</v>
      </c>
      <c r="M22">
        <v>29.338999999999999</v>
      </c>
      <c r="N22">
        <v>-2.442736</v>
      </c>
      <c r="O22">
        <v>-16.147300000000001</v>
      </c>
      <c r="P22">
        <v>45.290299999999988</v>
      </c>
      <c r="Q22">
        <v>-7.9512840000000334E-2</v>
      </c>
      <c r="R22">
        <v>12.997199999999999</v>
      </c>
      <c r="S22">
        <v>17.916899999999998</v>
      </c>
      <c r="T22">
        <v>-12.417020000000001</v>
      </c>
      <c r="U22">
        <v>-7.7574999999999523</v>
      </c>
      <c r="V22">
        <v>4.9249999999999847</v>
      </c>
      <c r="W22">
        <v>42.246500000000033</v>
      </c>
      <c r="X22">
        <v>48.094999999999843</v>
      </c>
      <c r="Y22">
        <v>-43.587750000000021</v>
      </c>
      <c r="Z22">
        <v>-233.6687499999999</v>
      </c>
      <c r="AA22">
        <v>-447.46249999999981</v>
      </c>
      <c r="AB22">
        <v>76.336000000000013</v>
      </c>
      <c r="AC22">
        <v>-16.670000000000091</v>
      </c>
      <c r="AD22">
        <v>220.2675000000001</v>
      </c>
      <c r="AE22">
        <v>-144.33675500000001</v>
      </c>
      <c r="AF22">
        <v>-232.28250000000011</v>
      </c>
      <c r="AG22">
        <v>690.47749999999996</v>
      </c>
      <c r="AH22">
        <v>-227.8549999999999</v>
      </c>
      <c r="AI22">
        <v>4.1057419999999993</v>
      </c>
      <c r="AJ22">
        <v>1.4614339999999999</v>
      </c>
      <c r="AK22">
        <v>-0.25536360000000002</v>
      </c>
      <c r="AL22">
        <v>33.869879999999988</v>
      </c>
      <c r="AM22">
        <v>1.56345</v>
      </c>
      <c r="AN22">
        <v>0.9684912</v>
      </c>
      <c r="AO22">
        <v>0.24018900000000001</v>
      </c>
      <c r="AP22">
        <v>-4.8448359999999999</v>
      </c>
      <c r="AQ22">
        <v>3.7342919999999999</v>
      </c>
      <c r="AR22">
        <v>0.2138922</v>
      </c>
      <c r="AS22">
        <v>0.21979299999999999</v>
      </c>
      <c r="AT22">
        <v>-37.08802</v>
      </c>
    </row>
    <row r="23" spans="1:46" x14ac:dyDescent="0.25">
      <c r="A23">
        <v>21</v>
      </c>
      <c r="B23">
        <v>9.3768249999999984</v>
      </c>
      <c r="C23">
        <v>0.54605353846153848</v>
      </c>
      <c r="D23">
        <v>9.2439244594968897E-2</v>
      </c>
      <c r="E23">
        <v>-0.1562054029215143</v>
      </c>
      <c r="F23">
        <v>3.1429041042581169</v>
      </c>
      <c r="G23">
        <v>10.785588000000001</v>
      </c>
      <c r="H23">
        <v>-10.253634</v>
      </c>
      <c r="I23">
        <v>-6.7084858000000001</v>
      </c>
      <c r="J23">
        <v>10.57578</v>
      </c>
      <c r="K23">
        <v>5.5932165999999999</v>
      </c>
      <c r="L23">
        <v>-4.6787923999999999</v>
      </c>
      <c r="M23">
        <v>28.85566</v>
      </c>
      <c r="N23">
        <v>-2.3718938000000001</v>
      </c>
      <c r="O23">
        <v>-16.183959999999999</v>
      </c>
      <c r="P23">
        <v>45.501939999999998</v>
      </c>
      <c r="Q23">
        <v>-0.23988479200000001</v>
      </c>
      <c r="R23">
        <v>12.716010000000001</v>
      </c>
      <c r="S23">
        <v>18.604859999999999</v>
      </c>
      <c r="T23">
        <v>-12.657546</v>
      </c>
      <c r="U23">
        <v>-8.4009999999999518</v>
      </c>
      <c r="V23">
        <v>7.476249999999979</v>
      </c>
      <c r="W23">
        <v>41.065449999999998</v>
      </c>
      <c r="X23">
        <v>38.078499999999892</v>
      </c>
      <c r="Y23">
        <v>-45.39994999999999</v>
      </c>
      <c r="Z23">
        <v>-233.16012499999999</v>
      </c>
      <c r="AA23">
        <v>-465.01249999999982</v>
      </c>
      <c r="AB23">
        <v>66.75305000000003</v>
      </c>
      <c r="AC23">
        <v>-33.157250000000083</v>
      </c>
      <c r="AD23">
        <v>203.7315000000001</v>
      </c>
      <c r="AE23">
        <v>-151.31434899999999</v>
      </c>
      <c r="AF23">
        <v>-234.82724999999999</v>
      </c>
      <c r="AG23">
        <v>662.53075000000013</v>
      </c>
      <c r="AH23">
        <v>-225.26150000000001</v>
      </c>
      <c r="AI23">
        <v>4.0200355999999999</v>
      </c>
      <c r="AJ23">
        <v>1.5185352000000001</v>
      </c>
      <c r="AK23">
        <v>-0.25745087999999999</v>
      </c>
      <c r="AL23">
        <v>33.927053999999998</v>
      </c>
      <c r="AM23">
        <v>1.7164729999999999</v>
      </c>
      <c r="AN23">
        <v>0.98714906000000002</v>
      </c>
      <c r="AO23">
        <v>0.2402176</v>
      </c>
      <c r="AP23">
        <v>-4.9552268000000002</v>
      </c>
      <c r="AQ23">
        <v>3.8109036000000001</v>
      </c>
      <c r="AR23">
        <v>0.22809626</v>
      </c>
      <c r="AS23">
        <v>0.21580460000000001</v>
      </c>
      <c r="AT23">
        <v>-36.757065999999988</v>
      </c>
    </row>
    <row r="24" spans="1:46" x14ac:dyDescent="0.25">
      <c r="A24">
        <v>22</v>
      </c>
      <c r="B24">
        <v>9.3771499999999985</v>
      </c>
      <c r="C24">
        <v>0.54572696703296697</v>
      </c>
      <c r="D24">
        <v>0.11411121131766951</v>
      </c>
      <c r="E24">
        <v>-0.13783485395161371</v>
      </c>
      <c r="F24">
        <v>3.187909382841152</v>
      </c>
      <c r="G24">
        <v>10.777215999999999</v>
      </c>
      <c r="H24">
        <v>-10.245288</v>
      </c>
      <c r="I24">
        <v>-6.6677255999999998</v>
      </c>
      <c r="J24">
        <v>10.61426</v>
      </c>
      <c r="K24">
        <v>5.5450412</v>
      </c>
      <c r="L24">
        <v>-4.9236968000000001</v>
      </c>
      <c r="M24">
        <v>28.372319999999998</v>
      </c>
      <c r="N24">
        <v>-2.3010516000000001</v>
      </c>
      <c r="O24">
        <v>-16.22062</v>
      </c>
      <c r="P24">
        <v>45.71358</v>
      </c>
      <c r="Q24">
        <v>-0.40025674400000022</v>
      </c>
      <c r="R24">
        <v>12.43482</v>
      </c>
      <c r="S24">
        <v>19.292819999999999</v>
      </c>
      <c r="T24">
        <v>-12.898072000000001</v>
      </c>
      <c r="U24">
        <v>-9.0444999999999531</v>
      </c>
      <c r="V24">
        <v>10.02749999999998</v>
      </c>
      <c r="W24">
        <v>39.884399999999971</v>
      </c>
      <c r="X24">
        <v>28.061999999999891</v>
      </c>
      <c r="Y24">
        <v>-47.212149999999973</v>
      </c>
      <c r="Z24">
        <v>-232.6515</v>
      </c>
      <c r="AA24">
        <v>-482.56249999999977</v>
      </c>
      <c r="AB24">
        <v>57.170100000000012</v>
      </c>
      <c r="AC24">
        <v>-49.644500000000122</v>
      </c>
      <c r="AD24">
        <v>187.19550000000001</v>
      </c>
      <c r="AE24">
        <v>-158.291943</v>
      </c>
      <c r="AF24">
        <v>-237.37200000000001</v>
      </c>
      <c r="AG24">
        <v>634.58400000000017</v>
      </c>
      <c r="AH24">
        <v>-222.66800000000001</v>
      </c>
      <c r="AI24">
        <v>3.9343292000000001</v>
      </c>
      <c r="AJ24">
        <v>1.5756364</v>
      </c>
      <c r="AK24">
        <v>-0.25953816000000002</v>
      </c>
      <c r="AL24">
        <v>33.984228000000002</v>
      </c>
      <c r="AM24">
        <v>1.869496</v>
      </c>
      <c r="AN24">
        <v>1.0058069199999999</v>
      </c>
      <c r="AO24">
        <v>0.24024619999999999</v>
      </c>
      <c r="AP24">
        <v>-5.0656176000000004</v>
      </c>
      <c r="AQ24">
        <v>3.8875152000000002</v>
      </c>
      <c r="AR24">
        <v>0.24230032000000001</v>
      </c>
      <c r="AS24">
        <v>0.21181620000000001</v>
      </c>
      <c r="AT24">
        <v>-36.426112000000003</v>
      </c>
    </row>
    <row r="25" spans="1:46" x14ac:dyDescent="0.25">
      <c r="A25">
        <v>23</v>
      </c>
      <c r="B25">
        <v>9.3774749999999969</v>
      </c>
      <c r="C25">
        <v>0.54540039560439557</v>
      </c>
      <c r="D25">
        <v>0.13330254783367479</v>
      </c>
      <c r="E25">
        <v>-0.12217093906156271</v>
      </c>
      <c r="F25">
        <v>3.242353581879255</v>
      </c>
      <c r="G25">
        <v>10.768844</v>
      </c>
      <c r="H25">
        <v>-10.236942000000001</v>
      </c>
      <c r="I25">
        <v>-6.6269653999999996</v>
      </c>
      <c r="J25">
        <v>10.65274</v>
      </c>
      <c r="K25">
        <v>5.4968657999999992</v>
      </c>
      <c r="L25">
        <v>-5.1686011999999986</v>
      </c>
      <c r="M25">
        <v>27.88898</v>
      </c>
      <c r="N25">
        <v>-2.2302094000000001</v>
      </c>
      <c r="O25">
        <v>-16.257280000000002</v>
      </c>
      <c r="P25">
        <v>45.925220000000003</v>
      </c>
      <c r="Q25">
        <v>-0.56062869599999976</v>
      </c>
      <c r="R25">
        <v>12.15363</v>
      </c>
      <c r="S25">
        <v>19.980779999999999</v>
      </c>
      <c r="T25">
        <v>-13.138598</v>
      </c>
      <c r="U25">
        <v>-9.6879999999999544</v>
      </c>
      <c r="V25">
        <v>12.57874999999998</v>
      </c>
      <c r="W25">
        <v>38.703349999999944</v>
      </c>
      <c r="X25">
        <v>18.04549999999994</v>
      </c>
      <c r="Y25">
        <v>-49.024349999999949</v>
      </c>
      <c r="Z25">
        <v>-232.142875</v>
      </c>
      <c r="AA25">
        <v>-500.11249999999973</v>
      </c>
      <c r="AB25">
        <v>47.587150000000022</v>
      </c>
      <c r="AC25">
        <v>-66.131750000000096</v>
      </c>
      <c r="AD25">
        <v>170.65950000000001</v>
      </c>
      <c r="AE25">
        <v>-165.26953700000001</v>
      </c>
      <c r="AF25">
        <v>-239.91675000000001</v>
      </c>
      <c r="AG25">
        <v>606.63725000000034</v>
      </c>
      <c r="AH25">
        <v>-220.0745</v>
      </c>
      <c r="AI25">
        <v>3.8486227999999998</v>
      </c>
      <c r="AJ25">
        <v>1.6327376</v>
      </c>
      <c r="AK25">
        <v>-0.26162543999999999</v>
      </c>
      <c r="AL25">
        <v>34.041401999999998</v>
      </c>
      <c r="AM25">
        <v>2.022519</v>
      </c>
      <c r="AN25">
        <v>1.02446478</v>
      </c>
      <c r="AO25">
        <v>0.24027480000000001</v>
      </c>
      <c r="AP25">
        <v>-5.1760083999999997</v>
      </c>
      <c r="AQ25">
        <v>3.9641267999999998</v>
      </c>
      <c r="AR25">
        <v>0.25650437999999998</v>
      </c>
      <c r="AS25">
        <v>0.20782780000000001</v>
      </c>
      <c r="AT25">
        <v>-36.095157999999998</v>
      </c>
    </row>
    <row r="26" spans="1:46" x14ac:dyDescent="0.25">
      <c r="A26">
        <v>24</v>
      </c>
      <c r="B26">
        <v>9.3774999999999977</v>
      </c>
      <c r="C26">
        <v>0.54511575824175817</v>
      </c>
      <c r="D26">
        <v>0.14313085928906519</v>
      </c>
      <c r="E26">
        <v>-0.1108182051158865</v>
      </c>
      <c r="F26">
        <v>3.308557129239198</v>
      </c>
      <c r="G26">
        <v>10.757232</v>
      </c>
      <c r="H26">
        <v>-10.219476</v>
      </c>
      <c r="I26">
        <v>-6.5873188000000003</v>
      </c>
      <c r="J26">
        <v>10.653347999999999</v>
      </c>
      <c r="K26">
        <v>5.4432352000000002</v>
      </c>
      <c r="L26">
        <v>-5.4070135999999991</v>
      </c>
      <c r="M26">
        <v>27.335152000000001</v>
      </c>
      <c r="N26">
        <v>-2.2002008000000002</v>
      </c>
      <c r="O26">
        <v>-16.355668000000001</v>
      </c>
      <c r="P26">
        <v>46.071364000000003</v>
      </c>
      <c r="Q26">
        <v>-0.74327739999999953</v>
      </c>
      <c r="R26">
        <v>11.930543999999999</v>
      </c>
      <c r="S26">
        <v>20.559276000000001</v>
      </c>
      <c r="T26">
        <v>-13.357236</v>
      </c>
      <c r="U26">
        <v>-10.847499999999981</v>
      </c>
      <c r="V26">
        <v>14.94399999999998</v>
      </c>
      <c r="W26">
        <v>39.238899999999937</v>
      </c>
      <c r="X26">
        <v>8.0679999999999854</v>
      </c>
      <c r="Y26">
        <v>-50.270149999999937</v>
      </c>
      <c r="Z26">
        <v>-229.24685000000011</v>
      </c>
      <c r="AA26">
        <v>-519.62149999999974</v>
      </c>
      <c r="AB26">
        <v>35.714600000000019</v>
      </c>
      <c r="AC26">
        <v>-82.649000000000029</v>
      </c>
      <c r="AD26">
        <v>152.88150000000019</v>
      </c>
      <c r="AE26">
        <v>-170.42821900000001</v>
      </c>
      <c r="AF26">
        <v>-212.98650000000001</v>
      </c>
      <c r="AG26">
        <v>576.69550000000038</v>
      </c>
      <c r="AH26">
        <v>-212.53399999999999</v>
      </c>
      <c r="AI26">
        <v>3.6142892000000009</v>
      </c>
      <c r="AJ26">
        <v>1.6430747999999999</v>
      </c>
      <c r="AK26">
        <v>-0.25830792000000002</v>
      </c>
      <c r="AL26">
        <v>32.521535999999998</v>
      </c>
      <c r="AM26">
        <v>2.228183599999999</v>
      </c>
      <c r="AN26">
        <v>1.0453328</v>
      </c>
      <c r="AO26">
        <v>0.2462482</v>
      </c>
      <c r="AP26">
        <v>-5.0628152000000002</v>
      </c>
      <c r="AQ26">
        <v>4.0280784000000001</v>
      </c>
      <c r="AR26">
        <v>0.26711467999999988</v>
      </c>
      <c r="AS26">
        <v>0.20823116</v>
      </c>
      <c r="AT26">
        <v>-35.177067999999998</v>
      </c>
    </row>
    <row r="27" spans="1:46" x14ac:dyDescent="0.25">
      <c r="A27">
        <v>25</v>
      </c>
      <c r="B27">
        <v>9.3774999999999977</v>
      </c>
      <c r="C27">
        <v>0.54483461538461531</v>
      </c>
      <c r="D27">
        <v>0.14157147955296659</v>
      </c>
      <c r="E27">
        <v>-0.1065076390848963</v>
      </c>
      <c r="F27">
        <v>3.3701169203307622</v>
      </c>
      <c r="G27">
        <v>10.74535</v>
      </c>
      <c r="H27">
        <v>-10.20125</v>
      </c>
      <c r="I27">
        <v>-6.5477650000000001</v>
      </c>
      <c r="J27">
        <v>10.6508</v>
      </c>
      <c r="K27">
        <v>5.3891499999999999</v>
      </c>
      <c r="L27">
        <v>-5.6448850000000004</v>
      </c>
      <c r="M27">
        <v>26.775449999999999</v>
      </c>
      <c r="N27">
        <v>-2.1735950000000002</v>
      </c>
      <c r="O27">
        <v>-16.459199999999999</v>
      </c>
      <c r="P27">
        <v>46.212049999999998</v>
      </c>
      <c r="Q27">
        <v>-0.92778249999999995</v>
      </c>
      <c r="R27">
        <v>11.712300000000001</v>
      </c>
      <c r="S27">
        <v>21.12865</v>
      </c>
      <c r="T27">
        <v>-13.57405</v>
      </c>
      <c r="U27">
        <v>-12.05</v>
      </c>
      <c r="V27">
        <v>17.293749999999999</v>
      </c>
      <c r="W27">
        <v>39.91749999999994</v>
      </c>
      <c r="X27">
        <v>-1.90625</v>
      </c>
      <c r="Y27">
        <v>-51.46874999999995</v>
      </c>
      <c r="Z27">
        <v>-226.15187499999999</v>
      </c>
      <c r="AA27">
        <v>-539.29374999999993</v>
      </c>
      <c r="AB27">
        <v>23.65124999999998</v>
      </c>
      <c r="AC27">
        <v>-99.168750000000017</v>
      </c>
      <c r="AD27">
        <v>135.0000000000002</v>
      </c>
      <c r="AE27">
        <v>-175.43532500000001</v>
      </c>
      <c r="AF27">
        <v>-183.6</v>
      </c>
      <c r="AG27">
        <v>546.5875000000002</v>
      </c>
      <c r="AH27">
        <v>-204.58125000000001</v>
      </c>
      <c r="AI27">
        <v>3.3675700000000002</v>
      </c>
      <c r="AJ27">
        <v>1.6495150000000001</v>
      </c>
      <c r="AK27">
        <v>-0.25453999999999999</v>
      </c>
      <c r="AL27">
        <v>30.870249999999999</v>
      </c>
      <c r="AM27">
        <v>2.4382350000000002</v>
      </c>
      <c r="AN27">
        <v>1.0663849999999999</v>
      </c>
      <c r="AO27">
        <v>0.25271700000000002</v>
      </c>
      <c r="AP27">
        <v>-4.9309900000000004</v>
      </c>
      <c r="AQ27">
        <v>4.0909750000000003</v>
      </c>
      <c r="AR27">
        <v>0.27742549999999999</v>
      </c>
      <c r="AS27">
        <v>0.20900050000000001</v>
      </c>
      <c r="AT27">
        <v>-34.210050000000003</v>
      </c>
    </row>
    <row r="28" spans="1:46" x14ac:dyDescent="0.25">
      <c r="A28">
        <v>26</v>
      </c>
      <c r="B28">
        <v>9.3774999999999977</v>
      </c>
      <c r="C28">
        <v>0.54455347252747255</v>
      </c>
      <c r="D28">
        <v>0.13308680025169181</v>
      </c>
      <c r="E28">
        <v>-0.1093908113168499</v>
      </c>
      <c r="F28">
        <v>3.4219007488196089</v>
      </c>
      <c r="G28">
        <v>10.733468</v>
      </c>
      <c r="H28">
        <v>-10.183024</v>
      </c>
      <c r="I28">
        <v>-6.5082111999999999</v>
      </c>
      <c r="J28">
        <v>10.648251999999999</v>
      </c>
      <c r="K28">
        <v>5.3350647999999996</v>
      </c>
      <c r="L28">
        <v>-5.8827563999999999</v>
      </c>
      <c r="M28">
        <v>26.215748000000001</v>
      </c>
      <c r="N28">
        <v>-2.1469892000000002</v>
      </c>
      <c r="O28">
        <v>-16.562732</v>
      </c>
      <c r="P28">
        <v>46.352736</v>
      </c>
      <c r="Q28">
        <v>-1.1122875999999999</v>
      </c>
      <c r="R28">
        <v>11.494056</v>
      </c>
      <c r="S28">
        <v>21.698024</v>
      </c>
      <c r="T28">
        <v>-13.790863999999999</v>
      </c>
      <c r="U28">
        <v>-13.25250000000003</v>
      </c>
      <c r="V28">
        <v>19.6435</v>
      </c>
      <c r="W28">
        <v>40.596099999999943</v>
      </c>
      <c r="X28">
        <v>-11.88049999999995</v>
      </c>
      <c r="Y28">
        <v>-52.667349999999949</v>
      </c>
      <c r="Z28">
        <v>-223.05690000000001</v>
      </c>
      <c r="AA28">
        <v>-558.96600000000001</v>
      </c>
      <c r="AB28">
        <v>11.58789999999998</v>
      </c>
      <c r="AC28">
        <v>-115.68849999999991</v>
      </c>
      <c r="AD28">
        <v>117.1185000000004</v>
      </c>
      <c r="AE28">
        <v>-180.442431</v>
      </c>
      <c r="AF28">
        <v>-154.2135000000001</v>
      </c>
      <c r="AG28">
        <v>516.47950000000026</v>
      </c>
      <c r="AH28">
        <v>-196.62850000000009</v>
      </c>
      <c r="AI28">
        <v>3.1208507999999999</v>
      </c>
      <c r="AJ28">
        <v>1.6559552</v>
      </c>
      <c r="AK28">
        <v>-0.25077208000000001</v>
      </c>
      <c r="AL28">
        <v>29.218964</v>
      </c>
      <c r="AM28">
        <v>2.648286399999999</v>
      </c>
      <c r="AN28">
        <v>1.0874372000000001</v>
      </c>
      <c r="AO28">
        <v>0.25918580000000002</v>
      </c>
      <c r="AP28">
        <v>-4.7991647999999998</v>
      </c>
      <c r="AQ28">
        <v>4.1538716000000004</v>
      </c>
      <c r="AR28">
        <v>0.28773631999999999</v>
      </c>
      <c r="AS28">
        <v>0.20976984000000001</v>
      </c>
      <c r="AT28">
        <v>-33.243031999999999</v>
      </c>
    </row>
    <row r="29" spans="1:46" x14ac:dyDescent="0.25">
      <c r="A29">
        <v>27</v>
      </c>
      <c r="B29">
        <v>9.3775499999999976</v>
      </c>
      <c r="C29">
        <v>0.54427607692307689</v>
      </c>
      <c r="D29">
        <v>0.1205759813651967</v>
      </c>
      <c r="E29">
        <v>-0.113702612975679</v>
      </c>
      <c r="F29">
        <v>3.4791642677158419</v>
      </c>
      <c r="G29">
        <v>10.721116</v>
      </c>
      <c r="H29">
        <v>-10.164111999999999</v>
      </c>
      <c r="I29">
        <v>-6.4681470000000001</v>
      </c>
      <c r="J29">
        <v>10.642721999999999</v>
      </c>
      <c r="K29">
        <v>5.2806965999999997</v>
      </c>
      <c r="L29">
        <v>-6.1192642000000008</v>
      </c>
      <c r="M29">
        <v>25.649813999999999</v>
      </c>
      <c r="N29">
        <v>-2.1244041999999999</v>
      </c>
      <c r="O29">
        <v>-16.671285999999998</v>
      </c>
      <c r="P29">
        <v>46.487876</v>
      </c>
      <c r="Q29">
        <v>-1.2980176000000001</v>
      </c>
      <c r="R29">
        <v>11.289054</v>
      </c>
      <c r="S29">
        <v>22.257992000000002</v>
      </c>
      <c r="T29">
        <v>-14.004607999999999</v>
      </c>
      <c r="U29">
        <v>-14.51000000000006</v>
      </c>
      <c r="V29">
        <v>21.973300000000009</v>
      </c>
      <c r="W29">
        <v>41.428049999999942</v>
      </c>
      <c r="X29">
        <v>-21.770499999999931</v>
      </c>
      <c r="Y29">
        <v>-53.83454999999995</v>
      </c>
      <c r="Z29">
        <v>-219.75492499999999</v>
      </c>
      <c r="AA29">
        <v>-578.63325000000009</v>
      </c>
      <c r="AB29">
        <v>-0.5746500000000454</v>
      </c>
      <c r="AC29">
        <v>-132.14674999999991</v>
      </c>
      <c r="AD29">
        <v>99.263000000000417</v>
      </c>
      <c r="AE29">
        <v>-185.31121250000001</v>
      </c>
      <c r="AF29">
        <v>-123.44175</v>
      </c>
      <c r="AG29">
        <v>486.36400000000009</v>
      </c>
      <c r="AH29">
        <v>-188.41675000000001</v>
      </c>
      <c r="AI29">
        <v>2.8792111999999999</v>
      </c>
      <c r="AJ29">
        <v>1.6538762</v>
      </c>
      <c r="AK29">
        <v>-0.24609329999999999</v>
      </c>
      <c r="AL29">
        <v>27.588874000000001</v>
      </c>
      <c r="AM29">
        <v>2.8512271999999999</v>
      </c>
      <c r="AN29">
        <v>1.1057786000000001</v>
      </c>
      <c r="AO29">
        <v>0.26530236000000001</v>
      </c>
      <c r="AP29">
        <v>-4.6263787999999986</v>
      </c>
      <c r="AQ29">
        <v>4.2144092000000004</v>
      </c>
      <c r="AR29">
        <v>0.29810792000000003</v>
      </c>
      <c r="AS29">
        <v>0.20999192</v>
      </c>
      <c r="AT29">
        <v>-32.227038</v>
      </c>
    </row>
    <row r="30" spans="1:46" x14ac:dyDescent="0.25">
      <c r="A30">
        <v>28</v>
      </c>
      <c r="B30">
        <v>9.378200000000005</v>
      </c>
      <c r="C30">
        <v>0.54404364835164831</v>
      </c>
      <c r="D30">
        <v>0.1116669480167161</v>
      </c>
      <c r="E30">
        <v>-0.1172496132117591</v>
      </c>
      <c r="F30">
        <v>3.5463876431232322</v>
      </c>
      <c r="G30">
        <v>10.703124000000001</v>
      </c>
      <c r="H30">
        <v>-10.136968</v>
      </c>
      <c r="I30">
        <v>-6.4219580000000001</v>
      </c>
      <c r="J30">
        <v>10.601407999999999</v>
      </c>
      <c r="K30">
        <v>5.2229324000000004</v>
      </c>
      <c r="L30">
        <v>-6.3394088000000002</v>
      </c>
      <c r="M30">
        <v>25.009096</v>
      </c>
      <c r="N30">
        <v>-2.1500688000000001</v>
      </c>
      <c r="O30">
        <v>-16.840104</v>
      </c>
      <c r="P30">
        <v>46.556463999999998</v>
      </c>
      <c r="Q30">
        <v>-1.4984464</v>
      </c>
      <c r="R30">
        <v>11.242956</v>
      </c>
      <c r="S30">
        <v>22.705088</v>
      </c>
      <c r="T30">
        <v>-14.181512</v>
      </c>
      <c r="U30">
        <v>-16.42750000000003</v>
      </c>
      <c r="V30">
        <v>24.063700000000029</v>
      </c>
      <c r="W30">
        <v>44.100199999999951</v>
      </c>
      <c r="X30">
        <v>-30.6494999999999</v>
      </c>
      <c r="Y30">
        <v>-54.624949999999963</v>
      </c>
      <c r="Z30">
        <v>-213.96895000000001</v>
      </c>
      <c r="AA30">
        <v>-598.24050000000011</v>
      </c>
      <c r="AB30">
        <v>-13.927600000000011</v>
      </c>
      <c r="AC30">
        <v>-147.8669999999999</v>
      </c>
      <c r="AD30">
        <v>81.719500000000451</v>
      </c>
      <c r="AE30">
        <v>-188.52010000000001</v>
      </c>
      <c r="AF30">
        <v>-76.047000000000054</v>
      </c>
      <c r="AG30">
        <v>456.15850000000012</v>
      </c>
      <c r="AH30">
        <v>-177.09700000000009</v>
      </c>
      <c r="AI30">
        <v>2.6985267999999998</v>
      </c>
      <c r="AJ30">
        <v>1.5495668</v>
      </c>
      <c r="AK30">
        <v>-0.2304842</v>
      </c>
      <c r="AL30">
        <v>26.213135999999999</v>
      </c>
      <c r="AM30">
        <v>2.9688408000000002</v>
      </c>
      <c r="AN30">
        <v>1.0915904000000001</v>
      </c>
      <c r="AO30">
        <v>0.26719204000000002</v>
      </c>
      <c r="AP30">
        <v>-3.9620631999999998</v>
      </c>
      <c r="AQ30">
        <v>4.2466388000000004</v>
      </c>
      <c r="AR30">
        <v>0.30920888000000002</v>
      </c>
      <c r="AS30">
        <v>0.20364688</v>
      </c>
      <c r="AT30">
        <v>-30.623332000000001</v>
      </c>
    </row>
    <row r="31" spans="1:46" x14ac:dyDescent="0.25">
      <c r="A31">
        <v>29</v>
      </c>
      <c r="B31">
        <v>9.3788500000000123</v>
      </c>
      <c r="C31">
        <v>0.54381121978021973</v>
      </c>
      <c r="D31">
        <v>0.1091618546992353</v>
      </c>
      <c r="E31">
        <v>-0.11685550594179669</v>
      </c>
      <c r="F31">
        <v>3.5974933265680149</v>
      </c>
      <c r="G31">
        <v>10.685131999999999</v>
      </c>
      <c r="H31">
        <v>-10.109824</v>
      </c>
      <c r="I31">
        <v>-6.375769</v>
      </c>
      <c r="J31">
        <v>10.560093999999999</v>
      </c>
      <c r="K31">
        <v>5.1651682000000001</v>
      </c>
      <c r="L31">
        <v>-6.5595534000000004</v>
      </c>
      <c r="M31">
        <v>24.368378</v>
      </c>
      <c r="N31">
        <v>-2.1757333999999999</v>
      </c>
      <c r="O31">
        <v>-17.008921999999998</v>
      </c>
      <c r="P31">
        <v>46.625051999999997</v>
      </c>
      <c r="Q31">
        <v>-1.6988752</v>
      </c>
      <c r="R31">
        <v>11.196858000000001</v>
      </c>
      <c r="S31">
        <v>23.152183999999998</v>
      </c>
      <c r="T31">
        <v>-14.358416</v>
      </c>
      <c r="U31">
        <v>-18.34500000000001</v>
      </c>
      <c r="V31">
        <v>26.154100000000039</v>
      </c>
      <c r="W31">
        <v>46.772349999999967</v>
      </c>
      <c r="X31">
        <v>-39.528499999999887</v>
      </c>
      <c r="Y31">
        <v>-55.415349999999982</v>
      </c>
      <c r="Z31">
        <v>-208.182975</v>
      </c>
      <c r="AA31">
        <v>-617.84775000000025</v>
      </c>
      <c r="AB31">
        <v>-27.28055000000003</v>
      </c>
      <c r="AC31">
        <v>-163.5872499999999</v>
      </c>
      <c r="AD31">
        <v>64.176000000000428</v>
      </c>
      <c r="AE31">
        <v>-191.72898749999999</v>
      </c>
      <c r="AF31">
        <v>-28.65224999999997</v>
      </c>
      <c r="AG31">
        <v>425.95299999999997</v>
      </c>
      <c r="AH31">
        <v>-165.77725000000001</v>
      </c>
      <c r="AI31">
        <v>2.5178424000000001</v>
      </c>
      <c r="AJ31">
        <v>1.4452574</v>
      </c>
      <c r="AK31">
        <v>-0.21487510000000001</v>
      </c>
      <c r="AL31">
        <v>24.837398</v>
      </c>
      <c r="AM31">
        <v>3.0864544</v>
      </c>
      <c r="AN31">
        <v>1.0774022000000001</v>
      </c>
      <c r="AO31">
        <v>0.26908172000000002</v>
      </c>
      <c r="AP31">
        <v>-3.2977475999999979</v>
      </c>
      <c r="AQ31">
        <v>4.2788684000000003</v>
      </c>
      <c r="AR31">
        <v>0.32030984000000001</v>
      </c>
      <c r="AS31">
        <v>0.19730184000000001</v>
      </c>
      <c r="AT31">
        <v>-29.019625999999999</v>
      </c>
    </row>
    <row r="32" spans="1:46" x14ac:dyDescent="0.25">
      <c r="A32">
        <v>30</v>
      </c>
      <c r="B32">
        <v>9.3795000000000179</v>
      </c>
      <c r="C32">
        <v>0.54357879120879116</v>
      </c>
      <c r="D32">
        <v>0.1145308374930968</v>
      </c>
      <c r="E32">
        <v>-0.1165021569873141</v>
      </c>
      <c r="F32">
        <v>3.632171540929976</v>
      </c>
      <c r="G32">
        <v>10.66714</v>
      </c>
      <c r="H32">
        <v>-10.08268</v>
      </c>
      <c r="I32">
        <v>-6.32958</v>
      </c>
      <c r="J32">
        <v>10.51878</v>
      </c>
      <c r="K32">
        <v>5.1074039999999998</v>
      </c>
      <c r="L32">
        <v>-6.7796980000000007</v>
      </c>
      <c r="M32">
        <v>23.72766</v>
      </c>
      <c r="N32">
        <v>-2.2013980000000002</v>
      </c>
      <c r="O32">
        <v>-17.17774</v>
      </c>
      <c r="P32">
        <v>46.693640000000002</v>
      </c>
      <c r="Q32">
        <v>-1.8993040000000001</v>
      </c>
      <c r="R32">
        <v>11.15076</v>
      </c>
      <c r="S32">
        <v>23.59928</v>
      </c>
      <c r="T32">
        <v>-14.53532</v>
      </c>
      <c r="U32">
        <v>-20.262499999999989</v>
      </c>
      <c r="V32">
        <v>28.244500000000048</v>
      </c>
      <c r="W32">
        <v>49.444499999999977</v>
      </c>
      <c r="X32">
        <v>-48.407499999999857</v>
      </c>
      <c r="Y32">
        <v>-56.205749999999981</v>
      </c>
      <c r="Z32">
        <v>-202.39699999999999</v>
      </c>
      <c r="AA32">
        <v>-637.45500000000027</v>
      </c>
      <c r="AB32">
        <v>-40.633499999999998</v>
      </c>
      <c r="AC32">
        <v>-179.30749999999981</v>
      </c>
      <c r="AD32">
        <v>46.632500000000462</v>
      </c>
      <c r="AE32">
        <v>-194.93787499999999</v>
      </c>
      <c r="AF32">
        <v>18.742499999999961</v>
      </c>
      <c r="AG32">
        <v>395.7475</v>
      </c>
      <c r="AH32">
        <v>-154.45750000000001</v>
      </c>
      <c r="AI32">
        <v>2.3371580000000001</v>
      </c>
      <c r="AJ32">
        <v>1.340948</v>
      </c>
      <c r="AK32">
        <v>-0.199266</v>
      </c>
      <c r="AL32">
        <v>23.461659999999998</v>
      </c>
      <c r="AM32">
        <v>3.2040679999999999</v>
      </c>
      <c r="AN32">
        <v>1.0632140000000001</v>
      </c>
      <c r="AO32">
        <v>0.27097139999999997</v>
      </c>
      <c r="AP32">
        <v>-2.633432</v>
      </c>
      <c r="AQ32">
        <v>4.3110980000000003</v>
      </c>
      <c r="AR32">
        <v>0.33141080000000001</v>
      </c>
      <c r="AS32">
        <v>0.19095680000000001</v>
      </c>
      <c r="AT32">
        <v>-27.41592</v>
      </c>
    </row>
    <row r="33" spans="1:46" x14ac:dyDescent="0.25">
      <c r="A33">
        <v>31</v>
      </c>
      <c r="B33">
        <v>9.3804500000000228</v>
      </c>
      <c r="C33">
        <v>0.54335800000000001</v>
      </c>
      <c r="D33">
        <v>0.1295351011491816</v>
      </c>
      <c r="E33">
        <v>-0.11231828631784969</v>
      </c>
      <c r="F33">
        <v>3.654082181061983</v>
      </c>
      <c r="G33">
        <v>10.647017999999999</v>
      </c>
      <c r="H33">
        <v>-10.053734800000001</v>
      </c>
      <c r="I33">
        <v>-6.2799889999999996</v>
      </c>
      <c r="J33">
        <v>10.47002</v>
      </c>
      <c r="K33">
        <v>5.0490295999999999</v>
      </c>
      <c r="L33">
        <v>-6.9932516000000007</v>
      </c>
      <c r="M33">
        <v>23.06944</v>
      </c>
      <c r="N33">
        <v>-2.2396517999999999</v>
      </c>
      <c r="O33">
        <v>-17.360513999999998</v>
      </c>
      <c r="P33">
        <v>46.746478000000003</v>
      </c>
      <c r="Q33">
        <v>-2.101982200000001</v>
      </c>
      <c r="R33">
        <v>11.152434</v>
      </c>
      <c r="S33">
        <v>24.018830000000001</v>
      </c>
      <c r="T33">
        <v>-14.700536</v>
      </c>
      <c r="U33">
        <v>-22.367499999999971</v>
      </c>
      <c r="V33">
        <v>30.26680000000006</v>
      </c>
      <c r="W33">
        <v>52.574525000000001</v>
      </c>
      <c r="X33">
        <v>-56.807399999999859</v>
      </c>
      <c r="Y33">
        <v>-56.989324999999987</v>
      </c>
      <c r="Z33">
        <v>-196.00322499999999</v>
      </c>
      <c r="AA33">
        <v>-656.50725000000034</v>
      </c>
      <c r="AB33">
        <v>-53.951500000000017</v>
      </c>
      <c r="AC33">
        <v>-194.62649999999979</v>
      </c>
      <c r="AD33">
        <v>29.309500000000401</v>
      </c>
      <c r="AE33">
        <v>-197.814325</v>
      </c>
      <c r="AF33">
        <v>65.956500000000062</v>
      </c>
      <c r="AG33">
        <v>365.80299999999988</v>
      </c>
      <c r="AH33">
        <v>-142.56174999999999</v>
      </c>
      <c r="AI33">
        <v>2.1485872000000001</v>
      </c>
      <c r="AJ33">
        <v>1.214682019999999</v>
      </c>
      <c r="AK33">
        <v>-0.1806641119999999</v>
      </c>
      <c r="AL33">
        <v>21.937775999999999</v>
      </c>
      <c r="AM33">
        <v>3.3156246</v>
      </c>
      <c r="AN33">
        <v>1.0463334799999999</v>
      </c>
      <c r="AO33">
        <v>0.27281307999999999</v>
      </c>
      <c r="AP33">
        <v>-1.904448399999997</v>
      </c>
      <c r="AQ33">
        <v>4.3385708000000003</v>
      </c>
      <c r="AR33">
        <v>0.34250792000000002</v>
      </c>
      <c r="AS33">
        <v>0.18457318</v>
      </c>
      <c r="AT33">
        <v>-25.715152</v>
      </c>
    </row>
    <row r="34" spans="1:46" x14ac:dyDescent="0.25">
      <c r="A34">
        <v>32</v>
      </c>
      <c r="B34">
        <v>9.3824000000000218</v>
      </c>
      <c r="C34">
        <v>0.54317599999999999</v>
      </c>
      <c r="D34">
        <v>0.15114452653980309</v>
      </c>
      <c r="E34">
        <v>-0.1034361641315541</v>
      </c>
      <c r="F34">
        <v>3.6685970374756161</v>
      </c>
      <c r="G34">
        <v>10.619795999999999</v>
      </c>
      <c r="H34">
        <v>-10.018785599999999</v>
      </c>
      <c r="I34">
        <v>-6.2190580000000004</v>
      </c>
      <c r="J34">
        <v>10.39644</v>
      </c>
      <c r="K34">
        <v>4.9886211999999999</v>
      </c>
      <c r="L34">
        <v>-7.1848352000000002</v>
      </c>
      <c r="M34">
        <v>22.352879999999999</v>
      </c>
      <c r="N34">
        <v>-2.3198696000000001</v>
      </c>
      <c r="O34">
        <v>-17.589808000000001</v>
      </c>
      <c r="P34">
        <v>46.746816000000003</v>
      </c>
      <c r="Q34">
        <v>-2.3121583999999999</v>
      </c>
      <c r="R34">
        <v>11.313348</v>
      </c>
      <c r="S34">
        <v>24.34656</v>
      </c>
      <c r="T34">
        <v>-14.826791999999999</v>
      </c>
      <c r="U34">
        <v>-25.09749999999995</v>
      </c>
      <c r="V34">
        <v>32.062100000000036</v>
      </c>
      <c r="W34">
        <v>57.230800000000002</v>
      </c>
      <c r="X34">
        <v>-63.61029999999991</v>
      </c>
      <c r="Y34">
        <v>-57.750149999999998</v>
      </c>
      <c r="Z34">
        <v>-187.58345</v>
      </c>
      <c r="AA34">
        <v>-673.70950000000016</v>
      </c>
      <c r="AB34">
        <v>-67.153000000000006</v>
      </c>
      <c r="AC34">
        <v>-208.60799999999981</v>
      </c>
      <c r="AD34">
        <v>12.72150000000029</v>
      </c>
      <c r="AE34">
        <v>-199.58265</v>
      </c>
      <c r="AF34">
        <v>112.568</v>
      </c>
      <c r="AG34">
        <v>336.72849999999988</v>
      </c>
      <c r="AH34">
        <v>-128.74600000000001</v>
      </c>
      <c r="AI34">
        <v>1.9337283999999999</v>
      </c>
      <c r="AJ34">
        <v>1.0152274400000001</v>
      </c>
      <c r="AK34">
        <v>-0.15208626399999989</v>
      </c>
      <c r="AL34">
        <v>19.920072000000001</v>
      </c>
      <c r="AM34">
        <v>3.4069912000000002</v>
      </c>
      <c r="AN34">
        <v>1.0204785599999999</v>
      </c>
      <c r="AO34">
        <v>0.27449476</v>
      </c>
      <c r="AP34">
        <v>-0.95990479999999834</v>
      </c>
      <c r="AQ34">
        <v>4.3501875999999999</v>
      </c>
      <c r="AR34">
        <v>0.35359224</v>
      </c>
      <c r="AS34">
        <v>0.17806095999999999</v>
      </c>
      <c r="AT34">
        <v>-23.690843999999998</v>
      </c>
    </row>
    <row r="35" spans="1:46" x14ac:dyDescent="0.25">
      <c r="A35">
        <v>33</v>
      </c>
      <c r="B35">
        <v>9.3843500000000191</v>
      </c>
      <c r="C35">
        <v>0.54299400000000009</v>
      </c>
      <c r="D35">
        <v>0.1753839712831827</v>
      </c>
      <c r="E35">
        <v>-9.1202294112027973E-2</v>
      </c>
      <c r="F35">
        <v>3.672904331703315</v>
      </c>
      <c r="G35">
        <v>10.592574000000001</v>
      </c>
      <c r="H35">
        <v>-9.9838363999999995</v>
      </c>
      <c r="I35">
        <v>-6.1581270000000004</v>
      </c>
      <c r="J35">
        <v>10.32286</v>
      </c>
      <c r="K35">
        <v>4.9282127999999998</v>
      </c>
      <c r="L35">
        <v>-7.3764188000000006</v>
      </c>
      <c r="M35">
        <v>21.636320000000001</v>
      </c>
      <c r="N35">
        <v>-2.4000873999999999</v>
      </c>
      <c r="O35">
        <v>-17.819102000000001</v>
      </c>
      <c r="P35">
        <v>46.747154000000002</v>
      </c>
      <c r="Q35">
        <v>-2.5223346000000011</v>
      </c>
      <c r="R35">
        <v>11.474262</v>
      </c>
      <c r="S35">
        <v>24.674289999999999</v>
      </c>
      <c r="T35">
        <v>-14.953048000000001</v>
      </c>
      <c r="U35">
        <v>-27.827499999999951</v>
      </c>
      <c r="V35">
        <v>33.857400000000027</v>
      </c>
      <c r="W35">
        <v>61.887075000000017</v>
      </c>
      <c r="X35">
        <v>-70.413199999999989</v>
      </c>
      <c r="Y35">
        <v>-58.510975000000009</v>
      </c>
      <c r="Z35">
        <v>-179.16367500000001</v>
      </c>
      <c r="AA35">
        <v>-690.91175000000021</v>
      </c>
      <c r="AB35">
        <v>-80.35450000000003</v>
      </c>
      <c r="AC35">
        <v>-222.58949999999979</v>
      </c>
      <c r="AD35">
        <v>-3.8664999999998879</v>
      </c>
      <c r="AE35">
        <v>-201.35097500000001</v>
      </c>
      <c r="AF35">
        <v>159.17950000000019</v>
      </c>
      <c r="AG35">
        <v>307.65399999999983</v>
      </c>
      <c r="AH35">
        <v>-114.93025</v>
      </c>
      <c r="AI35">
        <v>1.718869599999999</v>
      </c>
      <c r="AJ35">
        <v>0.81577285999999916</v>
      </c>
      <c r="AK35">
        <v>-0.1235084159999999</v>
      </c>
      <c r="AL35">
        <v>17.902367999999989</v>
      </c>
      <c r="AM35">
        <v>3.4983578</v>
      </c>
      <c r="AN35">
        <v>0.99462363999999992</v>
      </c>
      <c r="AO35">
        <v>0.27617644000000002</v>
      </c>
      <c r="AP35">
        <v>-1.536119999999608E-2</v>
      </c>
      <c r="AQ35">
        <v>4.3618043999999996</v>
      </c>
      <c r="AR35">
        <v>0.36467655999999998</v>
      </c>
      <c r="AS35">
        <v>0.17154874000000001</v>
      </c>
      <c r="AT35">
        <v>-21.66653599999999</v>
      </c>
    </row>
    <row r="36" spans="1:46" x14ac:dyDescent="0.25">
      <c r="A36">
        <v>34</v>
      </c>
      <c r="B36">
        <v>9.3863000000000181</v>
      </c>
      <c r="C36">
        <v>0.54281200000000007</v>
      </c>
      <c r="D36">
        <v>0.1997904056179946</v>
      </c>
      <c r="E36">
        <v>-7.8403104052389649E-2</v>
      </c>
      <c r="F36">
        <v>3.673400323159838</v>
      </c>
      <c r="G36">
        <v>10.565352000000001</v>
      </c>
      <c r="H36">
        <v>-9.9488871999999997</v>
      </c>
      <c r="I36">
        <v>-6.0971960000000003</v>
      </c>
      <c r="J36">
        <v>10.249280000000001</v>
      </c>
      <c r="K36">
        <v>4.8678043999999998</v>
      </c>
      <c r="L36">
        <v>-7.5680024000000001</v>
      </c>
      <c r="M36">
        <v>20.91976</v>
      </c>
      <c r="N36">
        <v>-2.4803052000000001</v>
      </c>
      <c r="O36">
        <v>-18.048396</v>
      </c>
      <c r="P36">
        <v>46.747492000000001</v>
      </c>
      <c r="Q36">
        <v>-2.7325108</v>
      </c>
      <c r="R36">
        <v>11.635176</v>
      </c>
      <c r="S36">
        <v>25.002020000000002</v>
      </c>
      <c r="T36">
        <v>-15.079304</v>
      </c>
      <c r="U36">
        <v>-30.55749999999993</v>
      </c>
      <c r="V36">
        <v>35.65270000000001</v>
      </c>
      <c r="W36">
        <v>66.543350000000004</v>
      </c>
      <c r="X36">
        <v>-77.216100000000012</v>
      </c>
      <c r="Y36">
        <v>-59.271800000000013</v>
      </c>
      <c r="Z36">
        <v>-170.74390000000011</v>
      </c>
      <c r="AA36">
        <v>-708.11400000000003</v>
      </c>
      <c r="AB36">
        <v>-93.555999999999983</v>
      </c>
      <c r="AC36">
        <v>-236.57099999999971</v>
      </c>
      <c r="AD36">
        <v>-20.454499999999939</v>
      </c>
      <c r="AE36">
        <v>-203.11930000000001</v>
      </c>
      <c r="AF36">
        <v>205.79099999999991</v>
      </c>
      <c r="AG36">
        <v>278.5795</v>
      </c>
      <c r="AH36">
        <v>-101.11450000000001</v>
      </c>
      <c r="AI36">
        <v>1.5040108000000001</v>
      </c>
      <c r="AJ36">
        <v>0.61631828000000011</v>
      </c>
      <c r="AK36">
        <v>-9.4930568000000021E-2</v>
      </c>
      <c r="AL36">
        <v>15.884664000000001</v>
      </c>
      <c r="AM36">
        <v>3.5897244000000001</v>
      </c>
      <c r="AN36">
        <v>0.96876872000000003</v>
      </c>
      <c r="AO36">
        <v>0.27785811999999988</v>
      </c>
      <c r="AP36">
        <v>0.9291823999999993</v>
      </c>
      <c r="AQ36">
        <v>4.3734212000000001</v>
      </c>
      <c r="AR36">
        <v>0.37576088000000002</v>
      </c>
      <c r="AS36">
        <v>0.16503651999999999</v>
      </c>
      <c r="AT36">
        <v>-19.642227999999999</v>
      </c>
    </row>
    <row r="37" spans="1:46" x14ac:dyDescent="0.25">
      <c r="A37">
        <v>35</v>
      </c>
      <c r="B37">
        <v>9.3891250000000159</v>
      </c>
      <c r="C37">
        <v>0.54265000000000008</v>
      </c>
      <c r="D37">
        <v>0.22410199246375229</v>
      </c>
      <c r="E37">
        <v>-6.5694706534108374E-2</v>
      </c>
      <c r="F37">
        <v>3.670577522659908</v>
      </c>
      <c r="G37">
        <v>10.53328</v>
      </c>
      <c r="H37">
        <v>-9.9114159999999991</v>
      </c>
      <c r="I37">
        <v>-6.0276079999999999</v>
      </c>
      <c r="J37">
        <v>10.167178</v>
      </c>
      <c r="K37">
        <v>4.8060720000000003</v>
      </c>
      <c r="L37">
        <v>-7.7446640000000002</v>
      </c>
      <c r="M37">
        <v>20.17944</v>
      </c>
      <c r="N37">
        <v>-2.5801609999999999</v>
      </c>
      <c r="O37">
        <v>-18.297450000000001</v>
      </c>
      <c r="P37">
        <v>46.723039999999997</v>
      </c>
      <c r="Q37">
        <v>-2.944379000000001</v>
      </c>
      <c r="R37">
        <v>11.85989</v>
      </c>
      <c r="S37">
        <v>25.286200000000001</v>
      </c>
      <c r="T37">
        <v>-15.18253</v>
      </c>
      <c r="U37">
        <v>-33.61624999999993</v>
      </c>
      <c r="V37">
        <v>37.324874999999992</v>
      </c>
      <c r="W37">
        <v>71.904375000000016</v>
      </c>
      <c r="X37">
        <v>-82.918000000000049</v>
      </c>
      <c r="Y37">
        <v>-60.197125000000021</v>
      </c>
      <c r="Z37">
        <v>-161.40537499999999</v>
      </c>
      <c r="AA37">
        <v>-723.70625000000007</v>
      </c>
      <c r="AB37">
        <v>-106.20925</v>
      </c>
      <c r="AC37">
        <v>-249.4024999999998</v>
      </c>
      <c r="AD37">
        <v>-36.888750000000073</v>
      </c>
      <c r="AE37">
        <v>-204.18774999999999</v>
      </c>
      <c r="AF37">
        <v>245.86625000000001</v>
      </c>
      <c r="AG37">
        <v>249.93999999999991</v>
      </c>
      <c r="AH37">
        <v>-86.499999999999943</v>
      </c>
      <c r="AI37">
        <v>1.2455754999999999</v>
      </c>
      <c r="AJ37">
        <v>0.40746869999999968</v>
      </c>
      <c r="AK37">
        <v>-6.6210799999999959E-2</v>
      </c>
      <c r="AL37">
        <v>13.299135</v>
      </c>
      <c r="AM37">
        <v>3.6949179999999999</v>
      </c>
      <c r="AN37">
        <v>0.9518105</v>
      </c>
      <c r="AO37">
        <v>0.28207900000000002</v>
      </c>
      <c r="AP37">
        <v>1.9908350000000019</v>
      </c>
      <c r="AQ37">
        <v>4.383464</v>
      </c>
      <c r="AR37">
        <v>0.38442330000000002</v>
      </c>
      <c r="AS37">
        <v>0.1628568</v>
      </c>
      <c r="AT37">
        <v>-17.504670000000001</v>
      </c>
    </row>
    <row r="38" spans="1:46" x14ac:dyDescent="0.25">
      <c r="A38">
        <v>36</v>
      </c>
      <c r="B38">
        <v>9.3933500000000123</v>
      </c>
      <c r="C38">
        <v>0.54252</v>
      </c>
      <c r="D38">
        <v>0.2461875928569143</v>
      </c>
      <c r="E38">
        <v>-5.4790957977443801E-2</v>
      </c>
      <c r="F38">
        <v>3.6649284410182479</v>
      </c>
      <c r="G38">
        <v>10.493448000000001</v>
      </c>
      <c r="H38">
        <v>-9.8699095999999997</v>
      </c>
      <c r="I38">
        <v>-5.9441687999999999</v>
      </c>
      <c r="J38">
        <v>10.0714408</v>
      </c>
      <c r="K38">
        <v>4.7422211999999986</v>
      </c>
      <c r="L38">
        <v>-7.8974504000000012</v>
      </c>
      <c r="M38">
        <v>19.401104</v>
      </c>
      <c r="N38">
        <v>-2.7114376</v>
      </c>
      <c r="O38">
        <v>-18.578119999999998</v>
      </c>
      <c r="P38">
        <v>46.658923999999999</v>
      </c>
      <c r="Q38">
        <v>-3.1589544000000012</v>
      </c>
      <c r="R38">
        <v>12.186684</v>
      </c>
      <c r="S38">
        <v>25.500699999999998</v>
      </c>
      <c r="T38">
        <v>-15.248908</v>
      </c>
      <c r="U38">
        <v>-37.200999999999958</v>
      </c>
      <c r="V38">
        <v>38.800049999999978</v>
      </c>
      <c r="W38">
        <v>78.393000000000043</v>
      </c>
      <c r="X38">
        <v>-86.858300000000071</v>
      </c>
      <c r="Y38">
        <v>-61.385650000000027</v>
      </c>
      <c r="Z38">
        <v>-150.59684999999999</v>
      </c>
      <c r="AA38">
        <v>-736.72250000000008</v>
      </c>
      <c r="AB38">
        <v>-117.9853</v>
      </c>
      <c r="AC38">
        <v>-260.39399999999989</v>
      </c>
      <c r="AD38">
        <v>-53.077000000000133</v>
      </c>
      <c r="AE38">
        <v>-204.13640000000001</v>
      </c>
      <c r="AF38">
        <v>275.48350000000011</v>
      </c>
      <c r="AG38">
        <v>221.99649999999991</v>
      </c>
      <c r="AH38">
        <v>-70.607499999999888</v>
      </c>
      <c r="AI38">
        <v>0.91741779999999884</v>
      </c>
      <c r="AJ38">
        <v>0.18358711999999919</v>
      </c>
      <c r="AK38">
        <v>-3.7263959999999888E-2</v>
      </c>
      <c r="AL38">
        <v>9.8050859999999886</v>
      </c>
      <c r="AM38">
        <v>3.8222347999999999</v>
      </c>
      <c r="AN38">
        <v>0.94908700000000001</v>
      </c>
      <c r="AO38">
        <v>0.29036260000000003</v>
      </c>
      <c r="AP38">
        <v>3.2398620000000049</v>
      </c>
      <c r="AQ38">
        <v>4.3909883999999986</v>
      </c>
      <c r="AR38">
        <v>0.38921067999999998</v>
      </c>
      <c r="AS38">
        <v>0.16760907999999999</v>
      </c>
      <c r="AT38">
        <v>-15.185911999999989</v>
      </c>
    </row>
    <row r="39" spans="1:46" x14ac:dyDescent="0.25">
      <c r="A39">
        <v>37</v>
      </c>
      <c r="B39">
        <v>9.3975750000000087</v>
      </c>
      <c r="C39">
        <v>0.54239000000000004</v>
      </c>
      <c r="D39">
        <v>0.26888781658128791</v>
      </c>
      <c r="E39">
        <v>-4.8069055516929769E-2</v>
      </c>
      <c r="F39">
        <v>3.6578557768803242</v>
      </c>
      <c r="G39">
        <v>10.453616</v>
      </c>
      <c r="H39">
        <v>-9.8284031999999986</v>
      </c>
      <c r="I39">
        <v>-5.8607296</v>
      </c>
      <c r="J39">
        <v>9.9757035999999992</v>
      </c>
      <c r="K39">
        <v>4.6783703999999986</v>
      </c>
      <c r="L39">
        <v>-8.0502368000000022</v>
      </c>
      <c r="M39">
        <v>18.62276799999999</v>
      </c>
      <c r="N39">
        <v>-2.842714200000001</v>
      </c>
      <c r="O39">
        <v>-18.858789999999999</v>
      </c>
      <c r="P39">
        <v>46.594808</v>
      </c>
      <c r="Q39">
        <v>-3.3735298000000009</v>
      </c>
      <c r="R39">
        <v>12.513477999999999</v>
      </c>
      <c r="S39">
        <v>25.715199999999999</v>
      </c>
      <c r="T39">
        <v>-15.315286</v>
      </c>
      <c r="U39">
        <v>-40.785749999999979</v>
      </c>
      <c r="V39">
        <v>40.275224999999963</v>
      </c>
      <c r="W39">
        <v>84.881625000000057</v>
      </c>
      <c r="X39">
        <v>-90.798600000000093</v>
      </c>
      <c r="Y39">
        <v>-62.574175000000039</v>
      </c>
      <c r="Z39">
        <v>-139.78832499999999</v>
      </c>
      <c r="AA39">
        <v>-749.7387500000001</v>
      </c>
      <c r="AB39">
        <v>-129.76135000000011</v>
      </c>
      <c r="AC39">
        <v>-271.38550000000009</v>
      </c>
      <c r="AD39">
        <v>-69.265250000000194</v>
      </c>
      <c r="AE39">
        <v>-204.08505</v>
      </c>
      <c r="AF39">
        <v>305.10075000000018</v>
      </c>
      <c r="AG39">
        <v>194.0529999999998</v>
      </c>
      <c r="AH39">
        <v>-54.714999999999833</v>
      </c>
      <c r="AI39">
        <v>0.58926009999999807</v>
      </c>
      <c r="AJ39">
        <v>-4.029446000000142E-2</v>
      </c>
      <c r="AK39">
        <v>-8.3171199999998169E-3</v>
      </c>
      <c r="AL39">
        <v>6.3110369999999794</v>
      </c>
      <c r="AM39">
        <v>3.9495516000000008</v>
      </c>
      <c r="AN39">
        <v>0.94636350000000002</v>
      </c>
      <c r="AO39">
        <v>0.29864619999999997</v>
      </c>
      <c r="AP39">
        <v>4.4888890000000066</v>
      </c>
      <c r="AQ39">
        <v>4.3985127999999998</v>
      </c>
      <c r="AR39">
        <v>0.39399805999999998</v>
      </c>
      <c r="AS39">
        <v>0.17236135999999999</v>
      </c>
      <c r="AT39">
        <v>-12.86715399999999</v>
      </c>
    </row>
    <row r="40" spans="1:46" x14ac:dyDescent="0.25">
      <c r="A40">
        <v>38</v>
      </c>
      <c r="B40">
        <v>9.4018000000000033</v>
      </c>
      <c r="C40">
        <v>0.54226000000000008</v>
      </c>
      <c r="D40">
        <v>0.29098322078218691</v>
      </c>
      <c r="E40">
        <v>-4.5630929747684047E-2</v>
      </c>
      <c r="F40">
        <v>3.6497418207371841</v>
      </c>
      <c r="G40">
        <v>10.413784</v>
      </c>
      <c r="H40">
        <v>-9.7868967999999992</v>
      </c>
      <c r="I40">
        <v>-5.7772904</v>
      </c>
      <c r="J40">
        <v>9.8799663999999989</v>
      </c>
      <c r="K40">
        <v>4.6145195999999986</v>
      </c>
      <c r="L40">
        <v>-8.2030232000000005</v>
      </c>
      <c r="M40">
        <v>17.844432000000001</v>
      </c>
      <c r="N40">
        <v>-2.9739908000000002</v>
      </c>
      <c r="O40">
        <v>-19.13946</v>
      </c>
      <c r="P40">
        <v>46.530692000000002</v>
      </c>
      <c r="Q40">
        <v>-3.5881052000000002</v>
      </c>
      <c r="R40">
        <v>12.840272000000001</v>
      </c>
      <c r="S40">
        <v>25.9297</v>
      </c>
      <c r="T40">
        <v>-15.381664000000001</v>
      </c>
      <c r="U40">
        <v>-44.370499999999979</v>
      </c>
      <c r="V40">
        <v>41.750399999999928</v>
      </c>
      <c r="W40">
        <v>91.370250000000027</v>
      </c>
      <c r="X40">
        <v>-94.738900000000072</v>
      </c>
      <c r="Y40">
        <v>-63.762700000000052</v>
      </c>
      <c r="Z40">
        <v>-128.97980000000001</v>
      </c>
      <c r="AA40">
        <v>-762.75500000000011</v>
      </c>
      <c r="AB40">
        <v>-141.53739999999999</v>
      </c>
      <c r="AC40">
        <v>-282.37700000000018</v>
      </c>
      <c r="AD40">
        <v>-85.453500000000133</v>
      </c>
      <c r="AE40">
        <v>-204.03370000000001</v>
      </c>
      <c r="AF40">
        <v>334.71800000000007</v>
      </c>
      <c r="AG40">
        <v>166.10949999999991</v>
      </c>
      <c r="AH40">
        <v>-38.822499999999877</v>
      </c>
      <c r="AI40">
        <v>0.26110239999999968</v>
      </c>
      <c r="AJ40">
        <v>-0.26417604000000028</v>
      </c>
      <c r="AK40">
        <v>2.0629720000000028E-2</v>
      </c>
      <c r="AL40">
        <v>2.8169879999999972</v>
      </c>
      <c r="AM40">
        <v>4.0768684000000004</v>
      </c>
      <c r="AN40">
        <v>0.94364000000000003</v>
      </c>
      <c r="AO40">
        <v>0.30692979999999997</v>
      </c>
      <c r="AP40">
        <v>5.737916000000002</v>
      </c>
      <c r="AQ40">
        <v>4.4060372000000001</v>
      </c>
      <c r="AR40">
        <v>0.39878543999999999</v>
      </c>
      <c r="AS40">
        <v>0.17711363999999999</v>
      </c>
      <c r="AT40">
        <v>-10.548396</v>
      </c>
    </row>
    <row r="41" spans="1:46" x14ac:dyDescent="0.25">
      <c r="A41">
        <v>39</v>
      </c>
      <c r="B41">
        <v>9.407250000000003</v>
      </c>
      <c r="C41">
        <v>0.54215876923076922</v>
      </c>
      <c r="D41">
        <v>0.31239299655915109</v>
      </c>
      <c r="E41">
        <v>-4.7841711596682678E-2</v>
      </c>
      <c r="F41">
        <v>3.6435201735193981</v>
      </c>
      <c r="G41">
        <v>10.3653</v>
      </c>
      <c r="H41">
        <v>-9.7425666</v>
      </c>
      <c r="I41">
        <v>-5.6780200000000001</v>
      </c>
      <c r="J41">
        <v>9.7791863999999986</v>
      </c>
      <c r="K41">
        <v>4.5474025999999999</v>
      </c>
      <c r="L41">
        <v>-8.3301406</v>
      </c>
      <c r="M41">
        <v>17.043289999999999</v>
      </c>
      <c r="N41">
        <v>-3.1285018</v>
      </c>
      <c r="O41">
        <v>-19.439813999999998</v>
      </c>
      <c r="P41">
        <v>46.431547999999999</v>
      </c>
      <c r="Q41">
        <v>-3.8000906000000012</v>
      </c>
      <c r="R41">
        <v>13.205328</v>
      </c>
      <c r="S41">
        <v>26.084797999999999</v>
      </c>
      <c r="T41">
        <v>-15.411823999999999</v>
      </c>
      <c r="U41">
        <v>-48.40185000000001</v>
      </c>
      <c r="V41">
        <v>43.054249999999932</v>
      </c>
      <c r="W41">
        <v>98.693625000000054</v>
      </c>
      <c r="X41">
        <v>-96.87232500000006</v>
      </c>
      <c r="Y41">
        <v>-65.401150000000044</v>
      </c>
      <c r="Z41">
        <v>-117.1177749999999</v>
      </c>
      <c r="AA41">
        <v>-773.09375</v>
      </c>
      <c r="AB41">
        <v>-152.09912499999999</v>
      </c>
      <c r="AC41">
        <v>-290.94475000000023</v>
      </c>
      <c r="AD41">
        <v>-102.1230000000001</v>
      </c>
      <c r="AE41">
        <v>-202.1788</v>
      </c>
      <c r="AF41">
        <v>350.16375000000011</v>
      </c>
      <c r="AG41">
        <v>137.93499999999989</v>
      </c>
      <c r="AH41">
        <v>-22.21424999999984</v>
      </c>
      <c r="AI41">
        <v>-0.10977630000000139</v>
      </c>
      <c r="AJ41">
        <v>-0.51453036000000096</v>
      </c>
      <c r="AK41">
        <v>5.6290428000000142E-2</v>
      </c>
      <c r="AL41">
        <v>-1.2287870000000161</v>
      </c>
      <c r="AM41">
        <v>4.2208410000000001</v>
      </c>
      <c r="AN41">
        <v>0.93857444000000001</v>
      </c>
      <c r="AO41">
        <v>0.31522222000000011</v>
      </c>
      <c r="AP41">
        <v>7.2306494000000061</v>
      </c>
      <c r="AQ41">
        <v>4.4113607999999997</v>
      </c>
      <c r="AR41">
        <v>0.40215294000000001</v>
      </c>
      <c r="AS41">
        <v>0.18275184</v>
      </c>
      <c r="AT41">
        <v>-8.0647066599999899</v>
      </c>
    </row>
    <row r="42" spans="1:46" x14ac:dyDescent="0.25">
      <c r="A42">
        <v>40</v>
      </c>
      <c r="B42">
        <v>9.4137500000000038</v>
      </c>
      <c r="C42">
        <v>0.5420821978021978</v>
      </c>
      <c r="D42">
        <v>0.32924580006995258</v>
      </c>
      <c r="E42">
        <v>-5.2553862476435988E-2</v>
      </c>
      <c r="F42">
        <v>3.646233333802622</v>
      </c>
      <c r="G42">
        <v>10.3094</v>
      </c>
      <c r="H42">
        <v>-9.6958159999999989</v>
      </c>
      <c r="I42">
        <v>-5.5651799999999998</v>
      </c>
      <c r="J42">
        <v>9.6740839999999988</v>
      </c>
      <c r="K42">
        <v>4.4774859999999999</v>
      </c>
      <c r="L42">
        <v>-8.4352560000000008</v>
      </c>
      <c r="M42">
        <v>16.222599999999989</v>
      </c>
      <c r="N42">
        <v>-3.302928000000001</v>
      </c>
      <c r="O42">
        <v>-19.75704</v>
      </c>
      <c r="P42">
        <v>46.302379999999999</v>
      </c>
      <c r="Q42">
        <v>-4.009856000000001</v>
      </c>
      <c r="R42">
        <v>13.60318</v>
      </c>
      <c r="S42">
        <v>26.188980000000001</v>
      </c>
      <c r="T42">
        <v>-15.41094</v>
      </c>
      <c r="U42">
        <v>-52.816000000000052</v>
      </c>
      <c r="V42">
        <v>44.211249999999957</v>
      </c>
      <c r="W42">
        <v>106.7325000000001</v>
      </c>
      <c r="X42">
        <v>-97.457000000000036</v>
      </c>
      <c r="Y42">
        <v>-67.42525000000002</v>
      </c>
      <c r="Z42">
        <v>-104.3527499999999</v>
      </c>
      <c r="AA42">
        <v>-781.13750000000005</v>
      </c>
      <c r="AB42">
        <v>-161.62</v>
      </c>
      <c r="AC42">
        <v>-297.43500000000017</v>
      </c>
      <c r="AD42">
        <v>-119.2050000000001</v>
      </c>
      <c r="AE42">
        <v>-198.77799999999999</v>
      </c>
      <c r="AF42">
        <v>353.46250000000009</v>
      </c>
      <c r="AG42">
        <v>109.5624999999998</v>
      </c>
      <c r="AH42">
        <v>-4.9924999999998079</v>
      </c>
      <c r="AI42">
        <v>-0.51727300000000231</v>
      </c>
      <c r="AJ42">
        <v>-0.7875756000000016</v>
      </c>
      <c r="AK42">
        <v>9.7705880000000231E-2</v>
      </c>
      <c r="AL42">
        <v>-5.7474700000000274</v>
      </c>
      <c r="AM42">
        <v>4.3790900000000006</v>
      </c>
      <c r="AN42">
        <v>0.93150140000000003</v>
      </c>
      <c r="AO42">
        <v>0.32352219999999998</v>
      </c>
      <c r="AP42">
        <v>8.9322740000000103</v>
      </c>
      <c r="AQ42">
        <v>4.4147980000000002</v>
      </c>
      <c r="AR42">
        <v>0.40430339999999998</v>
      </c>
      <c r="AS42">
        <v>0.1891494</v>
      </c>
      <c r="AT42">
        <v>-5.4396475999999847</v>
      </c>
    </row>
    <row r="43" spans="1:46" x14ac:dyDescent="0.25">
      <c r="A43">
        <v>41</v>
      </c>
      <c r="B43">
        <v>9.4202500000000065</v>
      </c>
      <c r="C43">
        <v>0.54200562637362637</v>
      </c>
      <c r="D43">
        <v>0.34122680726376658</v>
      </c>
      <c r="E43">
        <v>-5.9931384427497791E-2</v>
      </c>
      <c r="F43">
        <v>3.6453150244743462</v>
      </c>
      <c r="G43">
        <v>10.253500000000001</v>
      </c>
      <c r="H43">
        <v>-9.6490653999999996</v>
      </c>
      <c r="I43">
        <v>-5.4523400000000004</v>
      </c>
      <c r="J43">
        <v>9.5689816000000008</v>
      </c>
      <c r="K43">
        <v>4.4075693999999999</v>
      </c>
      <c r="L43">
        <v>-8.5403713999999997</v>
      </c>
      <c r="M43">
        <v>15.401910000000001</v>
      </c>
      <c r="N43">
        <v>-3.4773542000000002</v>
      </c>
      <c r="O43">
        <v>-20.074266000000001</v>
      </c>
      <c r="P43">
        <v>46.173211999999999</v>
      </c>
      <c r="Q43">
        <v>-4.2196214000000003</v>
      </c>
      <c r="R43">
        <v>14.001032</v>
      </c>
      <c r="S43">
        <v>26.293161999999999</v>
      </c>
      <c r="T43">
        <v>-15.410056000000001</v>
      </c>
      <c r="U43">
        <v>-57.230150000000037</v>
      </c>
      <c r="V43">
        <v>45.368249999999968</v>
      </c>
      <c r="W43">
        <v>114.77137500000001</v>
      </c>
      <c r="X43">
        <v>-98.041675000000012</v>
      </c>
      <c r="Y43">
        <v>-69.449349999999995</v>
      </c>
      <c r="Z43">
        <v>-91.587724999999949</v>
      </c>
      <c r="AA43">
        <v>-789.18124999999986</v>
      </c>
      <c r="AB43">
        <v>-171.14087499999999</v>
      </c>
      <c r="AC43">
        <v>-303.92525000000018</v>
      </c>
      <c r="AD43">
        <v>-136.28699999999989</v>
      </c>
      <c r="AE43">
        <v>-195.37719999999999</v>
      </c>
      <c r="AF43">
        <v>356.76125000000008</v>
      </c>
      <c r="AG43">
        <v>81.189999999999856</v>
      </c>
      <c r="AH43">
        <v>12.2292500000001</v>
      </c>
      <c r="AI43">
        <v>-0.92476970000000036</v>
      </c>
      <c r="AJ43">
        <v>-1.0606208399999999</v>
      </c>
      <c r="AK43">
        <v>0.13912133199999999</v>
      </c>
      <c r="AL43">
        <v>-10.266152999999999</v>
      </c>
      <c r="AM43">
        <v>4.5373390000000002</v>
      </c>
      <c r="AN43">
        <v>0.92442835999999995</v>
      </c>
      <c r="AO43">
        <v>0.33182218000000002</v>
      </c>
      <c r="AP43">
        <v>10.6338986</v>
      </c>
      <c r="AQ43">
        <v>4.4182351999999998</v>
      </c>
      <c r="AR43">
        <v>0.40645386</v>
      </c>
      <c r="AS43">
        <v>0.19554695999999999</v>
      </c>
      <c r="AT43">
        <v>-2.8145885399999968</v>
      </c>
    </row>
    <row r="44" spans="1:46" x14ac:dyDescent="0.25">
      <c r="A44">
        <v>42</v>
      </c>
      <c r="B44">
        <v>9.4267500000000073</v>
      </c>
      <c r="C44">
        <v>0.54192905494505494</v>
      </c>
      <c r="D44">
        <v>0.34768200554634338</v>
      </c>
      <c r="E44">
        <v>-6.8036929019620412E-2</v>
      </c>
      <c r="F44">
        <v>3.6452158261830419</v>
      </c>
      <c r="G44">
        <v>10.1976</v>
      </c>
      <c r="H44">
        <v>-9.6023148000000003</v>
      </c>
      <c r="I44">
        <v>-5.3394999999999992</v>
      </c>
      <c r="J44">
        <v>9.4638791999999992</v>
      </c>
      <c r="K44">
        <v>4.3376527999999999</v>
      </c>
      <c r="L44">
        <v>-8.6454868000000005</v>
      </c>
      <c r="M44">
        <v>14.58122</v>
      </c>
      <c r="N44">
        <v>-3.6517804000000011</v>
      </c>
      <c r="O44">
        <v>-20.391492</v>
      </c>
      <c r="P44">
        <v>46.044044</v>
      </c>
      <c r="Q44">
        <v>-4.4293868000000014</v>
      </c>
      <c r="R44">
        <v>14.398884000000001</v>
      </c>
      <c r="S44">
        <v>26.397344</v>
      </c>
      <c r="T44">
        <v>-15.409172</v>
      </c>
      <c r="U44">
        <v>-61.644300000000072</v>
      </c>
      <c r="V44">
        <v>46.525249999999993</v>
      </c>
      <c r="W44">
        <v>122.8102500000001</v>
      </c>
      <c r="X44">
        <v>-98.626349999999988</v>
      </c>
      <c r="Y44">
        <v>-71.473449999999985</v>
      </c>
      <c r="Z44">
        <v>-78.822699999999898</v>
      </c>
      <c r="AA44">
        <v>-797.22499999999991</v>
      </c>
      <c r="AB44">
        <v>-180.66175000000001</v>
      </c>
      <c r="AC44">
        <v>-310.41550000000018</v>
      </c>
      <c r="AD44">
        <v>-153.36899999999989</v>
      </c>
      <c r="AE44">
        <v>-191.97640000000001</v>
      </c>
      <c r="AF44">
        <v>360.06000000000012</v>
      </c>
      <c r="AG44">
        <v>52.817499999999747</v>
      </c>
      <c r="AH44">
        <v>29.451000000000128</v>
      </c>
      <c r="AI44">
        <v>-1.3322664000000011</v>
      </c>
      <c r="AJ44">
        <v>-1.3336660800000011</v>
      </c>
      <c r="AK44">
        <v>0.18053678400000009</v>
      </c>
      <c r="AL44">
        <v>-14.784836000000009</v>
      </c>
      <c r="AM44">
        <v>4.6955880000000008</v>
      </c>
      <c r="AN44">
        <v>0.91735531999999997</v>
      </c>
      <c r="AO44">
        <v>0.34012216000000001</v>
      </c>
      <c r="AP44">
        <v>12.335523200000001</v>
      </c>
      <c r="AQ44">
        <v>4.4216723999999994</v>
      </c>
      <c r="AR44">
        <v>0.40860432000000002</v>
      </c>
      <c r="AS44">
        <v>0.20194451999999999</v>
      </c>
      <c r="AT44">
        <v>-0.18952947999999201</v>
      </c>
    </row>
    <row r="45" spans="1:46" x14ac:dyDescent="0.25">
      <c r="A45">
        <v>43</v>
      </c>
      <c r="B45">
        <v>9.4343750000000028</v>
      </c>
      <c r="C45">
        <v>0.54189006593406597</v>
      </c>
      <c r="D45">
        <v>0.35234316502372431</v>
      </c>
      <c r="E45">
        <v>-7.4725823393729601E-2</v>
      </c>
      <c r="F45">
        <v>3.6429522487990038</v>
      </c>
      <c r="G45">
        <v>10.128376400000001</v>
      </c>
      <c r="H45">
        <v>-9.5527867999999998</v>
      </c>
      <c r="I45">
        <v>-5.2024914000000004</v>
      </c>
      <c r="J45">
        <v>9.3620222000000002</v>
      </c>
      <c r="K45">
        <v>4.2607252000000004</v>
      </c>
      <c r="L45">
        <v>-8.7129066000000002</v>
      </c>
      <c r="M45">
        <v>13.745302000000001</v>
      </c>
      <c r="N45">
        <v>-3.8490648000000012</v>
      </c>
      <c r="O45">
        <v>-20.719356000000001</v>
      </c>
      <c r="P45">
        <v>45.865304000000002</v>
      </c>
      <c r="Q45">
        <v>-4.623647000000001</v>
      </c>
      <c r="R45">
        <v>14.765812</v>
      </c>
      <c r="S45">
        <v>26.420760000000001</v>
      </c>
      <c r="T45">
        <v>-15.359472</v>
      </c>
      <c r="U45">
        <v>-66.555475000000072</v>
      </c>
      <c r="V45">
        <v>47.483575000000009</v>
      </c>
      <c r="W45">
        <v>131.64945000000009</v>
      </c>
      <c r="X45">
        <v>-96.778099999999966</v>
      </c>
      <c r="Y45">
        <v>-74.240724999999983</v>
      </c>
      <c r="Z45">
        <v>-65.115824999999873</v>
      </c>
      <c r="AA45">
        <v>-801.97092499999985</v>
      </c>
      <c r="AB45">
        <v>-188.36215000000001</v>
      </c>
      <c r="AC45">
        <v>-312.83775000000009</v>
      </c>
      <c r="AD45">
        <v>-171.9224999999999</v>
      </c>
      <c r="AE45">
        <v>-184.81427500000001</v>
      </c>
      <c r="AF45">
        <v>344.43849999999992</v>
      </c>
      <c r="AG45">
        <v>22.379499999999702</v>
      </c>
      <c r="AH45">
        <v>46.726750000000109</v>
      </c>
      <c r="AI45">
        <v>-1.672753600000001</v>
      </c>
      <c r="AJ45">
        <v>-1.598580000000001</v>
      </c>
      <c r="AK45">
        <v>0.2230889000000002</v>
      </c>
      <c r="AL45">
        <v>-18.517900000000019</v>
      </c>
      <c r="AM45">
        <v>4.8119708000000001</v>
      </c>
      <c r="AN45">
        <v>0.89827573999999988</v>
      </c>
      <c r="AO45">
        <v>0.34634998</v>
      </c>
      <c r="AP45">
        <v>14.197490000000011</v>
      </c>
      <c r="AQ45">
        <v>4.4094333999999993</v>
      </c>
      <c r="AR45">
        <v>0.40995216000000001</v>
      </c>
      <c r="AS45">
        <v>0.20561976000000001</v>
      </c>
      <c r="AT45">
        <v>2.594404420000012</v>
      </c>
    </row>
    <row r="46" spans="1:46" x14ac:dyDescent="0.25">
      <c r="A46">
        <v>44</v>
      </c>
      <c r="B46">
        <v>9.4424999999999955</v>
      </c>
      <c r="C46">
        <v>0.54186778021978022</v>
      </c>
      <c r="D46">
        <v>0.3570007858486085</v>
      </c>
      <c r="E46">
        <v>-8.1284959441528803E-2</v>
      </c>
      <c r="F46">
        <v>3.640193260065411</v>
      </c>
      <c r="G46">
        <v>10.053231200000001</v>
      </c>
      <c r="H46">
        <v>-9.5020243999999998</v>
      </c>
      <c r="I46">
        <v>-5.0547411999999996</v>
      </c>
      <c r="J46">
        <v>9.2616075999999996</v>
      </c>
      <c r="K46">
        <v>4.1806815999999998</v>
      </c>
      <c r="L46">
        <v>-8.7635728000000004</v>
      </c>
      <c r="M46">
        <v>12.902616</v>
      </c>
      <c r="N46">
        <v>-4.0565084000000011</v>
      </c>
      <c r="O46">
        <v>-21.051947999999999</v>
      </c>
      <c r="P46">
        <v>45.664532000000001</v>
      </c>
      <c r="Q46">
        <v>-4.8110160000000004</v>
      </c>
      <c r="R46">
        <v>15.118995999999999</v>
      </c>
      <c r="S46">
        <v>26.408280000000001</v>
      </c>
      <c r="T46">
        <v>-15.288076</v>
      </c>
      <c r="U46">
        <v>-71.687550000000059</v>
      </c>
      <c r="V46">
        <v>48.353600000000043</v>
      </c>
      <c r="W46">
        <v>140.84434999999999</v>
      </c>
      <c r="X46">
        <v>-93.848549999999975</v>
      </c>
      <c r="Y46">
        <v>-77.33829999999999</v>
      </c>
      <c r="Z46">
        <v>-50.990349999999857</v>
      </c>
      <c r="AA46">
        <v>-805.25114999999994</v>
      </c>
      <c r="AB46">
        <v>-195.25344999999999</v>
      </c>
      <c r="AC46">
        <v>-313.45200000000011</v>
      </c>
      <c r="AD46">
        <v>-191.12999999999991</v>
      </c>
      <c r="AE46">
        <v>-175.98044999999999</v>
      </c>
      <c r="AF46">
        <v>320.4079999999999</v>
      </c>
      <c r="AG46">
        <v>-8.9765000000003283</v>
      </c>
      <c r="AH46">
        <v>64.026500000000098</v>
      </c>
      <c r="AI46">
        <v>-1.983458800000002</v>
      </c>
      <c r="AJ46">
        <v>-1.8598800000000011</v>
      </c>
      <c r="AK46">
        <v>0.26614620000000022</v>
      </c>
      <c r="AL46">
        <v>-21.901800000000019</v>
      </c>
      <c r="AM46">
        <v>4.9097464000000004</v>
      </c>
      <c r="AN46">
        <v>0.8738599199999999</v>
      </c>
      <c r="AO46">
        <v>0.35165684000000003</v>
      </c>
      <c r="AP46">
        <v>16.130720000000011</v>
      </c>
      <c r="AQ46">
        <v>4.3902271999999991</v>
      </c>
      <c r="AR46">
        <v>0.41094328000000002</v>
      </c>
      <c r="AS46">
        <v>0.20808508000000001</v>
      </c>
      <c r="AT46">
        <v>5.4489493600000136</v>
      </c>
    </row>
    <row r="47" spans="1:46" x14ac:dyDescent="0.25">
      <c r="A47">
        <v>45</v>
      </c>
      <c r="B47">
        <v>9.4506249999999881</v>
      </c>
      <c r="C47">
        <v>0.54184549450549446</v>
      </c>
      <c r="D47">
        <v>0.36357624030538072</v>
      </c>
      <c r="E47">
        <v>-8.7047805860426694E-2</v>
      </c>
      <c r="F47">
        <v>3.6324818981571569</v>
      </c>
      <c r="G47">
        <v>9.9780859999999993</v>
      </c>
      <c r="H47">
        <v>-9.4512619999999998</v>
      </c>
      <c r="I47">
        <v>-4.9069910000000014</v>
      </c>
      <c r="J47">
        <v>9.1611930000000008</v>
      </c>
      <c r="K47">
        <v>4.100638</v>
      </c>
      <c r="L47">
        <v>-8.8142390000000006</v>
      </c>
      <c r="M47">
        <v>12.05993</v>
      </c>
      <c r="N47">
        <v>-4.2639519999999997</v>
      </c>
      <c r="O47">
        <v>-21.384540000000001</v>
      </c>
      <c r="P47">
        <v>45.463760000000001</v>
      </c>
      <c r="Q47">
        <v>-4.998384999999999</v>
      </c>
      <c r="R47">
        <v>15.47218</v>
      </c>
      <c r="S47">
        <v>26.395800000000001</v>
      </c>
      <c r="T47">
        <v>-15.21668</v>
      </c>
      <c r="U47">
        <v>-76.819625000000002</v>
      </c>
      <c r="V47">
        <v>49.223625000000062</v>
      </c>
      <c r="W47">
        <v>150.03925000000001</v>
      </c>
      <c r="X47">
        <v>-90.918999999999997</v>
      </c>
      <c r="Y47">
        <v>-80.435874999999967</v>
      </c>
      <c r="Z47">
        <v>-36.864874999999941</v>
      </c>
      <c r="AA47">
        <v>-808.53137499999991</v>
      </c>
      <c r="AB47">
        <v>-202.14474999999999</v>
      </c>
      <c r="AC47">
        <v>-314.06625000000008</v>
      </c>
      <c r="AD47">
        <v>-210.33749999999981</v>
      </c>
      <c r="AE47">
        <v>-167.146625</v>
      </c>
      <c r="AF47">
        <v>296.37750000000011</v>
      </c>
      <c r="AG47">
        <v>-40.332500000000117</v>
      </c>
      <c r="AH47">
        <v>81.326249999999959</v>
      </c>
      <c r="AI47">
        <v>-2.294163999999999</v>
      </c>
      <c r="AJ47">
        <v>-2.121179999999999</v>
      </c>
      <c r="AK47">
        <v>0.30920349999999991</v>
      </c>
      <c r="AL47">
        <v>-25.285699999999991</v>
      </c>
      <c r="AM47">
        <v>5.0075219999999998</v>
      </c>
      <c r="AN47">
        <v>0.84944410000000004</v>
      </c>
      <c r="AO47">
        <v>0.35696369999999999</v>
      </c>
      <c r="AP47">
        <v>18.063949999999991</v>
      </c>
      <c r="AQ47">
        <v>4.3710209999999998</v>
      </c>
      <c r="AR47">
        <v>0.41193439999999998</v>
      </c>
      <c r="AS47">
        <v>0.2105504</v>
      </c>
      <c r="AT47">
        <v>8.3034942999999952</v>
      </c>
    </row>
    <row r="48" spans="1:46" x14ac:dyDescent="0.25">
      <c r="A48">
        <v>46</v>
      </c>
      <c r="B48">
        <v>9.4587499999999807</v>
      </c>
      <c r="C48">
        <v>0.54182320879120871</v>
      </c>
      <c r="D48">
        <v>0.37317132555588178</v>
      </c>
      <c r="E48">
        <v>-9.1358661944900221E-2</v>
      </c>
      <c r="F48">
        <v>3.6181155491269958</v>
      </c>
      <c r="G48">
        <v>9.9029407999999997</v>
      </c>
      <c r="H48">
        <v>-9.4004995999999998</v>
      </c>
      <c r="I48">
        <v>-4.7592408000000006</v>
      </c>
      <c r="J48">
        <v>9.0607784000000002</v>
      </c>
      <c r="K48">
        <v>4.0205944000000002</v>
      </c>
      <c r="L48">
        <v>-8.8649052000000008</v>
      </c>
      <c r="M48">
        <v>11.217244000000001</v>
      </c>
      <c r="N48">
        <v>-4.4713955999999992</v>
      </c>
      <c r="O48">
        <v>-21.717131999999999</v>
      </c>
      <c r="P48">
        <v>45.262988</v>
      </c>
      <c r="Q48">
        <v>-5.1857539999999993</v>
      </c>
      <c r="R48">
        <v>15.825364</v>
      </c>
      <c r="S48">
        <v>26.383320000000001</v>
      </c>
      <c r="T48">
        <v>-15.145284</v>
      </c>
      <c r="U48">
        <v>-81.951699999999988</v>
      </c>
      <c r="V48">
        <v>50.093650000000089</v>
      </c>
      <c r="W48">
        <v>159.23415</v>
      </c>
      <c r="X48">
        <v>-87.989450000000005</v>
      </c>
      <c r="Y48">
        <v>-83.533449999999974</v>
      </c>
      <c r="Z48">
        <v>-22.739399999999929</v>
      </c>
      <c r="AA48">
        <v>-811.8116</v>
      </c>
      <c r="AB48">
        <v>-209.03604999999999</v>
      </c>
      <c r="AC48">
        <v>-314.68050000000011</v>
      </c>
      <c r="AD48">
        <v>-229.5449999999999</v>
      </c>
      <c r="AE48">
        <v>-158.31280000000001</v>
      </c>
      <c r="AF48">
        <v>272.34700000000009</v>
      </c>
      <c r="AG48">
        <v>-71.688500000000147</v>
      </c>
      <c r="AH48">
        <v>98.625999999999934</v>
      </c>
      <c r="AI48">
        <v>-2.6048692</v>
      </c>
      <c r="AJ48">
        <v>-2.3824799999999988</v>
      </c>
      <c r="AK48">
        <v>0.35226079999999987</v>
      </c>
      <c r="AL48">
        <v>-28.669599999999999</v>
      </c>
      <c r="AM48">
        <v>5.1052976000000001</v>
      </c>
      <c r="AN48">
        <v>0.82502828000000006</v>
      </c>
      <c r="AO48">
        <v>0.36227056000000002</v>
      </c>
      <c r="AP48">
        <v>19.99718</v>
      </c>
      <c r="AQ48">
        <v>4.3518147999999997</v>
      </c>
      <c r="AR48">
        <v>0.41292551999999999</v>
      </c>
      <c r="AS48">
        <v>0.21301571999999999</v>
      </c>
      <c r="AT48">
        <v>11.158039240000001</v>
      </c>
    </row>
    <row r="49" spans="1:46" x14ac:dyDescent="0.25">
      <c r="A49">
        <v>47</v>
      </c>
      <c r="B49">
        <v>9.4679749999999778</v>
      </c>
      <c r="C49">
        <v>0.54184697802197801</v>
      </c>
      <c r="D49">
        <v>0.38556455676022833</v>
      </c>
      <c r="E49">
        <v>-9.4630157780358284E-2</v>
      </c>
      <c r="F49">
        <v>3.5970205393901602</v>
      </c>
      <c r="G49">
        <v>9.8093398000000001</v>
      </c>
      <c r="H49">
        <v>-9.347242399999999</v>
      </c>
      <c r="I49">
        <v>-4.5787876000000001</v>
      </c>
      <c r="J49">
        <v>8.9762280000000008</v>
      </c>
      <c r="K49">
        <v>3.9281516000000001</v>
      </c>
      <c r="L49">
        <v>-8.8660251999999993</v>
      </c>
      <c r="M49">
        <v>10.370965399999999</v>
      </c>
      <c r="N49">
        <v>-4.6975502000000002</v>
      </c>
      <c r="O49">
        <v>-22.040880000000001</v>
      </c>
      <c r="P49">
        <v>44.992784</v>
      </c>
      <c r="Q49">
        <v>-5.3322756</v>
      </c>
      <c r="R49">
        <v>16.053675999999999</v>
      </c>
      <c r="S49">
        <v>26.257297999999999</v>
      </c>
      <c r="T49">
        <v>-15.016446</v>
      </c>
      <c r="U49">
        <v>-87.547149999999974</v>
      </c>
      <c r="V49">
        <v>50.765950000000068</v>
      </c>
      <c r="W49">
        <v>169.00682499999999</v>
      </c>
      <c r="X49">
        <v>-82.195774999999983</v>
      </c>
      <c r="Y49">
        <v>-87.524224999999987</v>
      </c>
      <c r="Z49">
        <v>-8.0669499999999292</v>
      </c>
      <c r="AA49">
        <v>-811.71757500000001</v>
      </c>
      <c r="AB49">
        <v>-213.58902499999999</v>
      </c>
      <c r="AC49">
        <v>-309.67925000000002</v>
      </c>
      <c r="AD49">
        <v>-250.88374999999999</v>
      </c>
      <c r="AE49">
        <v>-143.73394999999999</v>
      </c>
      <c r="AF49">
        <v>230.57350000000011</v>
      </c>
      <c r="AG49">
        <v>-107.7552500000002</v>
      </c>
      <c r="AH49">
        <v>114.74325</v>
      </c>
      <c r="AI49">
        <v>-2.8111206000000002</v>
      </c>
      <c r="AJ49">
        <v>-2.5966076</v>
      </c>
      <c r="AK49">
        <v>0.39115504000000001</v>
      </c>
      <c r="AL49">
        <v>-30.719837999999999</v>
      </c>
      <c r="AM49">
        <v>5.1421486000000014</v>
      </c>
      <c r="AN49">
        <v>0.78315897999999995</v>
      </c>
      <c r="AO49">
        <v>0.36576483999999998</v>
      </c>
      <c r="AP49">
        <v>21.85088</v>
      </c>
      <c r="AQ49">
        <v>4.3098605999999986</v>
      </c>
      <c r="AR49">
        <v>0.41291475999999999</v>
      </c>
      <c r="AS49">
        <v>0.21251236000000001</v>
      </c>
      <c r="AT49">
        <v>13.98728</v>
      </c>
    </row>
    <row r="50" spans="1:46" x14ac:dyDescent="0.25">
      <c r="A50">
        <v>48</v>
      </c>
      <c r="B50">
        <v>9.4773999999999781</v>
      </c>
      <c r="C50">
        <v>0.54187912087912082</v>
      </c>
      <c r="D50">
        <v>0.40296776576102827</v>
      </c>
      <c r="E50">
        <v>-9.7397668285292491E-2</v>
      </c>
      <c r="F50">
        <v>3.572408921221228</v>
      </c>
      <c r="G50">
        <v>9.7123832000000014</v>
      </c>
      <c r="H50">
        <v>-9.2935315999999997</v>
      </c>
      <c r="I50">
        <v>-4.3923884000000006</v>
      </c>
      <c r="J50">
        <v>8.8945620000000005</v>
      </c>
      <c r="K50">
        <v>3.8334543999999999</v>
      </c>
      <c r="L50">
        <v>-8.8581368000000005</v>
      </c>
      <c r="M50">
        <v>9.5240336000000045</v>
      </c>
      <c r="N50">
        <v>-4.9271067999999989</v>
      </c>
      <c r="O50">
        <v>-22.363019999999999</v>
      </c>
      <c r="P50">
        <v>44.709956000000012</v>
      </c>
      <c r="Q50">
        <v>-5.4713703999999987</v>
      </c>
      <c r="R50">
        <v>16.259284000000001</v>
      </c>
      <c r="S50">
        <v>26.110631999999999</v>
      </c>
      <c r="T50">
        <v>-14.877164</v>
      </c>
      <c r="U50">
        <v>-93.226849999999914</v>
      </c>
      <c r="V50">
        <v>51.402300000000047</v>
      </c>
      <c r="W50">
        <v>178.88454999999999</v>
      </c>
      <c r="X50">
        <v>-75.881349999999998</v>
      </c>
      <c r="Y50">
        <v>-91.677399999999963</v>
      </c>
      <c r="Z50">
        <v>6.7049499999999584</v>
      </c>
      <c r="AA50">
        <v>-811.01004999999998</v>
      </c>
      <c r="AB50">
        <v>-217.71684999999999</v>
      </c>
      <c r="AC50">
        <v>-303.65699999999998</v>
      </c>
      <c r="AD50">
        <v>-272.6099999999999</v>
      </c>
      <c r="AE50">
        <v>-128.1105500000001</v>
      </c>
      <c r="AF50">
        <v>185.5740000000003</v>
      </c>
      <c r="AG50">
        <v>-144.67850000000001</v>
      </c>
      <c r="AH50">
        <v>130.64549999999991</v>
      </c>
      <c r="AI50">
        <v>-2.9983803999999989</v>
      </c>
      <c r="AJ50">
        <v>-2.8021583999999988</v>
      </c>
      <c r="AK50">
        <v>0.42929235999999982</v>
      </c>
      <c r="AL50">
        <v>-32.527591999999991</v>
      </c>
      <c r="AM50">
        <v>5.1679224000000001</v>
      </c>
      <c r="AN50">
        <v>0.73811632000000016</v>
      </c>
      <c r="AO50">
        <v>0.36892955999999999</v>
      </c>
      <c r="AP50">
        <v>23.69011999999999</v>
      </c>
      <c r="AQ50">
        <v>4.2637704000000003</v>
      </c>
      <c r="AR50">
        <v>0.41272184000000001</v>
      </c>
      <c r="AS50">
        <v>0.21146924</v>
      </c>
      <c r="AT50">
        <v>16.81191999999999</v>
      </c>
    </row>
    <row r="51" spans="1:46" x14ac:dyDescent="0.25">
      <c r="A51">
        <v>49</v>
      </c>
      <c r="B51">
        <v>9.4868249999999765</v>
      </c>
      <c r="C51">
        <v>0.54191126373626375</v>
      </c>
      <c r="D51">
        <v>0.4234744310122443</v>
      </c>
      <c r="E51">
        <v>-9.7632188128717601E-2</v>
      </c>
      <c r="F51">
        <v>3.541067482131687</v>
      </c>
      <c r="G51">
        <v>9.615426600000001</v>
      </c>
      <c r="H51">
        <v>-9.2398208000000004</v>
      </c>
      <c r="I51">
        <v>-4.2059892000000003</v>
      </c>
      <c r="J51">
        <v>8.8128960000000003</v>
      </c>
      <c r="K51">
        <v>3.7387571999999998</v>
      </c>
      <c r="L51">
        <v>-8.8502483999999999</v>
      </c>
      <c r="M51">
        <v>8.6771018000000026</v>
      </c>
      <c r="N51">
        <v>-5.1566633999999993</v>
      </c>
      <c r="O51">
        <v>-22.68516</v>
      </c>
      <c r="P51">
        <v>44.427128000000003</v>
      </c>
      <c r="Q51">
        <v>-5.6104651999999993</v>
      </c>
      <c r="R51">
        <v>16.464891999999999</v>
      </c>
      <c r="S51">
        <v>25.963965999999999</v>
      </c>
      <c r="T51">
        <v>-14.737882000000001</v>
      </c>
      <c r="U51">
        <v>-98.906549999999896</v>
      </c>
      <c r="V51">
        <v>52.03865000000004</v>
      </c>
      <c r="W51">
        <v>188.76227499999999</v>
      </c>
      <c r="X51">
        <v>-69.566924999999969</v>
      </c>
      <c r="Y51">
        <v>-95.830574999999982</v>
      </c>
      <c r="Z51">
        <v>21.476849999999949</v>
      </c>
      <c r="AA51">
        <v>-810.30252500000006</v>
      </c>
      <c r="AB51">
        <v>-221.844675</v>
      </c>
      <c r="AC51">
        <v>-297.63474999999988</v>
      </c>
      <c r="AD51">
        <v>-294.33625000000001</v>
      </c>
      <c r="AE51">
        <v>-112.4871500000001</v>
      </c>
      <c r="AF51">
        <v>140.57450000000031</v>
      </c>
      <c r="AG51">
        <v>-181.60175000000001</v>
      </c>
      <c r="AH51">
        <v>146.54775000000001</v>
      </c>
      <c r="AI51">
        <v>-3.185640199999999</v>
      </c>
      <c r="AJ51">
        <v>-3.007709199999999</v>
      </c>
      <c r="AK51">
        <v>0.4674296799999999</v>
      </c>
      <c r="AL51">
        <v>-34.335345999999987</v>
      </c>
      <c r="AM51">
        <v>5.1936962000000007</v>
      </c>
      <c r="AN51">
        <v>0.69307366000000004</v>
      </c>
      <c r="AO51">
        <v>0.37209428</v>
      </c>
      <c r="AP51">
        <v>25.52936</v>
      </c>
      <c r="AQ51">
        <v>4.2176802000000002</v>
      </c>
      <c r="AR51">
        <v>0.41252892000000002</v>
      </c>
      <c r="AS51">
        <v>0.21042611999999999</v>
      </c>
      <c r="AT51">
        <v>19.636559999999999</v>
      </c>
    </row>
    <row r="52" spans="1:46" x14ac:dyDescent="0.25">
      <c r="A52">
        <v>50</v>
      </c>
      <c r="B52">
        <v>9.496249999999975</v>
      </c>
      <c r="C52">
        <v>0.54194340659340656</v>
      </c>
      <c r="D52">
        <v>0.4452915579012206</v>
      </c>
      <c r="E52">
        <v>-9.7443757783796284E-2</v>
      </c>
      <c r="F52">
        <v>3.5005974798142612</v>
      </c>
      <c r="G52">
        <v>9.5184700000000007</v>
      </c>
      <c r="H52">
        <v>-9.1861099999999993</v>
      </c>
      <c r="I52">
        <v>-4.01959</v>
      </c>
      <c r="J52">
        <v>8.73123</v>
      </c>
      <c r="K52">
        <v>3.6440600000000001</v>
      </c>
      <c r="L52">
        <v>-8.8423599999999993</v>
      </c>
      <c r="M52">
        <v>7.8301699999999999</v>
      </c>
      <c r="N52">
        <v>-5.3862199999999998</v>
      </c>
      <c r="O52">
        <v>-23.007300000000001</v>
      </c>
      <c r="P52">
        <v>44.144300000000001</v>
      </c>
      <c r="Q52">
        <v>-5.7495599999999998</v>
      </c>
      <c r="R52">
        <v>16.670500000000001</v>
      </c>
      <c r="S52">
        <v>25.817299999999999</v>
      </c>
      <c r="T52">
        <v>-14.598599999999999</v>
      </c>
      <c r="U52">
        <v>-104.58624999999989</v>
      </c>
      <c r="V52">
        <v>52.675000000000033</v>
      </c>
      <c r="W52">
        <v>198.64</v>
      </c>
      <c r="X52">
        <v>-63.252499999999927</v>
      </c>
      <c r="Y52">
        <v>-99.983749999999986</v>
      </c>
      <c r="Z52">
        <v>36.248749999999937</v>
      </c>
      <c r="AA52">
        <v>-809.59500000000003</v>
      </c>
      <c r="AB52">
        <v>-225.9725</v>
      </c>
      <c r="AC52">
        <v>-291.61249999999978</v>
      </c>
      <c r="AD52">
        <v>-316.06250000000011</v>
      </c>
      <c r="AE52">
        <v>-96.863750000000024</v>
      </c>
      <c r="AF52">
        <v>95.575000000000188</v>
      </c>
      <c r="AG52">
        <v>-218.52500000000009</v>
      </c>
      <c r="AH52">
        <v>162.44999999999999</v>
      </c>
      <c r="AI52">
        <v>-3.3729</v>
      </c>
      <c r="AJ52">
        <v>-3.21326</v>
      </c>
      <c r="AK52">
        <v>0.50556699999999999</v>
      </c>
      <c r="AL52">
        <v>-36.143099999999997</v>
      </c>
      <c r="AM52">
        <v>5.2194700000000003</v>
      </c>
      <c r="AN52">
        <v>0.64803099999999991</v>
      </c>
      <c r="AO52">
        <v>0.37525900000000001</v>
      </c>
      <c r="AP52">
        <v>27.368600000000001</v>
      </c>
      <c r="AQ52">
        <v>4.1715900000000001</v>
      </c>
      <c r="AR52">
        <v>0.41233599999999998</v>
      </c>
      <c r="AS52">
        <v>0.20938300000000001</v>
      </c>
      <c r="AT52">
        <v>22.461200000000002</v>
      </c>
    </row>
    <row r="53" spans="1:46" x14ac:dyDescent="0.25">
      <c r="A53">
        <v>51</v>
      </c>
      <c r="B53">
        <v>9.5066499999999792</v>
      </c>
      <c r="C53">
        <v>0.54202840659340656</v>
      </c>
      <c r="D53">
        <v>0.46544000710050359</v>
      </c>
      <c r="E53">
        <v>-9.6399008341060244E-2</v>
      </c>
      <c r="F53">
        <v>3.4666200346680638</v>
      </c>
      <c r="G53">
        <v>9.3978871999999996</v>
      </c>
      <c r="H53">
        <v>-9.1302567999999997</v>
      </c>
      <c r="I53">
        <v>-3.792818</v>
      </c>
      <c r="J53">
        <v>8.6813307999999996</v>
      </c>
      <c r="K53">
        <v>3.5307909999999998</v>
      </c>
      <c r="L53">
        <v>-8.774851</v>
      </c>
      <c r="M53">
        <v>6.9931441999999979</v>
      </c>
      <c r="N53">
        <v>-5.6266862</v>
      </c>
      <c r="O53">
        <v>-23.291713999999999</v>
      </c>
      <c r="P53">
        <v>43.769717999999997</v>
      </c>
      <c r="Q53">
        <v>-5.8119417999999996</v>
      </c>
      <c r="R53">
        <v>16.663688</v>
      </c>
      <c r="S53">
        <v>25.509433999999999</v>
      </c>
      <c r="T53">
        <v>-14.399986</v>
      </c>
      <c r="U53">
        <v>-110.58217500000001</v>
      </c>
      <c r="V53">
        <v>53.150800000000032</v>
      </c>
      <c r="W53">
        <v>208.67404999999999</v>
      </c>
      <c r="X53">
        <v>-53.911024999999952</v>
      </c>
      <c r="Y53">
        <v>-104.91074999999999</v>
      </c>
      <c r="Z53">
        <v>50.910149999999952</v>
      </c>
      <c r="AA53">
        <v>-805.72327500000006</v>
      </c>
      <c r="AB53">
        <v>-227.219525</v>
      </c>
      <c r="AC53">
        <v>-279.12599999999981</v>
      </c>
      <c r="AD53">
        <v>-339.64450000000022</v>
      </c>
      <c r="AE53">
        <v>-74.919099999999958</v>
      </c>
      <c r="AF53">
        <v>40.266499999999994</v>
      </c>
      <c r="AG53">
        <v>-263.1572500000002</v>
      </c>
      <c r="AH53">
        <v>175.55725000000001</v>
      </c>
      <c r="AI53">
        <v>-3.5153748</v>
      </c>
      <c r="AJ53">
        <v>-3.3783287999999998</v>
      </c>
      <c r="AK53">
        <v>0.54249532000000011</v>
      </c>
      <c r="AL53">
        <v>-37.202522000000002</v>
      </c>
      <c r="AM53">
        <v>5.2126527999999999</v>
      </c>
      <c r="AN53">
        <v>0.5778887199999998</v>
      </c>
      <c r="AO53">
        <v>0.37530891999999999</v>
      </c>
      <c r="AP53">
        <v>28.993183999999999</v>
      </c>
      <c r="AQ53">
        <v>4.1048662</v>
      </c>
      <c r="AR53">
        <v>0.41062103999999999</v>
      </c>
      <c r="AS53">
        <v>0.20528826</v>
      </c>
      <c r="AT53">
        <v>24.968978000000011</v>
      </c>
    </row>
    <row r="54" spans="1:46" x14ac:dyDescent="0.25">
      <c r="A54">
        <v>52</v>
      </c>
      <c r="B54">
        <v>9.5170499999999851</v>
      </c>
      <c r="C54">
        <v>0.54211340659340657</v>
      </c>
      <c r="D54">
        <v>0.48530553813213012</v>
      </c>
      <c r="E54">
        <v>-9.4930902635101094E-2</v>
      </c>
      <c r="F54">
        <v>3.4255664447421439</v>
      </c>
      <c r="G54">
        <v>9.2773044000000002</v>
      </c>
      <c r="H54">
        <v>-9.0744036000000001</v>
      </c>
      <c r="I54">
        <v>-3.566046</v>
      </c>
      <c r="J54">
        <v>8.6314316000000009</v>
      </c>
      <c r="K54">
        <v>3.4175219999999999</v>
      </c>
      <c r="L54">
        <v>-8.7073420000000006</v>
      </c>
      <c r="M54">
        <v>6.1561184000000022</v>
      </c>
      <c r="N54">
        <v>-5.8671523999999993</v>
      </c>
      <c r="O54">
        <v>-23.576128000000001</v>
      </c>
      <c r="P54">
        <v>43.395136000000001</v>
      </c>
      <c r="Q54">
        <v>-5.8743235999999994</v>
      </c>
      <c r="R54">
        <v>16.656876</v>
      </c>
      <c r="S54">
        <v>25.201568000000002</v>
      </c>
      <c r="T54">
        <v>-14.201371999999999</v>
      </c>
      <c r="U54">
        <v>-116.57810000000001</v>
      </c>
      <c r="V54">
        <v>53.626600000000018</v>
      </c>
      <c r="W54">
        <v>218.7081</v>
      </c>
      <c r="X54">
        <v>-44.569550000000042</v>
      </c>
      <c r="Y54">
        <v>-109.83775</v>
      </c>
      <c r="Z54">
        <v>65.57154999999986</v>
      </c>
      <c r="AA54">
        <v>-801.85154999999997</v>
      </c>
      <c r="AB54">
        <v>-228.46655000000001</v>
      </c>
      <c r="AC54">
        <v>-266.63949999999988</v>
      </c>
      <c r="AD54">
        <v>-363.22649999999999</v>
      </c>
      <c r="AE54">
        <v>-52.974450000000061</v>
      </c>
      <c r="AF54">
        <v>-15.04199999999982</v>
      </c>
      <c r="AG54">
        <v>-307.78949999999998</v>
      </c>
      <c r="AH54">
        <v>188.66449999999989</v>
      </c>
      <c r="AI54">
        <v>-3.6578496</v>
      </c>
      <c r="AJ54">
        <v>-3.5433976</v>
      </c>
      <c r="AK54">
        <v>0.57942363999999991</v>
      </c>
      <c r="AL54">
        <v>-38.261943999999993</v>
      </c>
      <c r="AM54">
        <v>5.2058356000000003</v>
      </c>
      <c r="AN54">
        <v>0.50774644000000013</v>
      </c>
      <c r="AO54">
        <v>0.37535884000000003</v>
      </c>
      <c r="AP54">
        <v>30.617767999999991</v>
      </c>
      <c r="AQ54">
        <v>4.0381423999999999</v>
      </c>
      <c r="AR54">
        <v>0.40890608000000001</v>
      </c>
      <c r="AS54">
        <v>0.20119351999999999</v>
      </c>
      <c r="AT54">
        <v>27.476755999999991</v>
      </c>
    </row>
    <row r="55" spans="1:46" x14ac:dyDescent="0.25">
      <c r="A55">
        <v>53</v>
      </c>
      <c r="B55">
        <v>9.5274499999999893</v>
      </c>
      <c r="C55">
        <v>0.54219840659340668</v>
      </c>
      <c r="D55">
        <v>0.5022282445324181</v>
      </c>
      <c r="E55">
        <v>-9.355039308111264E-2</v>
      </c>
      <c r="F55">
        <v>3.3848116099040708</v>
      </c>
      <c r="G55">
        <v>9.1567216000000009</v>
      </c>
      <c r="H55">
        <v>-9.0185504000000005</v>
      </c>
      <c r="I55">
        <v>-3.3392740000000001</v>
      </c>
      <c r="J55">
        <v>8.5815324000000004</v>
      </c>
      <c r="K55">
        <v>3.3042530000000001</v>
      </c>
      <c r="L55">
        <v>-8.6398329999999994</v>
      </c>
      <c r="M55">
        <v>5.3190925999999994</v>
      </c>
      <c r="N55">
        <v>-6.1076186000000003</v>
      </c>
      <c r="O55">
        <v>-23.860541999999999</v>
      </c>
      <c r="P55">
        <v>43.020553999999997</v>
      </c>
      <c r="Q55">
        <v>-5.9367054000000001</v>
      </c>
      <c r="R55">
        <v>16.650064</v>
      </c>
      <c r="S55">
        <v>24.893702000000001</v>
      </c>
      <c r="T55">
        <v>-14.002758</v>
      </c>
      <c r="U55">
        <v>-122.57402500000011</v>
      </c>
      <c r="V55">
        <v>54.102400000000017</v>
      </c>
      <c r="W55">
        <v>228.74215000000001</v>
      </c>
      <c r="X55">
        <v>-35.228075000000061</v>
      </c>
      <c r="Y55">
        <v>-114.76475000000001</v>
      </c>
      <c r="Z55">
        <v>80.232949999999875</v>
      </c>
      <c r="AA55">
        <v>-797.97982500000001</v>
      </c>
      <c r="AB55">
        <v>-229.71357499999999</v>
      </c>
      <c r="AC55">
        <v>-254.15299999999979</v>
      </c>
      <c r="AD55">
        <v>-386.80850000000009</v>
      </c>
      <c r="AE55">
        <v>-31.029799999999991</v>
      </c>
      <c r="AF55">
        <v>-70.350500000000011</v>
      </c>
      <c r="AG55">
        <v>-352.42175000000009</v>
      </c>
      <c r="AH55">
        <v>201.77174999999991</v>
      </c>
      <c r="AI55">
        <v>-3.8003244</v>
      </c>
      <c r="AJ55">
        <v>-3.7084663999999998</v>
      </c>
      <c r="AK55">
        <v>0.61635196000000003</v>
      </c>
      <c r="AL55">
        <v>-39.321365999999998</v>
      </c>
      <c r="AM55">
        <v>5.1990183999999999</v>
      </c>
      <c r="AN55">
        <v>0.43760416000000002</v>
      </c>
      <c r="AO55">
        <v>0.37540876000000001</v>
      </c>
      <c r="AP55">
        <v>32.242351999999997</v>
      </c>
      <c r="AQ55">
        <v>3.9714185999999998</v>
      </c>
      <c r="AR55">
        <v>0.40719112000000002</v>
      </c>
      <c r="AS55">
        <v>0.19709878</v>
      </c>
      <c r="AT55">
        <v>29.984534</v>
      </c>
    </row>
    <row r="56" spans="1:46" x14ac:dyDescent="0.25">
      <c r="A56">
        <v>54</v>
      </c>
      <c r="B56">
        <v>9.537949999999995</v>
      </c>
      <c r="C56">
        <v>0.54229096703296709</v>
      </c>
      <c r="D56">
        <v>0.51800222311725996</v>
      </c>
      <c r="E56">
        <v>-9.0894657586520863E-2</v>
      </c>
      <c r="F56">
        <v>3.341696899925489</v>
      </c>
      <c r="G56">
        <v>9.032394</v>
      </c>
      <c r="H56">
        <v>-8.9624411999999989</v>
      </c>
      <c r="I56">
        <v>-3.106363599999999</v>
      </c>
      <c r="J56">
        <v>8.5382432000000001</v>
      </c>
      <c r="K56">
        <v>3.1877772000000002</v>
      </c>
      <c r="L56">
        <v>-8.5634516000000005</v>
      </c>
      <c r="M56">
        <v>4.4853079999999981</v>
      </c>
      <c r="N56">
        <v>-6.3479412000000002</v>
      </c>
      <c r="O56">
        <v>-24.135392</v>
      </c>
      <c r="P56">
        <v>42.631064000000002</v>
      </c>
      <c r="Q56">
        <v>-5.9838804000000003</v>
      </c>
      <c r="R56">
        <v>16.607859999999999</v>
      </c>
      <c r="S56">
        <v>24.555703999999999</v>
      </c>
      <c r="T56">
        <v>-13.797140000000001</v>
      </c>
      <c r="U56">
        <v>-128.57445000000021</v>
      </c>
      <c r="V56">
        <v>54.56610000000002</v>
      </c>
      <c r="W56">
        <v>238.71615499999999</v>
      </c>
      <c r="X56">
        <v>-25.502750000000059</v>
      </c>
      <c r="Y56">
        <v>-119.73435000000001</v>
      </c>
      <c r="Z56">
        <v>94.763149999999911</v>
      </c>
      <c r="AA56">
        <v>-793.70245</v>
      </c>
      <c r="AB56">
        <v>-230.4892000000001</v>
      </c>
      <c r="AC56">
        <v>-240.84299999999979</v>
      </c>
      <c r="AD56">
        <v>-410.47050000000007</v>
      </c>
      <c r="AE56">
        <v>-8.5039999999999267</v>
      </c>
      <c r="AF56">
        <v>-125.56700000000021</v>
      </c>
      <c r="AG56">
        <v>-398.52900000000022</v>
      </c>
      <c r="AH56">
        <v>214.26300000000001</v>
      </c>
      <c r="AI56">
        <v>-3.9396892000000001</v>
      </c>
      <c r="AJ56">
        <v>-3.8645651999999999</v>
      </c>
      <c r="AK56">
        <v>0.65189864000000008</v>
      </c>
      <c r="AL56">
        <v>-40.306663999999998</v>
      </c>
      <c r="AM56">
        <v>5.1879647999999996</v>
      </c>
      <c r="AN56">
        <v>0.36582294399999982</v>
      </c>
      <c r="AO56">
        <v>0.37511156000000001</v>
      </c>
      <c r="AP56">
        <v>33.803460000000001</v>
      </c>
      <c r="AQ56">
        <v>3.9015672000000001</v>
      </c>
      <c r="AR56">
        <v>0.40495120000000001</v>
      </c>
      <c r="AS56">
        <v>0.19327923999999999</v>
      </c>
      <c r="AT56">
        <v>32.395091999999998</v>
      </c>
    </row>
    <row r="57" spans="1:46" x14ac:dyDescent="0.25">
      <c r="A57">
        <v>55</v>
      </c>
      <c r="B57">
        <v>9.5489999999999995</v>
      </c>
      <c r="C57">
        <v>0.54242510989010995</v>
      </c>
      <c r="D57">
        <v>0.53401485770819945</v>
      </c>
      <c r="E57">
        <v>-8.6609680073831533E-2</v>
      </c>
      <c r="F57">
        <v>3.2935834082149098</v>
      </c>
      <c r="G57">
        <v>8.8874700000000004</v>
      </c>
      <c r="H57">
        <v>-8.9049239999999994</v>
      </c>
      <c r="I57">
        <v>-2.839691999999999</v>
      </c>
      <c r="J57">
        <v>8.5313090000000003</v>
      </c>
      <c r="K57">
        <v>3.053663999999999</v>
      </c>
      <c r="L57">
        <v>-8.4382719999999996</v>
      </c>
      <c r="M57">
        <v>3.6693499999999961</v>
      </c>
      <c r="N57">
        <v>-6.5874740000000012</v>
      </c>
      <c r="O57">
        <v>-24.35764</v>
      </c>
      <c r="P57">
        <v>42.159579999999998</v>
      </c>
      <c r="Q57">
        <v>-5.9474179999999999</v>
      </c>
      <c r="R57">
        <v>16.370999999999999</v>
      </c>
      <c r="S57">
        <v>24.05198</v>
      </c>
      <c r="T57">
        <v>-13.553000000000001</v>
      </c>
      <c r="U57">
        <v>-134.5996250000002</v>
      </c>
      <c r="V57">
        <v>54.963250000000002</v>
      </c>
      <c r="W57">
        <v>248.35991250000009</v>
      </c>
      <c r="X57">
        <v>-13.66625000000003</v>
      </c>
      <c r="Y57">
        <v>-124.93825</v>
      </c>
      <c r="Z57">
        <v>108.57174999999999</v>
      </c>
      <c r="AA57">
        <v>-787.19399999999996</v>
      </c>
      <c r="AB57">
        <v>-228.67212500000011</v>
      </c>
      <c r="AC57">
        <v>-223.00374999999991</v>
      </c>
      <c r="AD57">
        <v>-434.57250000000022</v>
      </c>
      <c r="AE57">
        <v>17.218125000000139</v>
      </c>
      <c r="AF57">
        <v>-180.27750000000029</v>
      </c>
      <c r="AG57">
        <v>-452.74875000000031</v>
      </c>
      <c r="AH57">
        <v>223.36625000000001</v>
      </c>
      <c r="AI57">
        <v>-4.0619490000000003</v>
      </c>
      <c r="AJ57">
        <v>-3.9713289999999999</v>
      </c>
      <c r="AK57">
        <v>0.67984630000000013</v>
      </c>
      <c r="AL57">
        <v>-40.884279999999997</v>
      </c>
      <c r="AM57">
        <v>5.1536109999999997</v>
      </c>
      <c r="AN57">
        <v>0.28502757999999973</v>
      </c>
      <c r="AO57">
        <v>0.37290519999999999</v>
      </c>
      <c r="AP57">
        <v>35.015450000000001</v>
      </c>
      <c r="AQ57">
        <v>3.814514</v>
      </c>
      <c r="AR57">
        <v>0.39982400000000001</v>
      </c>
      <c r="AS57">
        <v>0.19097330000000001</v>
      </c>
      <c r="AT57">
        <v>34.270940000000003</v>
      </c>
    </row>
    <row r="58" spans="1:46" x14ac:dyDescent="0.25">
      <c r="A58">
        <v>56</v>
      </c>
      <c r="B58">
        <v>9.5600500000000039</v>
      </c>
      <c r="C58">
        <v>0.54255925274725281</v>
      </c>
      <c r="D58">
        <v>0.55083453711120256</v>
      </c>
      <c r="E58">
        <v>-8.3108398067796602E-2</v>
      </c>
      <c r="F58">
        <v>3.2442052833169401</v>
      </c>
      <c r="G58">
        <v>8.7425460000000008</v>
      </c>
      <c r="H58">
        <v>-8.8474067999999999</v>
      </c>
      <c r="I58">
        <v>-2.5730203999999999</v>
      </c>
      <c r="J58">
        <v>8.5243748000000004</v>
      </c>
      <c r="K58">
        <v>2.9195508000000001</v>
      </c>
      <c r="L58">
        <v>-8.3130924000000004</v>
      </c>
      <c r="M58">
        <v>2.8533919999999999</v>
      </c>
      <c r="N58">
        <v>-6.8270068000000004</v>
      </c>
      <c r="O58">
        <v>-24.579888</v>
      </c>
      <c r="P58">
        <v>41.688096000000002</v>
      </c>
      <c r="Q58">
        <v>-5.9109555999999994</v>
      </c>
      <c r="R58">
        <v>16.134139999999999</v>
      </c>
      <c r="S58">
        <v>23.548255999999999</v>
      </c>
      <c r="T58">
        <v>-13.308859999999999</v>
      </c>
      <c r="U58">
        <v>-140.62480000000011</v>
      </c>
      <c r="V58">
        <v>55.36039999999997</v>
      </c>
      <c r="W58">
        <v>258.00367</v>
      </c>
      <c r="X58">
        <v>-1.829750000000079</v>
      </c>
      <c r="Y58">
        <v>-130.14214999999999</v>
      </c>
      <c r="Z58">
        <v>122.38035000000001</v>
      </c>
      <c r="AA58">
        <v>-780.68554999999992</v>
      </c>
      <c r="AB58">
        <v>-226.85505000000009</v>
      </c>
      <c r="AC58">
        <v>-205.16450000000009</v>
      </c>
      <c r="AD58">
        <v>-458.67450000000002</v>
      </c>
      <c r="AE58">
        <v>42.94025000000002</v>
      </c>
      <c r="AF58">
        <v>-234.98800000000011</v>
      </c>
      <c r="AG58">
        <v>-506.96849999999989</v>
      </c>
      <c r="AH58">
        <v>232.46950000000001</v>
      </c>
      <c r="AI58">
        <v>-4.1842088000000004</v>
      </c>
      <c r="AJ58">
        <v>-4.0780928000000003</v>
      </c>
      <c r="AK58">
        <v>0.70779396000000006</v>
      </c>
      <c r="AL58">
        <v>-41.461896000000003</v>
      </c>
      <c r="AM58">
        <v>5.1192571999999998</v>
      </c>
      <c r="AN58">
        <v>0.20423221599999999</v>
      </c>
      <c r="AO58">
        <v>0.37069883999999997</v>
      </c>
      <c r="AP58">
        <v>36.227440000000001</v>
      </c>
      <c r="AQ58">
        <v>3.7274607999999998</v>
      </c>
      <c r="AR58">
        <v>0.39469680000000001</v>
      </c>
      <c r="AS58">
        <v>0.18866736000000001</v>
      </c>
      <c r="AT58">
        <v>36.146788000000001</v>
      </c>
    </row>
    <row r="59" spans="1:46" x14ac:dyDescent="0.25">
      <c r="A59">
        <v>57</v>
      </c>
      <c r="B59">
        <v>9.5711000000000084</v>
      </c>
      <c r="C59">
        <v>0.54269339560439556</v>
      </c>
      <c r="D59">
        <v>0.56624565878837774</v>
      </c>
      <c r="E59">
        <v>-8.0738330447883297E-2</v>
      </c>
      <c r="F59">
        <v>3.1911585619616019</v>
      </c>
      <c r="G59">
        <v>8.5976219999999994</v>
      </c>
      <c r="H59">
        <v>-8.7898895999999986</v>
      </c>
      <c r="I59">
        <v>-2.306348799999999</v>
      </c>
      <c r="J59">
        <v>8.5174405999999987</v>
      </c>
      <c r="K59">
        <v>2.7854375999999998</v>
      </c>
      <c r="L59">
        <v>-8.1879127999999994</v>
      </c>
      <c r="M59">
        <v>2.037433999999998</v>
      </c>
      <c r="N59">
        <v>-7.0665395999999996</v>
      </c>
      <c r="O59">
        <v>-24.802136000000001</v>
      </c>
      <c r="P59">
        <v>41.216611999999998</v>
      </c>
      <c r="Q59">
        <v>-5.8744931999999999</v>
      </c>
      <c r="R59">
        <v>15.89728</v>
      </c>
      <c r="S59">
        <v>23.044532</v>
      </c>
      <c r="T59">
        <v>-13.064719999999999</v>
      </c>
      <c r="U59">
        <v>-146.64997500000021</v>
      </c>
      <c r="V59">
        <v>55.757549999999952</v>
      </c>
      <c r="W59">
        <v>267.64742749999999</v>
      </c>
      <c r="X59">
        <v>10.006749999999951</v>
      </c>
      <c r="Y59">
        <v>-135.34604999999999</v>
      </c>
      <c r="Z59">
        <v>136.18895000000009</v>
      </c>
      <c r="AA59">
        <v>-774.17709999999988</v>
      </c>
      <c r="AB59">
        <v>-225.0379750000001</v>
      </c>
      <c r="AC59">
        <v>-187.32525000000021</v>
      </c>
      <c r="AD59">
        <v>-482.7765</v>
      </c>
      <c r="AE59">
        <v>68.662375000000083</v>
      </c>
      <c r="AF59">
        <v>-289.69850000000031</v>
      </c>
      <c r="AG59">
        <v>-561.18825000000004</v>
      </c>
      <c r="AH59">
        <v>241.57275000000001</v>
      </c>
      <c r="AI59">
        <v>-4.3064685999999996</v>
      </c>
      <c r="AJ59">
        <v>-4.1848566000000007</v>
      </c>
      <c r="AK59">
        <v>0.7357416200000001</v>
      </c>
      <c r="AL59">
        <v>-42.039512000000002</v>
      </c>
      <c r="AM59">
        <v>5.0849034</v>
      </c>
      <c r="AN59">
        <v>0.12343685199999981</v>
      </c>
      <c r="AO59">
        <v>0.36849248000000001</v>
      </c>
      <c r="AP59">
        <v>37.439430000000002</v>
      </c>
      <c r="AQ59">
        <v>3.6404076000000001</v>
      </c>
      <c r="AR59">
        <v>0.38956960000000002</v>
      </c>
      <c r="AS59">
        <v>0.18636142</v>
      </c>
      <c r="AT59">
        <v>38.022636000000013</v>
      </c>
    </row>
    <row r="60" spans="1:46" x14ac:dyDescent="0.25">
      <c r="A60">
        <v>58</v>
      </c>
      <c r="B60">
        <v>9.5819500000000115</v>
      </c>
      <c r="C60">
        <v>0.54284085714285712</v>
      </c>
      <c r="D60">
        <v>0.58033750120189886</v>
      </c>
      <c r="E60">
        <v>-7.9772139090576899E-2</v>
      </c>
      <c r="F60">
        <v>3.137948250441656</v>
      </c>
      <c r="G60">
        <v>8.4453563999999997</v>
      </c>
      <c r="H60">
        <v>-8.7319067999999991</v>
      </c>
      <c r="I60">
        <v>-2.0282155199999981</v>
      </c>
      <c r="J60">
        <v>8.5264223999999995</v>
      </c>
      <c r="K60">
        <v>2.6449284</v>
      </c>
      <c r="L60">
        <v>-8.046487599999999</v>
      </c>
      <c r="M60">
        <v>1.231014399999997</v>
      </c>
      <c r="N60">
        <v>-7.301886800000001</v>
      </c>
      <c r="O60">
        <v>-24.999600000000001</v>
      </c>
      <c r="P60">
        <v>40.715615999999997</v>
      </c>
      <c r="Q60">
        <v>-5.8051283999999992</v>
      </c>
      <c r="R60">
        <v>15.596532</v>
      </c>
      <c r="S60">
        <v>22.467607999999991</v>
      </c>
      <c r="T60">
        <v>-12.81218</v>
      </c>
      <c r="U60">
        <v>-152.58675000000011</v>
      </c>
      <c r="V60">
        <v>56.15469999999992</v>
      </c>
      <c r="W60">
        <v>277.007925</v>
      </c>
      <c r="X60">
        <v>22.402750000000012</v>
      </c>
      <c r="Y60">
        <v>-140.44555</v>
      </c>
      <c r="Z60">
        <v>149.5307500000001</v>
      </c>
      <c r="AA60">
        <v>-766.89594999999986</v>
      </c>
      <c r="AB60">
        <v>-222.23929999999999</v>
      </c>
      <c r="AC60">
        <v>-168.38300000000021</v>
      </c>
      <c r="AD60">
        <v>-506.57749999999999</v>
      </c>
      <c r="AE60">
        <v>94.323000000000135</v>
      </c>
      <c r="AF60">
        <v>-341.73900000000032</v>
      </c>
      <c r="AG60">
        <v>-618.78600000000017</v>
      </c>
      <c r="AH60">
        <v>249.16500000000011</v>
      </c>
      <c r="AI60">
        <v>-4.4170812000000002</v>
      </c>
      <c r="AJ60">
        <v>-4.2673196000000004</v>
      </c>
      <c r="AK60">
        <v>0.75816104000000006</v>
      </c>
      <c r="AL60">
        <v>-42.430503999999999</v>
      </c>
      <c r="AM60">
        <v>5.0350671999999994</v>
      </c>
      <c r="AN60">
        <v>4.4255951999999703E-2</v>
      </c>
      <c r="AO60">
        <v>0.36516692000000001</v>
      </c>
      <c r="AP60">
        <v>38.412419999999997</v>
      </c>
      <c r="AQ60">
        <v>3.5462895999999988</v>
      </c>
      <c r="AR60">
        <v>0.38353912000000001</v>
      </c>
      <c r="AS60">
        <v>0.18507796000000001</v>
      </c>
      <c r="AT60">
        <v>39.603555999999998</v>
      </c>
    </row>
    <row r="61" spans="1:46" x14ac:dyDescent="0.25">
      <c r="A61">
        <v>59</v>
      </c>
      <c r="B61">
        <v>9.5923500000000104</v>
      </c>
      <c r="C61">
        <v>0.54301828571428568</v>
      </c>
      <c r="D61">
        <v>0.59380236400581787</v>
      </c>
      <c r="E61">
        <v>-7.8867189625744294E-2</v>
      </c>
      <c r="F61">
        <v>3.0887041302529918</v>
      </c>
      <c r="G61">
        <v>8.2765722000000004</v>
      </c>
      <c r="H61">
        <v>-8.6728763999999998</v>
      </c>
      <c r="I61">
        <v>-1.7242934599999999</v>
      </c>
      <c r="J61">
        <v>8.5712151999999993</v>
      </c>
      <c r="K61">
        <v>2.4900281999999998</v>
      </c>
      <c r="L61">
        <v>-7.8685098</v>
      </c>
      <c r="M61">
        <v>0.44605620000000062</v>
      </c>
      <c r="N61">
        <v>-7.5278164000000007</v>
      </c>
      <c r="O61">
        <v>-25.141300000000001</v>
      </c>
      <c r="P61">
        <v>40.148218</v>
      </c>
      <c r="Q61">
        <v>-5.6617331999999996</v>
      </c>
      <c r="R61">
        <v>15.152036000000001</v>
      </c>
      <c r="S61">
        <v>21.725984</v>
      </c>
      <c r="T61">
        <v>-12.54074</v>
      </c>
      <c r="U61">
        <v>-158.32462500000011</v>
      </c>
      <c r="V61">
        <v>56.551849999999902</v>
      </c>
      <c r="W61">
        <v>285.7310875</v>
      </c>
      <c r="X61">
        <v>36.057624999999987</v>
      </c>
      <c r="Y61">
        <v>-145.31014999999999</v>
      </c>
      <c r="Z61">
        <v>161.82225000000011</v>
      </c>
      <c r="AA61">
        <v>-757.87622499999986</v>
      </c>
      <c r="AB61">
        <v>-217.23202499999999</v>
      </c>
      <c r="AC61">
        <v>-146.95900000000029</v>
      </c>
      <c r="AD61">
        <v>-529.70124999999996</v>
      </c>
      <c r="AE61">
        <v>119.84524999999999</v>
      </c>
      <c r="AF61">
        <v>-387.77199999999999</v>
      </c>
      <c r="AG61">
        <v>-683.98424999999975</v>
      </c>
      <c r="AH61">
        <v>253.35749999999999</v>
      </c>
      <c r="AI61">
        <v>-4.5014875999999999</v>
      </c>
      <c r="AJ61">
        <v>-4.2951058</v>
      </c>
      <c r="AK61">
        <v>0.76814192000000003</v>
      </c>
      <c r="AL61">
        <v>-42.401592000000001</v>
      </c>
      <c r="AM61">
        <v>4.9503956000000002</v>
      </c>
      <c r="AN61">
        <v>-3.129240399999994E-2</v>
      </c>
      <c r="AO61">
        <v>0.35932315999999997</v>
      </c>
      <c r="AP61">
        <v>38.847659999999998</v>
      </c>
      <c r="AQ61">
        <v>3.4362758000000002</v>
      </c>
      <c r="AR61">
        <v>0.37547626000000001</v>
      </c>
      <c r="AS61">
        <v>0.18609508</v>
      </c>
      <c r="AT61">
        <v>40.520887999999999</v>
      </c>
    </row>
    <row r="62" spans="1:46" x14ac:dyDescent="0.25">
      <c r="A62">
        <v>60</v>
      </c>
      <c r="B62">
        <v>9.6027500000000074</v>
      </c>
      <c r="C62">
        <v>0.54319571428571423</v>
      </c>
      <c r="D62">
        <v>0.60645861570886306</v>
      </c>
      <c r="E62">
        <v>-7.7757363783484607E-2</v>
      </c>
      <c r="F62">
        <v>3.0312880432245191</v>
      </c>
      <c r="G62">
        <v>8.1077879999999993</v>
      </c>
      <c r="H62">
        <v>-8.6138460000000006</v>
      </c>
      <c r="I62">
        <v>-1.4203714000000001</v>
      </c>
      <c r="J62">
        <v>8.616007999999999</v>
      </c>
      <c r="K62">
        <v>2.3351280000000001</v>
      </c>
      <c r="L62">
        <v>-7.6905319999999993</v>
      </c>
      <c r="M62">
        <v>-0.33890200000000142</v>
      </c>
      <c r="N62">
        <v>-7.7537460000000014</v>
      </c>
      <c r="O62">
        <v>-25.283000000000001</v>
      </c>
      <c r="P62">
        <v>39.580820000000003</v>
      </c>
      <c r="Q62">
        <v>-5.5183379999999991</v>
      </c>
      <c r="R62">
        <v>14.70754</v>
      </c>
      <c r="S62">
        <v>20.984359999999999</v>
      </c>
      <c r="T62">
        <v>-12.269299999999999</v>
      </c>
      <c r="U62">
        <v>-164.06250000000011</v>
      </c>
      <c r="V62">
        <v>56.94899999999987</v>
      </c>
      <c r="W62">
        <v>294.45425</v>
      </c>
      <c r="X62">
        <v>49.712500000000063</v>
      </c>
      <c r="Y62">
        <v>-150.17474999999999</v>
      </c>
      <c r="Z62">
        <v>174.1137500000001</v>
      </c>
      <c r="AA62">
        <v>-748.85649999999987</v>
      </c>
      <c r="AB62">
        <v>-212.22474999999989</v>
      </c>
      <c r="AC62">
        <v>-125.5350000000001</v>
      </c>
      <c r="AD62">
        <v>-552.82500000000005</v>
      </c>
      <c r="AE62">
        <v>145.36750000000001</v>
      </c>
      <c r="AF62">
        <v>-433.80500000000012</v>
      </c>
      <c r="AG62">
        <v>-749.18249999999989</v>
      </c>
      <c r="AH62">
        <v>257.55</v>
      </c>
      <c r="AI62">
        <v>-4.5858939999999997</v>
      </c>
      <c r="AJ62">
        <v>-4.3228920000000004</v>
      </c>
      <c r="AK62">
        <v>0.7781228</v>
      </c>
      <c r="AL62">
        <v>-42.372680000000003</v>
      </c>
      <c r="AM62">
        <v>4.8657239999999993</v>
      </c>
      <c r="AN62">
        <v>-0.1068407600000001</v>
      </c>
      <c r="AO62">
        <v>0.3534794</v>
      </c>
      <c r="AP62">
        <v>39.282899999999998</v>
      </c>
      <c r="AQ62">
        <v>3.3262619999999998</v>
      </c>
      <c r="AR62">
        <v>0.3674134</v>
      </c>
      <c r="AS62">
        <v>0.18711220000000001</v>
      </c>
      <c r="AT62">
        <v>41.438220000000001</v>
      </c>
    </row>
    <row r="63" spans="1:46" x14ac:dyDescent="0.25">
      <c r="A63">
        <v>61</v>
      </c>
      <c r="B63">
        <v>9.6131500000000063</v>
      </c>
      <c r="C63">
        <v>0.54337314285714289</v>
      </c>
      <c r="D63">
        <v>0.61846537965199833</v>
      </c>
      <c r="E63">
        <v>-7.6593553186904445E-2</v>
      </c>
      <c r="F63">
        <v>2.9923210980577939</v>
      </c>
      <c r="G63">
        <v>7.9390037999999992</v>
      </c>
      <c r="H63">
        <v>-8.5548155999999995</v>
      </c>
      <c r="I63">
        <v>-1.1164493399999991</v>
      </c>
      <c r="J63">
        <v>8.6608008000000005</v>
      </c>
      <c r="K63">
        <v>2.180227799999999</v>
      </c>
      <c r="L63">
        <v>-7.5125541999999994</v>
      </c>
      <c r="M63">
        <v>-1.1238602000000031</v>
      </c>
      <c r="N63">
        <v>-7.979675600000002</v>
      </c>
      <c r="O63">
        <v>-25.424700000000001</v>
      </c>
      <c r="P63">
        <v>39.013421999999998</v>
      </c>
      <c r="Q63">
        <v>-5.3749427999999986</v>
      </c>
      <c r="R63">
        <v>14.263044000000001</v>
      </c>
      <c r="S63">
        <v>20.242736000000001</v>
      </c>
      <c r="T63">
        <v>-11.997859999999999</v>
      </c>
      <c r="U63">
        <v>-169.800375</v>
      </c>
      <c r="V63">
        <v>57.346149999999852</v>
      </c>
      <c r="W63">
        <v>303.17741250000012</v>
      </c>
      <c r="X63">
        <v>63.367375000000138</v>
      </c>
      <c r="Y63">
        <v>-155.03935000000001</v>
      </c>
      <c r="Z63">
        <v>186.40525000000011</v>
      </c>
      <c r="AA63">
        <v>-739.83677499999988</v>
      </c>
      <c r="AB63">
        <v>-207.21747499999989</v>
      </c>
      <c r="AC63">
        <v>-104.111</v>
      </c>
      <c r="AD63">
        <v>-575.94875000000002</v>
      </c>
      <c r="AE63">
        <v>170.88975000000011</v>
      </c>
      <c r="AF63">
        <v>-479.83800000000008</v>
      </c>
      <c r="AG63">
        <v>-814.38075000000003</v>
      </c>
      <c r="AH63">
        <v>261.74250000000001</v>
      </c>
      <c r="AI63">
        <v>-4.6703004000000004</v>
      </c>
      <c r="AJ63">
        <v>-4.3506781999999999</v>
      </c>
      <c r="AK63">
        <v>0.78810367999999997</v>
      </c>
      <c r="AL63">
        <v>-42.343767999999997</v>
      </c>
      <c r="AM63">
        <v>4.7810523999999992</v>
      </c>
      <c r="AN63">
        <v>-0.1823891160000003</v>
      </c>
      <c r="AO63">
        <v>0.34763564000000002</v>
      </c>
      <c r="AP63">
        <v>39.718140000000012</v>
      </c>
      <c r="AQ63">
        <v>3.216248199999999</v>
      </c>
      <c r="AR63">
        <v>0.35935054</v>
      </c>
      <c r="AS63">
        <v>0.18812931999999999</v>
      </c>
      <c r="AT63">
        <v>42.355552000000003</v>
      </c>
    </row>
    <row r="64" spans="1:46" x14ac:dyDescent="0.25">
      <c r="A64">
        <v>62</v>
      </c>
      <c r="B64">
        <v>9.6234000000000055</v>
      </c>
      <c r="C64">
        <v>0.54356712087912085</v>
      </c>
      <c r="D64">
        <v>0.63070018364374092</v>
      </c>
      <c r="E64">
        <v>-7.9266790508681337E-2</v>
      </c>
      <c r="F64">
        <v>2.900143261264156</v>
      </c>
      <c r="G64">
        <v>7.7600459999999982</v>
      </c>
      <c r="H64">
        <v>-8.4950171999999995</v>
      </c>
      <c r="I64">
        <v>-0.79751119999999798</v>
      </c>
      <c r="J64">
        <v>8.7321376000000015</v>
      </c>
      <c r="K64">
        <v>2.0169599999999992</v>
      </c>
      <c r="L64">
        <v>-7.3135607999999994</v>
      </c>
      <c r="M64">
        <v>-1.889822400000005</v>
      </c>
      <c r="N64">
        <v>-8.1933952000000012</v>
      </c>
      <c r="O64">
        <v>-25.524471999999999</v>
      </c>
      <c r="P64">
        <v>38.404912000000003</v>
      </c>
      <c r="Q64">
        <v>-5.1866651999999984</v>
      </c>
      <c r="R64">
        <v>13.744412000000001</v>
      </c>
      <c r="S64">
        <v>19.370179999999991</v>
      </c>
      <c r="T64">
        <v>-11.72354</v>
      </c>
      <c r="U64">
        <v>-175.24799999999999</v>
      </c>
      <c r="V64">
        <v>57.773599999999853</v>
      </c>
      <c r="W64">
        <v>311.25374499999998</v>
      </c>
      <c r="X64">
        <v>77.489950000000178</v>
      </c>
      <c r="Y64">
        <v>-159.46088</v>
      </c>
      <c r="Z64">
        <v>197.7568500000001</v>
      </c>
      <c r="AA64">
        <v>-729.58734999999979</v>
      </c>
      <c r="AB64">
        <v>-200.8082999999998</v>
      </c>
      <c r="AC64">
        <v>-82.026999999999902</v>
      </c>
      <c r="AD64">
        <v>-597.94000000000017</v>
      </c>
      <c r="AE64">
        <v>194.32100000000011</v>
      </c>
      <c r="AF64">
        <v>-519.86140000000012</v>
      </c>
      <c r="AG64">
        <v>-884.30250000000024</v>
      </c>
      <c r="AH64">
        <v>263.54430000000002</v>
      </c>
      <c r="AI64">
        <v>-4.7170171999999999</v>
      </c>
      <c r="AJ64">
        <v>-4.3415739999999996</v>
      </c>
      <c r="AK64">
        <v>0.7897815199999999</v>
      </c>
      <c r="AL64">
        <v>-41.912495999999997</v>
      </c>
      <c r="AM64">
        <v>4.6609951999999986</v>
      </c>
      <c r="AN64">
        <v>-0.25168600000000041</v>
      </c>
      <c r="AO64">
        <v>0.3397648399999999</v>
      </c>
      <c r="AP64">
        <v>39.623147999999993</v>
      </c>
      <c r="AQ64">
        <v>3.0967963999999988</v>
      </c>
      <c r="AR64">
        <v>0.35116779999999997</v>
      </c>
      <c r="AS64">
        <v>0.1905328</v>
      </c>
      <c r="AT64">
        <v>42.749996000000003</v>
      </c>
    </row>
    <row r="65" spans="1:46" x14ac:dyDescent="0.25">
      <c r="A65">
        <v>63</v>
      </c>
      <c r="B65">
        <v>9.6334750000000025</v>
      </c>
      <c r="C65">
        <v>0.54378040659340654</v>
      </c>
      <c r="D65">
        <v>0.67998883864423765</v>
      </c>
      <c r="E65">
        <v>-7.4821580490507716E-2</v>
      </c>
      <c r="F65">
        <v>2.8389359037182822</v>
      </c>
      <c r="G65">
        <v>7.5692189999999986</v>
      </c>
      <c r="H65">
        <v>-8.4343228000000003</v>
      </c>
      <c r="I65">
        <v>-0.46105429999999958</v>
      </c>
      <c r="J65">
        <v>8.8344424000000004</v>
      </c>
      <c r="K65">
        <v>1.8439300000000001</v>
      </c>
      <c r="L65">
        <v>-7.0900491999999993</v>
      </c>
      <c r="M65">
        <v>-2.6336226000000011</v>
      </c>
      <c r="N65">
        <v>-8.3928697999999997</v>
      </c>
      <c r="O65">
        <v>-25.575327999999999</v>
      </c>
      <c r="P65">
        <v>37.748438</v>
      </c>
      <c r="Q65">
        <v>-4.9460247999999991</v>
      </c>
      <c r="R65">
        <v>13.139288000000001</v>
      </c>
      <c r="S65">
        <v>18.34487</v>
      </c>
      <c r="T65">
        <v>-11.44586</v>
      </c>
      <c r="U65">
        <v>-180.357</v>
      </c>
      <c r="V65">
        <v>58.236399999999882</v>
      </c>
      <c r="W65">
        <v>318.57544250000001</v>
      </c>
      <c r="X65">
        <v>92.158175000000071</v>
      </c>
      <c r="Y65">
        <v>-163.36549500000001</v>
      </c>
      <c r="Z65">
        <v>208.0119</v>
      </c>
      <c r="AA65">
        <v>-717.90327499999989</v>
      </c>
      <c r="AB65">
        <v>-192.7635749999998</v>
      </c>
      <c r="AC65">
        <v>-59.172999999999931</v>
      </c>
      <c r="AD65">
        <v>-618.61000000000013</v>
      </c>
      <c r="AE65">
        <v>215.31274999999999</v>
      </c>
      <c r="AF65">
        <v>-552.8735999999999</v>
      </c>
      <c r="AG65">
        <v>-959.7349999999999</v>
      </c>
      <c r="AH65">
        <v>262.55694999999997</v>
      </c>
      <c r="AI65">
        <v>-4.7197627999999998</v>
      </c>
      <c r="AJ65">
        <v>-4.2894310000000004</v>
      </c>
      <c r="AK65">
        <v>0.78177247999999988</v>
      </c>
      <c r="AL65">
        <v>-41.011803999999998</v>
      </c>
      <c r="AM65">
        <v>4.4996547999999992</v>
      </c>
      <c r="AN65">
        <v>-0.31368950000000012</v>
      </c>
      <c r="AO65">
        <v>0.32952915999999999</v>
      </c>
      <c r="AP65">
        <v>38.909551999999998</v>
      </c>
      <c r="AQ65">
        <v>2.9663336</v>
      </c>
      <c r="AR65">
        <v>0.34284520000000002</v>
      </c>
      <c r="AS65">
        <v>0.1945537</v>
      </c>
      <c r="AT65">
        <v>42.534404000000002</v>
      </c>
    </row>
    <row r="66" spans="1:46" x14ac:dyDescent="0.25">
      <c r="A66">
        <v>64</v>
      </c>
      <c r="B66">
        <v>9.6435500000000012</v>
      </c>
      <c r="C66">
        <v>0.54399369230769223</v>
      </c>
      <c r="D66">
        <v>0.68956063840109572</v>
      </c>
      <c r="E66">
        <v>-7.2196915525052044E-2</v>
      </c>
      <c r="F66">
        <v>2.755320397024053</v>
      </c>
      <c r="G66">
        <v>7.378391999999999</v>
      </c>
      <c r="H66">
        <v>-8.3736283999999994</v>
      </c>
      <c r="I66">
        <v>-0.1245973999999989</v>
      </c>
      <c r="J66">
        <v>8.936747200000001</v>
      </c>
      <c r="K66">
        <v>1.6708999999999989</v>
      </c>
      <c r="L66">
        <v>-6.8665375999999991</v>
      </c>
      <c r="M66">
        <v>-3.3774228000000028</v>
      </c>
      <c r="N66">
        <v>-8.5923444</v>
      </c>
      <c r="O66">
        <v>-25.626183999999999</v>
      </c>
      <c r="P66">
        <v>37.091963999999997</v>
      </c>
      <c r="Q66">
        <v>-4.7053843999999989</v>
      </c>
      <c r="R66">
        <v>12.534164000000001</v>
      </c>
      <c r="S66">
        <v>17.319559999999999</v>
      </c>
      <c r="T66">
        <v>-11.16818</v>
      </c>
      <c r="U66">
        <v>-185.46600000000001</v>
      </c>
      <c r="V66">
        <v>58.699199999999912</v>
      </c>
      <c r="W66">
        <v>325.89713999999998</v>
      </c>
      <c r="X66">
        <v>106.82640000000011</v>
      </c>
      <c r="Y66">
        <v>-167.27010999999999</v>
      </c>
      <c r="Z66">
        <v>218.26695000000001</v>
      </c>
      <c r="AA66">
        <v>-706.21919999999989</v>
      </c>
      <c r="AB66">
        <v>-184.7188499999998</v>
      </c>
      <c r="AC66">
        <v>-36.318999999999789</v>
      </c>
      <c r="AD66">
        <v>-639.28000000000031</v>
      </c>
      <c r="AE66">
        <v>236.30449999999999</v>
      </c>
      <c r="AF66">
        <v>-585.88580000000002</v>
      </c>
      <c r="AG66">
        <v>-1035.1675</v>
      </c>
      <c r="AH66">
        <v>261.56959999999992</v>
      </c>
      <c r="AI66">
        <v>-4.7225084000000006</v>
      </c>
      <c r="AJ66">
        <v>-4.2372879999999986</v>
      </c>
      <c r="AK66">
        <v>0.77376343999999997</v>
      </c>
      <c r="AL66">
        <v>-40.111111999999999</v>
      </c>
      <c r="AM66">
        <v>4.3383143999999989</v>
      </c>
      <c r="AN66">
        <v>-0.37569300000000022</v>
      </c>
      <c r="AO66">
        <v>0.31929348000000002</v>
      </c>
      <c r="AP66">
        <v>38.195956000000002</v>
      </c>
      <c r="AQ66">
        <v>2.835870799999999</v>
      </c>
      <c r="AR66">
        <v>0.3345226</v>
      </c>
      <c r="AS66">
        <v>0.19857459999999999</v>
      </c>
      <c r="AT66">
        <v>42.318812000000001</v>
      </c>
    </row>
    <row r="67" spans="1:46" x14ac:dyDescent="0.25">
      <c r="A67">
        <v>65</v>
      </c>
      <c r="B67">
        <v>9.6536249999999999</v>
      </c>
      <c r="C67">
        <v>0.54420697802197793</v>
      </c>
      <c r="D67">
        <v>0.70885732814332225</v>
      </c>
      <c r="E67">
        <v>-7.0788567797945942E-2</v>
      </c>
      <c r="F67">
        <v>2.6834406984910628</v>
      </c>
      <c r="G67">
        <v>7.1875650000000002</v>
      </c>
      <c r="H67">
        <v>-8.3129340000000003</v>
      </c>
      <c r="I67">
        <v>0.2118594999999994</v>
      </c>
      <c r="J67">
        <v>9.0390519999999999</v>
      </c>
      <c r="K67">
        <v>1.49787</v>
      </c>
      <c r="L67">
        <v>-6.6430259999999999</v>
      </c>
      <c r="M67">
        <v>-4.1212229999999996</v>
      </c>
      <c r="N67">
        <v>-8.7918189999999985</v>
      </c>
      <c r="O67">
        <v>-25.677040000000002</v>
      </c>
      <c r="P67">
        <v>36.435490000000001</v>
      </c>
      <c r="Q67">
        <v>-4.4647439999999996</v>
      </c>
      <c r="R67">
        <v>11.929040000000001</v>
      </c>
      <c r="S67">
        <v>16.294250000000002</v>
      </c>
      <c r="T67">
        <v>-10.890499999999999</v>
      </c>
      <c r="U67">
        <v>-190.5749999999999</v>
      </c>
      <c r="V67">
        <v>59.161999999999942</v>
      </c>
      <c r="W67">
        <v>333.21883749999989</v>
      </c>
      <c r="X67">
        <v>121.4946249999999</v>
      </c>
      <c r="Y67">
        <v>-171.174725</v>
      </c>
      <c r="Z67">
        <v>228.52199999999999</v>
      </c>
      <c r="AA67">
        <v>-694.53512499999999</v>
      </c>
      <c r="AB67">
        <v>-176.67412499999989</v>
      </c>
      <c r="AC67">
        <v>-13.46499999999982</v>
      </c>
      <c r="AD67">
        <v>-659.95000000000027</v>
      </c>
      <c r="AE67">
        <v>257.29624999999987</v>
      </c>
      <c r="AF67">
        <v>-618.89799999999991</v>
      </c>
      <c r="AG67">
        <v>-1110.5999999999999</v>
      </c>
      <c r="AH67">
        <v>260.58224999999987</v>
      </c>
      <c r="AI67">
        <v>-4.7252540000000014</v>
      </c>
      <c r="AJ67">
        <v>-4.1851450000000003</v>
      </c>
      <c r="AK67">
        <v>0.76575439999999995</v>
      </c>
      <c r="AL67">
        <v>-39.210419999999999</v>
      </c>
      <c r="AM67">
        <v>4.1769740000000004</v>
      </c>
      <c r="AN67">
        <v>-0.43769649999999988</v>
      </c>
      <c r="AO67">
        <v>0.30905779999999999</v>
      </c>
      <c r="AP67">
        <v>37.48236</v>
      </c>
      <c r="AQ67">
        <v>2.7054079999999998</v>
      </c>
      <c r="AR67">
        <v>0.32619999999999999</v>
      </c>
      <c r="AS67">
        <v>0.20259550000000001</v>
      </c>
      <c r="AT67">
        <v>42.10322</v>
      </c>
    </row>
    <row r="68" spans="1:46" x14ac:dyDescent="0.25">
      <c r="A68">
        <v>66</v>
      </c>
      <c r="B68">
        <v>9.6634999999999973</v>
      </c>
      <c r="C68">
        <v>0.54443714285714284</v>
      </c>
      <c r="D68">
        <v>0.7432140878318293</v>
      </c>
      <c r="E68">
        <v>-7.632653517109815E-2</v>
      </c>
      <c r="F68">
        <v>2.6064670969265342</v>
      </c>
      <c r="G68">
        <v>6.9851507999999978</v>
      </c>
      <c r="H68">
        <v>-8.2509852000000006</v>
      </c>
      <c r="I68">
        <v>0.56434024000000282</v>
      </c>
      <c r="J68">
        <v>9.1781776000000015</v>
      </c>
      <c r="K68">
        <v>1.316774079999999</v>
      </c>
      <c r="L68">
        <v>-6.3970487999999976</v>
      </c>
      <c r="M68">
        <v>-4.8328296000000046</v>
      </c>
      <c r="N68">
        <v>-8.9679688000000013</v>
      </c>
      <c r="O68">
        <v>-25.671288000000001</v>
      </c>
      <c r="P68">
        <v>35.732072000000002</v>
      </c>
      <c r="Q68">
        <v>-4.1806027999999973</v>
      </c>
      <c r="R68">
        <v>11.260242399999999</v>
      </c>
      <c r="S68">
        <v>15.072155999999991</v>
      </c>
      <c r="T68">
        <v>-10.621520800000001</v>
      </c>
      <c r="U68">
        <v>-195.08860000000001</v>
      </c>
      <c r="V68">
        <v>59.689799999999963</v>
      </c>
      <c r="W68">
        <v>339.43497500000001</v>
      </c>
      <c r="X68">
        <v>136.21045000000009</v>
      </c>
      <c r="Y68">
        <v>-174.17376999999999</v>
      </c>
      <c r="Z68">
        <v>237.30705</v>
      </c>
      <c r="AA68">
        <v>-681.06544999999983</v>
      </c>
      <c r="AB68">
        <v>-167.1291999999998</v>
      </c>
      <c r="AC68">
        <v>8.8610000000003453</v>
      </c>
      <c r="AD68">
        <v>-678.0600000000004</v>
      </c>
      <c r="AE68">
        <v>273.27280000000007</v>
      </c>
      <c r="AF68">
        <v>-643.01760000000013</v>
      </c>
      <c r="AG68">
        <v>-1188.757700000001</v>
      </c>
      <c r="AH68">
        <v>256.93169999999992</v>
      </c>
      <c r="AI68">
        <v>-4.6802891999999998</v>
      </c>
      <c r="AJ68">
        <v>-4.0901907999999993</v>
      </c>
      <c r="AK68">
        <v>0.74757559999999978</v>
      </c>
      <c r="AL68">
        <v>-37.921535999999982</v>
      </c>
      <c r="AM68">
        <v>3.972686399999998</v>
      </c>
      <c r="AN68">
        <v>-0.48645168000000027</v>
      </c>
      <c r="AO68">
        <v>0.29454035999999978</v>
      </c>
      <c r="AP68">
        <v>36.079083999999987</v>
      </c>
      <c r="AQ68">
        <v>2.5607051999999988</v>
      </c>
      <c r="AR68">
        <v>0.31488635999999992</v>
      </c>
      <c r="AS68">
        <v>0.20608551999999999</v>
      </c>
      <c r="AT68">
        <v>41.122539999999987</v>
      </c>
    </row>
    <row r="69" spans="1:46" x14ac:dyDescent="0.25">
      <c r="A69">
        <v>67</v>
      </c>
      <c r="B69">
        <v>9.6732499999999959</v>
      </c>
      <c r="C69">
        <v>0.5446778571428571</v>
      </c>
      <c r="D69">
        <v>0.75262586508192475</v>
      </c>
      <c r="E69">
        <v>-7.2332566577929691E-2</v>
      </c>
      <c r="F69">
        <v>2.515653729149149</v>
      </c>
      <c r="G69">
        <v>6.7754945999999991</v>
      </c>
      <c r="H69">
        <v>-8.1882523999999997</v>
      </c>
      <c r="I69">
        <v>0.92683588000000094</v>
      </c>
      <c r="J69">
        <v>9.3403162000000002</v>
      </c>
      <c r="K69">
        <v>1.130636959999999</v>
      </c>
      <c r="L69">
        <v>-6.1370305999999992</v>
      </c>
      <c r="M69">
        <v>-5.524315200000002</v>
      </c>
      <c r="N69">
        <v>-9.1295406000000003</v>
      </c>
      <c r="O69">
        <v>-25.630155999999999</v>
      </c>
      <c r="P69">
        <v>34.999313999999998</v>
      </c>
      <c r="Q69">
        <v>-3.8692735999999992</v>
      </c>
      <c r="R69">
        <v>10.551648800000001</v>
      </c>
      <c r="S69">
        <v>13.727072</v>
      </c>
      <c r="T69">
        <v>-10.3579796</v>
      </c>
      <c r="U69">
        <v>-199.230075</v>
      </c>
      <c r="V69">
        <v>60.258224999999968</v>
      </c>
      <c r="W69">
        <v>344.96013749999997</v>
      </c>
      <c r="X69">
        <v>150.95602500000001</v>
      </c>
      <c r="Y69">
        <v>-176.60683374999999</v>
      </c>
      <c r="Z69">
        <v>245.17335</v>
      </c>
      <c r="AA69">
        <v>-666.4797749999999</v>
      </c>
      <c r="AB69">
        <v>-156.64664999999991</v>
      </c>
      <c r="AC69">
        <v>30.857000000000131</v>
      </c>
      <c r="AD69">
        <v>-694.57000000000016</v>
      </c>
      <c r="AE69">
        <v>286.11484999999999</v>
      </c>
      <c r="AF69">
        <v>-661.57932500000004</v>
      </c>
      <c r="AG69">
        <v>-1268.6186499999999</v>
      </c>
      <c r="AH69">
        <v>251.61664999999991</v>
      </c>
      <c r="AI69">
        <v>-4.6055054000000002</v>
      </c>
      <c r="AJ69">
        <v>-3.9684796000000002</v>
      </c>
      <c r="AK69">
        <v>0.72304069999999987</v>
      </c>
      <c r="AL69">
        <v>-36.390031999999991</v>
      </c>
      <c r="AM69">
        <v>3.7415567999999988</v>
      </c>
      <c r="AN69">
        <v>-0.5269266600000001</v>
      </c>
      <c r="AO69">
        <v>0.27734681999999988</v>
      </c>
      <c r="AP69">
        <v>34.244757999999997</v>
      </c>
      <c r="AQ69">
        <v>2.407102399999999</v>
      </c>
      <c r="AR69">
        <v>0.30170332</v>
      </c>
      <c r="AS69">
        <v>0.20924374000000001</v>
      </c>
      <c r="AT69">
        <v>39.663679999999992</v>
      </c>
    </row>
    <row r="70" spans="1:46" x14ac:dyDescent="0.25">
      <c r="A70">
        <v>68</v>
      </c>
      <c r="B70">
        <v>9.6829999999999945</v>
      </c>
      <c r="C70">
        <v>0.54491857142857136</v>
      </c>
      <c r="D70">
        <v>0.75563413738124574</v>
      </c>
      <c r="E70">
        <v>-7.08515430500362E-2</v>
      </c>
      <c r="F70">
        <v>2.412236442858505</v>
      </c>
      <c r="G70">
        <v>6.5658384000000014</v>
      </c>
      <c r="H70">
        <v>-8.1255196000000005</v>
      </c>
      <c r="I70">
        <v>1.2893315199999991</v>
      </c>
      <c r="J70">
        <v>9.5024547999999989</v>
      </c>
      <c r="K70">
        <v>0.94449984000000031</v>
      </c>
      <c r="L70">
        <v>-5.8770123999999999</v>
      </c>
      <c r="M70">
        <v>-6.2158007999999976</v>
      </c>
      <c r="N70">
        <v>-9.2911123999999994</v>
      </c>
      <c r="O70">
        <v>-25.589023999999998</v>
      </c>
      <c r="P70">
        <v>34.266556000000001</v>
      </c>
      <c r="Q70">
        <v>-3.5579444000000011</v>
      </c>
      <c r="R70">
        <v>9.843055200000002</v>
      </c>
      <c r="S70">
        <v>12.381988</v>
      </c>
      <c r="T70">
        <v>-10.0944384</v>
      </c>
      <c r="U70">
        <v>-203.37155000000001</v>
      </c>
      <c r="V70">
        <v>60.826649999999987</v>
      </c>
      <c r="W70">
        <v>350.48529999999988</v>
      </c>
      <c r="X70">
        <v>165.70160000000001</v>
      </c>
      <c r="Y70">
        <v>-179.0398975</v>
      </c>
      <c r="Z70">
        <v>253.03964999999999</v>
      </c>
      <c r="AA70">
        <v>-651.89409999999998</v>
      </c>
      <c r="AB70">
        <v>-146.16409999999999</v>
      </c>
      <c r="AC70">
        <v>52.852999999999909</v>
      </c>
      <c r="AD70">
        <v>-711.07999999999993</v>
      </c>
      <c r="AE70">
        <v>298.95689999999991</v>
      </c>
      <c r="AF70">
        <v>-680.14105000000006</v>
      </c>
      <c r="AG70">
        <v>-1348.4795999999999</v>
      </c>
      <c r="AH70">
        <v>246.30160000000001</v>
      </c>
      <c r="AI70">
        <v>-4.5307216000000006</v>
      </c>
      <c r="AJ70">
        <v>-3.8467684000000002</v>
      </c>
      <c r="AK70">
        <v>0.69850579999999995</v>
      </c>
      <c r="AL70">
        <v>-34.858528</v>
      </c>
      <c r="AM70">
        <v>3.510427200000001</v>
      </c>
      <c r="AN70">
        <v>-0.56740163999999993</v>
      </c>
      <c r="AO70">
        <v>0.26015327999999999</v>
      </c>
      <c r="AP70">
        <v>32.410432</v>
      </c>
      <c r="AQ70">
        <v>2.2534996</v>
      </c>
      <c r="AR70">
        <v>0.28852028000000007</v>
      </c>
      <c r="AS70">
        <v>0.21240196</v>
      </c>
      <c r="AT70">
        <v>38.204820000000012</v>
      </c>
    </row>
    <row r="71" spans="1:46" x14ac:dyDescent="0.25">
      <c r="A71">
        <v>69</v>
      </c>
      <c r="B71">
        <v>9.6927499999999931</v>
      </c>
      <c r="C71">
        <v>0.54515928571428574</v>
      </c>
      <c r="D71">
        <v>0.75517519155561597</v>
      </c>
      <c r="E71">
        <v>-6.8326038668932262E-2</v>
      </c>
      <c r="F71">
        <v>2.2937014518342251</v>
      </c>
      <c r="G71">
        <v>6.3561821999999983</v>
      </c>
      <c r="H71">
        <v>-8.0627867999999996</v>
      </c>
      <c r="I71">
        <v>1.651827160000003</v>
      </c>
      <c r="J71">
        <v>9.6645934000000011</v>
      </c>
      <c r="K71">
        <v>0.7583627199999986</v>
      </c>
      <c r="L71">
        <v>-5.6169941999999979</v>
      </c>
      <c r="M71">
        <v>-6.9072864000000056</v>
      </c>
      <c r="N71">
        <v>-9.4526842000000002</v>
      </c>
      <c r="O71">
        <v>-25.547892000000001</v>
      </c>
      <c r="P71">
        <v>33.53379799999999</v>
      </c>
      <c r="Q71">
        <v>-3.2466151999999981</v>
      </c>
      <c r="R71">
        <v>9.1344615999999945</v>
      </c>
      <c r="S71">
        <v>11.036903999999989</v>
      </c>
      <c r="T71">
        <v>-9.8308971999999972</v>
      </c>
      <c r="U71">
        <v>-207.513025</v>
      </c>
      <c r="V71">
        <v>61.395075000000013</v>
      </c>
      <c r="W71">
        <v>356.01046250000002</v>
      </c>
      <c r="X71">
        <v>180.44717500000019</v>
      </c>
      <c r="Y71">
        <v>-181.47296125</v>
      </c>
      <c r="Z71">
        <v>260.90595000000008</v>
      </c>
      <c r="AA71">
        <v>-637.30842499999994</v>
      </c>
      <c r="AB71">
        <v>-135.68154999999999</v>
      </c>
      <c r="AC71">
        <v>74.849000000000018</v>
      </c>
      <c r="AD71">
        <v>-727.59</v>
      </c>
      <c r="AE71">
        <v>311.79894999999999</v>
      </c>
      <c r="AF71">
        <v>-698.70277500000032</v>
      </c>
      <c r="AG71">
        <v>-1428.340550000001</v>
      </c>
      <c r="AH71">
        <v>240.98654999999991</v>
      </c>
      <c r="AI71">
        <v>-4.4559378000000001</v>
      </c>
      <c r="AJ71">
        <v>-3.7250571999999988</v>
      </c>
      <c r="AK71">
        <v>0.67397089999999971</v>
      </c>
      <c r="AL71">
        <v>-33.327023999999987</v>
      </c>
      <c r="AM71">
        <v>3.2792975999999978</v>
      </c>
      <c r="AN71">
        <v>-0.60787662000000031</v>
      </c>
      <c r="AO71">
        <v>0.2429597399999999</v>
      </c>
      <c r="AP71">
        <v>30.576105999999989</v>
      </c>
      <c r="AQ71">
        <v>2.0998967999999989</v>
      </c>
      <c r="AR71">
        <v>0.27533723999999993</v>
      </c>
      <c r="AS71">
        <v>0.21556017999999999</v>
      </c>
      <c r="AT71">
        <v>36.74595999999999</v>
      </c>
    </row>
    <row r="72" spans="1:46" x14ac:dyDescent="0.25">
      <c r="A72">
        <v>70</v>
      </c>
      <c r="B72">
        <v>9.7014999999999922</v>
      </c>
      <c r="C72">
        <v>0.54541461538461533</v>
      </c>
      <c r="D72">
        <v>0.75237576356537439</v>
      </c>
      <c r="E72">
        <v>-6.4149223260396834E-2</v>
      </c>
      <c r="F72">
        <v>2.1844691976739399</v>
      </c>
      <c r="G72">
        <v>6.1355239999999993</v>
      </c>
      <c r="H72">
        <v>-7.9981240000000007</v>
      </c>
      <c r="I72">
        <v>2.0282940000000012</v>
      </c>
      <c r="J72">
        <v>9.8714480000000009</v>
      </c>
      <c r="K72">
        <v>0.56733529999999943</v>
      </c>
      <c r="L72">
        <v>-5.3366499999999988</v>
      </c>
      <c r="M72">
        <v>-7.5492560000000024</v>
      </c>
      <c r="N72">
        <v>-9.5789039999999996</v>
      </c>
      <c r="O72">
        <v>-25.442160000000001</v>
      </c>
      <c r="P72">
        <v>32.758119999999998</v>
      </c>
      <c r="Q72">
        <v>-2.9106339999999991</v>
      </c>
      <c r="R72">
        <v>8.391233999999999</v>
      </c>
      <c r="S72">
        <v>9.4463479999999951</v>
      </c>
      <c r="T72">
        <v>-9.589188</v>
      </c>
      <c r="U72">
        <v>-210.66225</v>
      </c>
      <c r="V72">
        <v>62.05400000000003</v>
      </c>
      <c r="W72">
        <v>359.94164999999998</v>
      </c>
      <c r="X72">
        <v>194.4622500000001</v>
      </c>
      <c r="Y72">
        <v>-182.51797500000001</v>
      </c>
      <c r="Z72">
        <v>266.80650000000003</v>
      </c>
      <c r="AA72">
        <v>-620.375</v>
      </c>
      <c r="AB72">
        <v>-124.10825</v>
      </c>
      <c r="AC72">
        <v>94.497499999999903</v>
      </c>
      <c r="AD72">
        <v>-739.12249999999995</v>
      </c>
      <c r="AE72">
        <v>316.77755000000002</v>
      </c>
      <c r="AF72">
        <v>-706.26650000000018</v>
      </c>
      <c r="AG72">
        <v>-1501.5327500000001</v>
      </c>
      <c r="AH72">
        <v>234.0944999999999</v>
      </c>
      <c r="AI72">
        <v>-4.3411040000000014</v>
      </c>
      <c r="AJ72">
        <v>-3.587963999999999</v>
      </c>
      <c r="AK72">
        <v>0.64369279999999984</v>
      </c>
      <c r="AL72">
        <v>-31.599039999999992</v>
      </c>
      <c r="AM72">
        <v>3.017809999999999</v>
      </c>
      <c r="AN72">
        <v>-0.63900020000000013</v>
      </c>
      <c r="AO72">
        <v>0.21956619999999991</v>
      </c>
      <c r="AP72">
        <v>28.196059999999989</v>
      </c>
      <c r="AQ72">
        <v>1.9391659999999999</v>
      </c>
      <c r="AR72">
        <v>0.25743739999999998</v>
      </c>
      <c r="AS72">
        <v>0.21123459999999999</v>
      </c>
      <c r="AT72">
        <v>34.569439999999993</v>
      </c>
    </row>
    <row r="73" spans="1:46" x14ac:dyDescent="0.25">
      <c r="A73">
        <v>71</v>
      </c>
      <c r="B73">
        <v>9.7099499999999921</v>
      </c>
      <c r="C73">
        <v>0.54567432967032969</v>
      </c>
      <c r="D73">
        <v>0.74590701978512519</v>
      </c>
      <c r="E73">
        <v>-5.8104436734188372E-2</v>
      </c>
      <c r="F73">
        <v>2.0681125048289508</v>
      </c>
      <c r="G73">
        <v>5.9115651999999974</v>
      </c>
      <c r="H73">
        <v>-7.9328821999999999</v>
      </c>
      <c r="I73">
        <v>2.4089522000000039</v>
      </c>
      <c r="J73">
        <v>10.0917174</v>
      </c>
      <c r="K73">
        <v>0.37484078999999759</v>
      </c>
      <c r="L73">
        <v>-5.050207999999996</v>
      </c>
      <c r="M73">
        <v>-8.1763708000000079</v>
      </c>
      <c r="N73">
        <v>-9.694518200000001</v>
      </c>
      <c r="O73">
        <v>-25.317048</v>
      </c>
      <c r="P73">
        <v>31.96956599999999</v>
      </c>
      <c r="Q73">
        <v>-2.5672571999999958</v>
      </c>
      <c r="R73">
        <v>7.6376161999999912</v>
      </c>
      <c r="S73">
        <v>7.7821503999999786</v>
      </c>
      <c r="T73">
        <v>-9.3540283999999971</v>
      </c>
      <c r="U73">
        <v>-213.5138</v>
      </c>
      <c r="V73">
        <v>62.740075000000083</v>
      </c>
      <c r="W73">
        <v>363.39464500000003</v>
      </c>
      <c r="X73">
        <v>208.25817500000031</v>
      </c>
      <c r="Y73">
        <v>-183.14657374999999</v>
      </c>
      <c r="Z73">
        <v>272.11732500000011</v>
      </c>
      <c r="AA73">
        <v>-602.73724999999979</v>
      </c>
      <c r="AB73">
        <v>-112.2077249999999</v>
      </c>
      <c r="AC73">
        <v>113.4417500000002</v>
      </c>
      <c r="AD73">
        <v>-749.16174999999998</v>
      </c>
      <c r="AE73">
        <v>319.39711499999999</v>
      </c>
      <c r="AF73">
        <v>-710.53082500000016</v>
      </c>
      <c r="AG73">
        <v>-1572.724325000001</v>
      </c>
      <c r="AH73">
        <v>226.72934999999981</v>
      </c>
      <c r="AI73">
        <v>-4.2142551999999984</v>
      </c>
      <c r="AJ73">
        <v>-3.4462561999999979</v>
      </c>
      <c r="AK73">
        <v>0.61169173999999948</v>
      </c>
      <c r="AL73">
        <v>-29.812111999999981</v>
      </c>
      <c r="AM73">
        <v>2.7472149999999971</v>
      </c>
      <c r="AN73">
        <v>-0.66731836000000033</v>
      </c>
      <c r="AO73">
        <v>0.19431265999999969</v>
      </c>
      <c r="AP73">
        <v>25.65229799999997</v>
      </c>
      <c r="AQ73">
        <v>1.7762967999999979</v>
      </c>
      <c r="AR73">
        <v>0.23812251999999981</v>
      </c>
      <c r="AS73">
        <v>0.20466387999999991</v>
      </c>
      <c r="AT73">
        <v>32.177621999999971</v>
      </c>
    </row>
    <row r="74" spans="1:46" x14ac:dyDescent="0.25">
      <c r="A74">
        <v>72</v>
      </c>
      <c r="B74">
        <v>9.7183999999999919</v>
      </c>
      <c r="C74">
        <v>0.54593404395604395</v>
      </c>
      <c r="D74">
        <v>0.73419456731047228</v>
      </c>
      <c r="E74">
        <v>-5.1552672685721959E-2</v>
      </c>
      <c r="F74">
        <v>1.9393615800951001</v>
      </c>
      <c r="G74">
        <v>5.6876063999999982</v>
      </c>
      <c r="H74">
        <v>-7.8676404</v>
      </c>
      <c r="I74">
        <v>2.789610400000003</v>
      </c>
      <c r="J74">
        <v>10.3119868</v>
      </c>
      <c r="K74">
        <v>0.18234627999999861</v>
      </c>
      <c r="L74">
        <v>-4.7637659999999977</v>
      </c>
      <c r="M74">
        <v>-8.8034856000000055</v>
      </c>
      <c r="N74">
        <v>-9.8101324000000005</v>
      </c>
      <c r="O74">
        <v>-25.191935999999998</v>
      </c>
      <c r="P74">
        <v>31.181011999999999</v>
      </c>
      <c r="Q74">
        <v>-2.223880399999997</v>
      </c>
      <c r="R74">
        <v>6.8839983999999941</v>
      </c>
      <c r="S74">
        <v>6.1179527999999879</v>
      </c>
      <c r="T74">
        <v>-9.1188687999999978</v>
      </c>
      <c r="U74">
        <v>-216.36535000000001</v>
      </c>
      <c r="V74">
        <v>63.426150000000113</v>
      </c>
      <c r="W74">
        <v>366.84764000000001</v>
      </c>
      <c r="X74">
        <v>222.0541000000002</v>
      </c>
      <c r="Y74">
        <v>-183.7751725</v>
      </c>
      <c r="Z74">
        <v>277.42815000000002</v>
      </c>
      <c r="AA74">
        <v>-585.09949999999992</v>
      </c>
      <c r="AB74">
        <v>-100.3071999999999</v>
      </c>
      <c r="AC74">
        <v>132.38600000000011</v>
      </c>
      <c r="AD74">
        <v>-759.20100000000002</v>
      </c>
      <c r="AE74">
        <v>322.01668000000001</v>
      </c>
      <c r="AF74">
        <v>-714.79515000000015</v>
      </c>
      <c r="AG74">
        <v>-1643.9159</v>
      </c>
      <c r="AH74">
        <v>219.3641999999999</v>
      </c>
      <c r="AI74">
        <v>-4.087406399999999</v>
      </c>
      <c r="AJ74">
        <v>-3.3045483999999989</v>
      </c>
      <c r="AK74">
        <v>0.57969067999999968</v>
      </c>
      <c r="AL74">
        <v>-28.025183999999989</v>
      </c>
      <c r="AM74">
        <v>2.4766199999999978</v>
      </c>
      <c r="AN74">
        <v>-0.6956365200000002</v>
      </c>
      <c r="AO74">
        <v>0.16905911999999981</v>
      </c>
      <c r="AP74">
        <v>23.10853599999998</v>
      </c>
      <c r="AQ74">
        <v>1.613427599999999</v>
      </c>
      <c r="AR74">
        <v>0.21880763999999989</v>
      </c>
      <c r="AS74">
        <v>0.19809315999999991</v>
      </c>
      <c r="AT74">
        <v>29.785803999999981</v>
      </c>
    </row>
    <row r="75" spans="1:46" x14ac:dyDescent="0.25">
      <c r="A75">
        <v>73</v>
      </c>
      <c r="B75">
        <v>9.7268499999999918</v>
      </c>
      <c r="C75">
        <v>0.5461937582417582</v>
      </c>
      <c r="D75">
        <v>0.75131258992537608</v>
      </c>
      <c r="E75">
        <v>-4.222473713530852E-2</v>
      </c>
      <c r="F75">
        <v>1.8178596065809829</v>
      </c>
      <c r="G75">
        <v>5.4636475999999989</v>
      </c>
      <c r="H75">
        <v>-7.8023986000000001</v>
      </c>
      <c r="I75">
        <v>3.1702686000000009</v>
      </c>
      <c r="J75">
        <v>10.532256200000001</v>
      </c>
      <c r="K75">
        <v>-1.0148230000000419E-2</v>
      </c>
      <c r="L75">
        <v>-4.4773239999999994</v>
      </c>
      <c r="M75">
        <v>-9.4306004000000012</v>
      </c>
      <c r="N75">
        <v>-9.9257466000000001</v>
      </c>
      <c r="O75">
        <v>-25.066824</v>
      </c>
      <c r="P75">
        <v>30.392458000000001</v>
      </c>
      <c r="Q75">
        <v>-1.8805035999999991</v>
      </c>
      <c r="R75">
        <v>6.1303805999999978</v>
      </c>
      <c r="S75">
        <v>4.4537551999999954</v>
      </c>
      <c r="T75">
        <v>-8.8837091999999984</v>
      </c>
      <c r="U75">
        <v>-219.21690000000001</v>
      </c>
      <c r="V75">
        <v>64.112225000000137</v>
      </c>
      <c r="W75">
        <v>370.300635</v>
      </c>
      <c r="X75">
        <v>235.85002500000019</v>
      </c>
      <c r="Y75">
        <v>-184.40377125000001</v>
      </c>
      <c r="Z75">
        <v>282.73897499999998</v>
      </c>
      <c r="AA75">
        <v>-567.46174999999994</v>
      </c>
      <c r="AB75">
        <v>-88.406674999999993</v>
      </c>
      <c r="AC75">
        <v>151.33025000000009</v>
      </c>
      <c r="AD75">
        <v>-769.24024999999995</v>
      </c>
      <c r="AE75">
        <v>324.63624499999997</v>
      </c>
      <c r="AF75">
        <v>-719.05947500000002</v>
      </c>
      <c r="AG75">
        <v>-1715.107475</v>
      </c>
      <c r="AH75">
        <v>211.9990499999999</v>
      </c>
      <c r="AI75">
        <v>-3.9605576</v>
      </c>
      <c r="AJ75">
        <v>-3.1628406</v>
      </c>
      <c r="AK75">
        <v>0.54768961999999988</v>
      </c>
      <c r="AL75">
        <v>-26.238255999999989</v>
      </c>
      <c r="AM75">
        <v>2.206024999999999</v>
      </c>
      <c r="AN75">
        <v>-0.72395468000000007</v>
      </c>
      <c r="AO75">
        <v>0.14380557999999991</v>
      </c>
      <c r="AP75">
        <v>20.564773999999989</v>
      </c>
      <c r="AQ75">
        <v>1.4505583999999989</v>
      </c>
      <c r="AR75">
        <v>0.19949275999999999</v>
      </c>
      <c r="AS75">
        <v>0.19152243999999999</v>
      </c>
      <c r="AT75">
        <v>27.393985999999991</v>
      </c>
    </row>
    <row r="76" spans="1:46" x14ac:dyDescent="0.25">
      <c r="A76">
        <v>74</v>
      </c>
      <c r="B76">
        <v>9.7346999999999984</v>
      </c>
      <c r="C76">
        <v>0.54646415384615388</v>
      </c>
      <c r="D76">
        <v>0.74172857891686894</v>
      </c>
      <c r="E76">
        <v>-3.370828537546796E-2</v>
      </c>
      <c r="F76">
        <v>1.7050695298250671</v>
      </c>
      <c r="G76">
        <v>5.2318335999999972</v>
      </c>
      <c r="H76">
        <v>-7.7344063999999992</v>
      </c>
      <c r="I76">
        <v>3.5596604000000052</v>
      </c>
      <c r="J76">
        <v>10.800744</v>
      </c>
      <c r="K76">
        <v>-0.2014163400000023</v>
      </c>
      <c r="L76">
        <v>-4.1760547999999957</v>
      </c>
      <c r="M76">
        <v>-9.9868864000000066</v>
      </c>
      <c r="N76">
        <v>-9.9959024000000003</v>
      </c>
      <c r="O76">
        <v>-24.879335999999999</v>
      </c>
      <c r="P76">
        <v>29.581271999999991</v>
      </c>
      <c r="Q76">
        <v>-1.547364719999996</v>
      </c>
      <c r="R76">
        <v>5.386833199999991</v>
      </c>
      <c r="S76">
        <v>2.5584015999999772</v>
      </c>
      <c r="T76">
        <v>-8.676739999999997</v>
      </c>
      <c r="U76">
        <v>-220.62514999999999</v>
      </c>
      <c r="V76">
        <v>64.894000000000119</v>
      </c>
      <c r="W76">
        <v>371.71764999999999</v>
      </c>
      <c r="X76">
        <v>247.81055000000021</v>
      </c>
      <c r="Y76">
        <v>-183.24995000000001</v>
      </c>
      <c r="Z76">
        <v>285.70890000000003</v>
      </c>
      <c r="AA76">
        <v>-547.04959999999983</v>
      </c>
      <c r="AB76">
        <v>-76.338149999999885</v>
      </c>
      <c r="AC76">
        <v>165.73250000000019</v>
      </c>
      <c r="AD76">
        <v>-770.56149999999991</v>
      </c>
      <c r="AE76">
        <v>317.80121999999989</v>
      </c>
      <c r="AF76">
        <v>-710.90031999999997</v>
      </c>
      <c r="AG76">
        <v>-1761.5088499999999</v>
      </c>
      <c r="AH76">
        <v>205.8026999999999</v>
      </c>
      <c r="AI76">
        <v>-3.8689599999999991</v>
      </c>
      <c r="AJ76">
        <v>-3.0447535999999991</v>
      </c>
      <c r="AK76">
        <v>0.51769975999999962</v>
      </c>
      <c r="AL76">
        <v>-24.828463999999979</v>
      </c>
      <c r="AM76">
        <v>1.9598235999999969</v>
      </c>
      <c r="AN76">
        <v>-0.74791972000000029</v>
      </c>
      <c r="AO76">
        <v>0.11764075999999971</v>
      </c>
      <c r="AP76">
        <v>18.149675999999971</v>
      </c>
      <c r="AQ76">
        <v>1.2958724799999981</v>
      </c>
      <c r="AR76">
        <v>0.1830367599999998</v>
      </c>
      <c r="AS76">
        <v>0.17411523999999981</v>
      </c>
      <c r="AT76">
        <v>24.656231999999971</v>
      </c>
    </row>
    <row r="77" spans="1:46" x14ac:dyDescent="0.25">
      <c r="A77">
        <v>75</v>
      </c>
      <c r="B77">
        <v>9.7425000000000068</v>
      </c>
      <c r="C77">
        <v>0.54673543956043957</v>
      </c>
      <c r="D77">
        <v>0.71681802002586137</v>
      </c>
      <c r="E77">
        <v>-2.76977727290658E-2</v>
      </c>
      <c r="F77">
        <v>1.5564872792547311</v>
      </c>
      <c r="G77">
        <v>4.9993649999999983</v>
      </c>
      <c r="H77">
        <v>-7.6661849999999996</v>
      </c>
      <c r="I77">
        <v>3.9497800000000032</v>
      </c>
      <c r="J77">
        <v>11.07325</v>
      </c>
      <c r="K77">
        <v>-0.39258225000000141</v>
      </c>
      <c r="L77">
        <v>-3.8735499999999981</v>
      </c>
      <c r="M77">
        <v>-10.537269999999999</v>
      </c>
      <c r="N77">
        <v>-10.06227</v>
      </c>
      <c r="O77">
        <v>-24.68665</v>
      </c>
      <c r="P77">
        <v>28.76819999999999</v>
      </c>
      <c r="Q77">
        <v>-1.215078999999998</v>
      </c>
      <c r="R77">
        <v>4.6441249999999954</v>
      </c>
      <c r="S77">
        <v>0.64378499999998606</v>
      </c>
      <c r="T77">
        <v>-8.4721199999999985</v>
      </c>
      <c r="U77">
        <v>-221.91312500000001</v>
      </c>
      <c r="V77">
        <v>65.683750000000103</v>
      </c>
      <c r="W77">
        <v>372.96499999999997</v>
      </c>
      <c r="X77">
        <v>259.61812500000008</v>
      </c>
      <c r="Y77">
        <v>-181.94759375000001</v>
      </c>
      <c r="Z77">
        <v>288.48374999999999</v>
      </c>
      <c r="AA77">
        <v>-526.40624999999989</v>
      </c>
      <c r="AB77">
        <v>-64.255624999999952</v>
      </c>
      <c r="AC77">
        <v>179.75625000000019</v>
      </c>
      <c r="AD77">
        <v>-771.15625</v>
      </c>
      <c r="AE77">
        <v>310.17831249999989</v>
      </c>
      <c r="AF77">
        <v>-701.70587499999988</v>
      </c>
      <c r="AG77">
        <v>-1805.8443749999999</v>
      </c>
      <c r="AH77">
        <v>199.7037499999999</v>
      </c>
      <c r="AI77">
        <v>-3.7803</v>
      </c>
      <c r="AJ77">
        <v>-2.928634999999999</v>
      </c>
      <c r="AK77">
        <v>0.48787749999999969</v>
      </c>
      <c r="AL77">
        <v>-23.450099999999988</v>
      </c>
      <c r="AM77">
        <v>1.7156549999999979</v>
      </c>
      <c r="AN77">
        <v>-0.77152200000000015</v>
      </c>
      <c r="AO77">
        <v>9.1399999999999815E-2</v>
      </c>
      <c r="AP77">
        <v>15.745299999999981</v>
      </c>
      <c r="AQ77">
        <v>1.1418684999999991</v>
      </c>
      <c r="AR77">
        <v>0.16681899999999991</v>
      </c>
      <c r="AS77">
        <v>0.15580499999999989</v>
      </c>
      <c r="AT77">
        <v>21.889649999999978</v>
      </c>
    </row>
    <row r="78" spans="1:46" x14ac:dyDescent="0.25">
      <c r="A78">
        <v>76</v>
      </c>
      <c r="B78">
        <v>9.7503000000000153</v>
      </c>
      <c r="C78">
        <v>0.54700672527472527</v>
      </c>
      <c r="D78">
        <v>0.68818303518301005</v>
      </c>
      <c r="E78">
        <v>-1.7387159181352502E-2</v>
      </c>
      <c r="F78">
        <v>1.449874717382982</v>
      </c>
      <c r="G78">
        <v>4.7668963999999994</v>
      </c>
      <c r="H78">
        <v>-7.5979635999999999</v>
      </c>
      <c r="I78">
        <v>4.3398996000000007</v>
      </c>
      <c r="J78">
        <v>11.345756</v>
      </c>
      <c r="K78">
        <v>-0.58374816000000052</v>
      </c>
      <c r="L78">
        <v>-3.571045199999999</v>
      </c>
      <c r="M78">
        <v>-11.087653599999999</v>
      </c>
      <c r="N78">
        <v>-10.128637599999999</v>
      </c>
      <c r="O78">
        <v>-24.493963999999998</v>
      </c>
      <c r="P78">
        <v>27.955127999999998</v>
      </c>
      <c r="Q78">
        <v>-0.88279327999999924</v>
      </c>
      <c r="R78">
        <v>3.901416799999998</v>
      </c>
      <c r="S78">
        <v>-1.2708316000000051</v>
      </c>
      <c r="T78">
        <v>-8.2675000000000001</v>
      </c>
      <c r="U78">
        <v>-223.2011</v>
      </c>
      <c r="V78">
        <v>66.473500000000072</v>
      </c>
      <c r="W78">
        <v>374.21235000000001</v>
      </c>
      <c r="X78">
        <v>271.42570000000001</v>
      </c>
      <c r="Y78">
        <v>-180.64523750000001</v>
      </c>
      <c r="Z78">
        <v>291.25859999999989</v>
      </c>
      <c r="AA78">
        <v>-505.7629</v>
      </c>
      <c r="AB78">
        <v>-52.173100000000019</v>
      </c>
      <c r="AC78">
        <v>193.78000000000009</v>
      </c>
      <c r="AD78">
        <v>-771.75099999999998</v>
      </c>
      <c r="AE78">
        <v>302.55540500000001</v>
      </c>
      <c r="AF78">
        <v>-692.5114299999999</v>
      </c>
      <c r="AG78">
        <v>-1850.1799000000001</v>
      </c>
      <c r="AH78">
        <v>193.60480000000001</v>
      </c>
      <c r="AI78">
        <v>-3.69164</v>
      </c>
      <c r="AJ78">
        <v>-2.8125163999999998</v>
      </c>
      <c r="AK78">
        <v>0.45805523999999992</v>
      </c>
      <c r="AL78">
        <v>-22.071735999999991</v>
      </c>
      <c r="AM78">
        <v>1.471486399999999</v>
      </c>
      <c r="AN78">
        <v>-0.79512428000000002</v>
      </c>
      <c r="AO78">
        <v>6.5159239999999938E-2</v>
      </c>
      <c r="AP78">
        <v>13.34092399999999</v>
      </c>
      <c r="AQ78">
        <v>0.98786451999999958</v>
      </c>
      <c r="AR78">
        <v>0.15060124</v>
      </c>
      <c r="AS78">
        <v>0.13749475999999999</v>
      </c>
      <c r="AT78">
        <v>19.123067999999989</v>
      </c>
    </row>
    <row r="79" spans="1:46" x14ac:dyDescent="0.25">
      <c r="A79">
        <v>77</v>
      </c>
      <c r="B79">
        <v>9.7580000000000222</v>
      </c>
      <c r="C79">
        <v>0.5472783516483517</v>
      </c>
      <c r="D79">
        <v>0.63009588621653534</v>
      </c>
      <c r="E79">
        <v>-7.372118254667063E-3</v>
      </c>
      <c r="F79">
        <v>1.3130577367967891</v>
      </c>
      <c r="G79">
        <v>4.5342897999999972</v>
      </c>
      <c r="H79">
        <v>-7.5294853999999987</v>
      </c>
      <c r="I79">
        <v>4.7300590000000042</v>
      </c>
      <c r="J79">
        <v>11.621510000000001</v>
      </c>
      <c r="K79">
        <v>-0.77421482000000219</v>
      </c>
      <c r="L79">
        <v>-3.2680683999999962</v>
      </c>
      <c r="M79">
        <v>-11.63123600000001</v>
      </c>
      <c r="N79">
        <v>-10.191357999999999</v>
      </c>
      <c r="O79">
        <v>-24.297846</v>
      </c>
      <c r="P79">
        <v>27.143575999999989</v>
      </c>
      <c r="Q79">
        <v>-0.55434541999999665</v>
      </c>
      <c r="R79">
        <v>3.1635275199999922</v>
      </c>
      <c r="S79">
        <v>-3.1934686000000241</v>
      </c>
      <c r="T79">
        <v>-8.0642839999999989</v>
      </c>
      <c r="U79">
        <v>-224.35230000000001</v>
      </c>
      <c r="V79">
        <v>67.268300000000067</v>
      </c>
      <c r="W79">
        <v>375.29132499999997</v>
      </c>
      <c r="X79">
        <v>283.00774999999999</v>
      </c>
      <c r="Y79">
        <v>-179.19895374999999</v>
      </c>
      <c r="Z79">
        <v>293.85179749999992</v>
      </c>
      <c r="AA79">
        <v>-484.91234999999978</v>
      </c>
      <c r="AB79">
        <v>-40.166849999999933</v>
      </c>
      <c r="AC79">
        <v>207.3265000000001</v>
      </c>
      <c r="AD79">
        <v>-771.38199999999983</v>
      </c>
      <c r="AE79">
        <v>294.30571749999979</v>
      </c>
      <c r="AF79">
        <v>-682.38973999999973</v>
      </c>
      <c r="AG79">
        <v>-1891.318225</v>
      </c>
      <c r="AH79">
        <v>187.83747500000001</v>
      </c>
      <c r="AI79">
        <v>-3.6087462000000001</v>
      </c>
      <c r="AJ79">
        <v>-2.6988903999999989</v>
      </c>
      <c r="AK79">
        <v>0.4285196399999997</v>
      </c>
      <c r="AL79">
        <v>-20.73180799999999</v>
      </c>
      <c r="AM79">
        <v>1.2317780599999979</v>
      </c>
      <c r="AN79">
        <v>-0.81858852000000015</v>
      </c>
      <c r="AO79">
        <v>3.9133931999999719E-2</v>
      </c>
      <c r="AP79">
        <v>10.985025799999979</v>
      </c>
      <c r="AQ79">
        <v>0.83595703999999849</v>
      </c>
      <c r="AR79">
        <v>0.1346069059999998</v>
      </c>
      <c r="AS79">
        <v>0.1184165099999997</v>
      </c>
      <c r="AT79">
        <v>16.37810379999997</v>
      </c>
    </row>
    <row r="80" spans="1:46" x14ac:dyDescent="0.25">
      <c r="A80">
        <v>78</v>
      </c>
      <c r="B80">
        <v>9.7645000000000231</v>
      </c>
      <c r="C80">
        <v>0.54755406593406597</v>
      </c>
      <c r="D80">
        <v>0.52588393923735355</v>
      </c>
      <c r="E80">
        <v>-8.0380381245154942E-3</v>
      </c>
      <c r="F80">
        <v>1.166808066289986</v>
      </c>
      <c r="G80">
        <v>4.3000271999999988</v>
      </c>
      <c r="H80">
        <v>-7.4579255999999994</v>
      </c>
      <c r="I80">
        <v>5.1206960000000024</v>
      </c>
      <c r="J80">
        <v>11.93624</v>
      </c>
      <c r="K80">
        <v>-0.95629048000000128</v>
      </c>
      <c r="L80">
        <v>-2.9594275999999979</v>
      </c>
      <c r="M80">
        <v>-12.093204</v>
      </c>
      <c r="N80">
        <v>-10.210312</v>
      </c>
      <c r="O80">
        <v>-24.060544</v>
      </c>
      <c r="P80">
        <v>26.350263999999999</v>
      </c>
      <c r="Q80">
        <v>-0.27195187999999798</v>
      </c>
      <c r="R80">
        <v>2.483465279999995</v>
      </c>
      <c r="S80">
        <v>-5.2123504000000143</v>
      </c>
      <c r="T80">
        <v>-7.877915999999999</v>
      </c>
      <c r="U80">
        <v>-223.8622</v>
      </c>
      <c r="V80">
        <v>68.123700000000028</v>
      </c>
      <c r="W80">
        <v>374.34980000000002</v>
      </c>
      <c r="X80">
        <v>291.88350000000003</v>
      </c>
      <c r="Y80">
        <v>-176.02554000000001</v>
      </c>
      <c r="Z80">
        <v>294.26516500000002</v>
      </c>
      <c r="AA80">
        <v>-461.57539999999977</v>
      </c>
      <c r="AB80">
        <v>-29.075899999999979</v>
      </c>
      <c r="AC80">
        <v>215.14599999999999</v>
      </c>
      <c r="AD80">
        <v>-759.44799999999987</v>
      </c>
      <c r="AE80">
        <v>278.53466999999989</v>
      </c>
      <c r="AF80">
        <v>-661.1411099999998</v>
      </c>
      <c r="AG80">
        <v>-1894.09015</v>
      </c>
      <c r="AH80">
        <v>186.04965000000001</v>
      </c>
      <c r="AI80">
        <v>-3.5950468</v>
      </c>
      <c r="AJ80">
        <v>-2.6151755999999988</v>
      </c>
      <c r="AK80">
        <v>0.4024239599999998</v>
      </c>
      <c r="AL80">
        <v>-19.853111999999989</v>
      </c>
      <c r="AM80">
        <v>1.045592839999999</v>
      </c>
      <c r="AN80">
        <v>-0.84039628000000011</v>
      </c>
      <c r="AO80">
        <v>1.5694047999999839E-2</v>
      </c>
      <c r="AP80">
        <v>9.2108611999999876</v>
      </c>
      <c r="AQ80">
        <v>0.70920755999999918</v>
      </c>
      <c r="AR80">
        <v>0.1212936839999999</v>
      </c>
      <c r="AS80">
        <v>9.0122139999999809E-2</v>
      </c>
      <c r="AT80">
        <v>13.892553199999981</v>
      </c>
    </row>
    <row r="81" spans="1:46" x14ac:dyDescent="0.25">
      <c r="A81">
        <v>79</v>
      </c>
      <c r="B81">
        <v>9.7710000000000239</v>
      </c>
      <c r="C81">
        <v>0.54782978021978024</v>
      </c>
      <c r="D81">
        <v>0.51069879822905384</v>
      </c>
      <c r="E81">
        <v>-1.5127466773671111E-2</v>
      </c>
      <c r="F81">
        <v>1.04841472202574</v>
      </c>
      <c r="G81">
        <v>4.0657645999999996</v>
      </c>
      <c r="H81">
        <v>-7.3863658000000001</v>
      </c>
      <c r="I81">
        <v>5.5113329999999996</v>
      </c>
      <c r="J81">
        <v>12.250970000000001</v>
      </c>
      <c r="K81">
        <v>-1.13836614</v>
      </c>
      <c r="L81">
        <v>-2.6507867999999992</v>
      </c>
      <c r="M81">
        <v>-12.555172000000001</v>
      </c>
      <c r="N81">
        <v>-10.229266000000001</v>
      </c>
      <c r="O81">
        <v>-23.823242</v>
      </c>
      <c r="P81">
        <v>25.556951999999999</v>
      </c>
      <c r="Q81">
        <v>1.0441660000000569E-2</v>
      </c>
      <c r="R81">
        <v>1.803403039999999</v>
      </c>
      <c r="S81">
        <v>-7.2312322000000044</v>
      </c>
      <c r="T81">
        <v>-7.6915480000000001</v>
      </c>
      <c r="U81">
        <v>-223.37209999999999</v>
      </c>
      <c r="V81">
        <v>68.979100000000003</v>
      </c>
      <c r="W81">
        <v>373.408275</v>
      </c>
      <c r="X81">
        <v>300.75924999999989</v>
      </c>
      <c r="Y81">
        <v>-172.85212625</v>
      </c>
      <c r="Z81">
        <v>294.67853250000002</v>
      </c>
      <c r="AA81">
        <v>-438.23844999999989</v>
      </c>
      <c r="AB81">
        <v>-17.98495000000003</v>
      </c>
      <c r="AC81">
        <v>222.96549999999979</v>
      </c>
      <c r="AD81">
        <v>-747.5139999999999</v>
      </c>
      <c r="AE81">
        <v>262.7636225</v>
      </c>
      <c r="AF81">
        <v>-639.89247999999986</v>
      </c>
      <c r="AG81">
        <v>-1896.862075</v>
      </c>
      <c r="AH81">
        <v>184.26182499999999</v>
      </c>
      <c r="AI81">
        <v>-3.5813473999999998</v>
      </c>
      <c r="AJ81">
        <v>-2.5314608000000001</v>
      </c>
      <c r="AK81">
        <v>0.37632828000000002</v>
      </c>
      <c r="AL81">
        <v>-18.974416000000002</v>
      </c>
      <c r="AM81">
        <v>0.85940761999999959</v>
      </c>
      <c r="AN81">
        <v>-0.86220404000000006</v>
      </c>
      <c r="AO81">
        <v>-7.7458360000000476E-3</v>
      </c>
      <c r="AP81">
        <v>7.4366965999999959</v>
      </c>
      <c r="AQ81">
        <v>0.58245807999999977</v>
      </c>
      <c r="AR81">
        <v>0.107980462</v>
      </c>
      <c r="AS81">
        <v>6.1827769999999949E-2</v>
      </c>
      <c r="AT81">
        <v>11.40700259999999</v>
      </c>
    </row>
    <row r="82" spans="1:46" x14ac:dyDescent="0.25">
      <c r="A82">
        <v>80</v>
      </c>
      <c r="B82">
        <v>9.7775000000000265</v>
      </c>
      <c r="C82">
        <v>0.54810549450549451</v>
      </c>
      <c r="D82">
        <v>0.51595360436973059</v>
      </c>
      <c r="E82">
        <v>-1.2741860988654831E-2</v>
      </c>
      <c r="F82">
        <v>0.92163076348939477</v>
      </c>
      <c r="G82">
        <v>3.8315019999999969</v>
      </c>
      <c r="H82">
        <v>-7.314805999999999</v>
      </c>
      <c r="I82">
        <v>5.9019700000000048</v>
      </c>
      <c r="J82">
        <v>12.5657</v>
      </c>
      <c r="K82">
        <v>-1.320441800000002</v>
      </c>
      <c r="L82">
        <v>-2.342145999999997</v>
      </c>
      <c r="M82">
        <v>-13.01714000000001</v>
      </c>
      <c r="N82">
        <v>-10.24822</v>
      </c>
      <c r="O82">
        <v>-23.585940000000001</v>
      </c>
      <c r="P82">
        <v>24.763639999999992</v>
      </c>
      <c r="Q82">
        <v>0.29283520000000329</v>
      </c>
      <c r="R82">
        <v>1.123340799999992</v>
      </c>
      <c r="S82">
        <v>-9.2501140000000248</v>
      </c>
      <c r="T82">
        <v>-7.5051799999999984</v>
      </c>
      <c r="U82">
        <v>-222.88200000000001</v>
      </c>
      <c r="V82">
        <v>69.834499999999977</v>
      </c>
      <c r="W82">
        <v>372.46674999999988</v>
      </c>
      <c r="X82">
        <v>309.63499999999999</v>
      </c>
      <c r="Y82">
        <v>-169.67871249999999</v>
      </c>
      <c r="Z82">
        <v>295.09190000000001</v>
      </c>
      <c r="AA82">
        <v>-414.90149999999971</v>
      </c>
      <c r="AB82">
        <v>-6.8939999999999202</v>
      </c>
      <c r="AC82">
        <v>230.7849999999998</v>
      </c>
      <c r="AD82">
        <v>-735.5799999999997</v>
      </c>
      <c r="AE82">
        <v>246.99257499999979</v>
      </c>
      <c r="AF82">
        <v>-618.6438499999997</v>
      </c>
      <c r="AG82">
        <v>-1899.634</v>
      </c>
      <c r="AH82">
        <v>182.47399999999999</v>
      </c>
      <c r="AI82">
        <v>-3.5676480000000002</v>
      </c>
      <c r="AJ82">
        <v>-2.4477459999999991</v>
      </c>
      <c r="AK82">
        <v>0.35023259999999973</v>
      </c>
      <c r="AL82">
        <v>-18.095719999999989</v>
      </c>
      <c r="AM82">
        <v>0.67322239999999789</v>
      </c>
      <c r="AN82">
        <v>-0.88401180000000024</v>
      </c>
      <c r="AO82">
        <v>-3.1185720000000271E-2</v>
      </c>
      <c r="AP82">
        <v>5.6625319999999801</v>
      </c>
      <c r="AQ82">
        <v>0.45570859999999858</v>
      </c>
      <c r="AR82">
        <v>9.4667239999999847E-2</v>
      </c>
      <c r="AS82">
        <v>3.3533399999999672E-2</v>
      </c>
      <c r="AT82">
        <v>8.9214519999999702</v>
      </c>
    </row>
    <row r="83" spans="1:46" x14ac:dyDescent="0.25">
      <c r="A83">
        <v>81</v>
      </c>
      <c r="B83">
        <v>9.7836250000000238</v>
      </c>
      <c r="C83">
        <v>0.5483808131868132</v>
      </c>
      <c r="D83">
        <v>0.47517061113949371</v>
      </c>
      <c r="E83">
        <v>-3.4208188493267278E-3</v>
      </c>
      <c r="F83">
        <v>0.81079553194398279</v>
      </c>
      <c r="G83">
        <v>3.598558199999998</v>
      </c>
      <c r="H83">
        <v>-7.2424373999999991</v>
      </c>
      <c r="I83">
        <v>6.2907494000000028</v>
      </c>
      <c r="J83">
        <v>12.887072</v>
      </c>
      <c r="K83">
        <v>-1.498756600000001</v>
      </c>
      <c r="L83">
        <v>-2.034158059999998</v>
      </c>
      <c r="M83">
        <v>-13.456428000000001</v>
      </c>
      <c r="N83">
        <v>-10.25764</v>
      </c>
      <c r="O83">
        <v>-23.344498000000002</v>
      </c>
      <c r="P83">
        <v>23.9878</v>
      </c>
      <c r="Q83">
        <v>0.55762654000000134</v>
      </c>
      <c r="R83">
        <v>0.46805003999999623</v>
      </c>
      <c r="S83">
        <v>-11.250052000000011</v>
      </c>
      <c r="T83">
        <v>-7.3179005999999989</v>
      </c>
      <c r="U83">
        <v>-221.95172500000001</v>
      </c>
      <c r="V83">
        <v>70.693349999999967</v>
      </c>
      <c r="W83">
        <v>371.05639999999988</v>
      </c>
      <c r="X83">
        <v>317.67074999999988</v>
      </c>
      <c r="Y83">
        <v>-166.1159925</v>
      </c>
      <c r="Z83">
        <v>295.02543250000002</v>
      </c>
      <c r="AA83">
        <v>-391.09549999999979</v>
      </c>
      <c r="AB83">
        <v>3.772075000000024</v>
      </c>
      <c r="AC83">
        <v>237.06849999999969</v>
      </c>
      <c r="AD83">
        <v>-720.28149999999971</v>
      </c>
      <c r="AE83">
        <v>230.1947324999999</v>
      </c>
      <c r="AF83">
        <v>-595.15991999999972</v>
      </c>
      <c r="AG83">
        <v>-1892.3932749999999</v>
      </c>
      <c r="AH83">
        <v>182.00767500000009</v>
      </c>
      <c r="AI83">
        <v>-3.598666000000001</v>
      </c>
      <c r="AJ83">
        <v>-2.3917320000000002</v>
      </c>
      <c r="AK83">
        <v>0.32939087999999989</v>
      </c>
      <c r="AL83">
        <v>-17.398422</v>
      </c>
      <c r="AM83">
        <v>0.5196677599999997</v>
      </c>
      <c r="AN83">
        <v>-0.91762918000000049</v>
      </c>
      <c r="AO83">
        <v>-5.3873456000000132E-2</v>
      </c>
      <c r="AP83">
        <v>4.186583599999997</v>
      </c>
      <c r="AQ83">
        <v>0.33570586199999941</v>
      </c>
      <c r="AR83">
        <v>8.1281291999999908E-2</v>
      </c>
      <c r="AS83">
        <v>3.4092099999997599E-3</v>
      </c>
      <c r="AT83">
        <v>6.5698970599999882</v>
      </c>
    </row>
    <row r="84" spans="1:46" x14ac:dyDescent="0.25">
      <c r="A84">
        <v>82</v>
      </c>
      <c r="B84">
        <v>9.7885000000000133</v>
      </c>
      <c r="C84">
        <v>0.5486548131868132</v>
      </c>
      <c r="D84">
        <v>0.38895746898381528</v>
      </c>
      <c r="E84">
        <v>-9.4154783325432138E-4</v>
      </c>
      <c r="F84">
        <v>0.69559665475416022</v>
      </c>
      <c r="G84">
        <v>3.3700104</v>
      </c>
      <c r="H84">
        <v>-7.1673727999999999</v>
      </c>
      <c r="I84">
        <v>6.6733368000000004</v>
      </c>
      <c r="J84">
        <v>13.230584</v>
      </c>
      <c r="K84">
        <v>-1.6645352</v>
      </c>
      <c r="L84">
        <v>-1.72834632</v>
      </c>
      <c r="M84">
        <v>-13.820116000000001</v>
      </c>
      <c r="N84">
        <v>-10.235279999999999</v>
      </c>
      <c r="O84">
        <v>-23.089255999999999</v>
      </c>
      <c r="P84">
        <v>23.270199999999999</v>
      </c>
      <c r="Q84">
        <v>0.76374388000000037</v>
      </c>
      <c r="R84">
        <v>-0.10466912000000091</v>
      </c>
      <c r="S84">
        <v>-13.186844000000001</v>
      </c>
      <c r="T84">
        <v>-7.1275831999999992</v>
      </c>
      <c r="U84">
        <v>-219.55420000000001</v>
      </c>
      <c r="V84">
        <v>71.563699999999969</v>
      </c>
      <c r="W84">
        <v>368.08330000000001</v>
      </c>
      <c r="X84">
        <v>322.90649999999988</v>
      </c>
      <c r="Y84">
        <v>-161.255585</v>
      </c>
      <c r="Z84">
        <v>293.35951499999999</v>
      </c>
      <c r="AA84">
        <v>-365.72599999999989</v>
      </c>
      <c r="AB84">
        <v>13.0219</v>
      </c>
      <c r="AC84">
        <v>238.23199999999991</v>
      </c>
      <c r="AD84">
        <v>-693.7679999999998</v>
      </c>
      <c r="AE84">
        <v>209.97424000000001</v>
      </c>
      <c r="AF84">
        <v>-564.22498999999993</v>
      </c>
      <c r="AG84">
        <v>-1851.7770499999999</v>
      </c>
      <c r="AH84">
        <v>185.94635000000011</v>
      </c>
      <c r="AI84">
        <v>-3.7787420000000012</v>
      </c>
      <c r="AJ84">
        <v>-2.4280539999999999</v>
      </c>
      <c r="AK84">
        <v>0.32606236</v>
      </c>
      <c r="AL84">
        <v>-17.305783999999999</v>
      </c>
      <c r="AM84">
        <v>0.47488172000000001</v>
      </c>
      <c r="AN84">
        <v>-0.99061196000000007</v>
      </c>
      <c r="AO84">
        <v>-7.4054032000000033E-2</v>
      </c>
      <c r="AP84">
        <v>3.7046891999999989</v>
      </c>
      <c r="AQ84">
        <v>0.23819226399999979</v>
      </c>
      <c r="AR84">
        <v>6.7652923999999975E-2</v>
      </c>
      <c r="AS84">
        <v>-3.281438000000006E-2</v>
      </c>
      <c r="AT84">
        <v>4.6649943199999973</v>
      </c>
    </row>
    <row r="85" spans="1:46" x14ac:dyDescent="0.25">
      <c r="A85">
        <v>83</v>
      </c>
      <c r="B85">
        <v>9.7933750000000011</v>
      </c>
      <c r="C85">
        <v>0.54892881318681319</v>
      </c>
      <c r="D85">
        <v>0.29423434326097442</v>
      </c>
      <c r="E85">
        <v>-1.7080640521970399E-3</v>
      </c>
      <c r="F85">
        <v>0.59105467302943249</v>
      </c>
      <c r="G85">
        <v>3.141462599999997</v>
      </c>
      <c r="H85">
        <v>-7.0923081999999988</v>
      </c>
      <c r="I85">
        <v>7.0559242000000042</v>
      </c>
      <c r="J85">
        <v>13.574096000000001</v>
      </c>
      <c r="K85">
        <v>-1.8303138000000021</v>
      </c>
      <c r="L85">
        <v>-1.4225345799999971</v>
      </c>
      <c r="M85">
        <v>-14.183804</v>
      </c>
      <c r="N85">
        <v>-10.21292</v>
      </c>
      <c r="O85">
        <v>-22.834014</v>
      </c>
      <c r="P85">
        <v>22.552599999999991</v>
      </c>
      <c r="Q85">
        <v>0.9698612200000023</v>
      </c>
      <c r="R85">
        <v>-0.67738828000000628</v>
      </c>
      <c r="S85">
        <v>-15.123636000000021</v>
      </c>
      <c r="T85">
        <v>-6.9372657999999978</v>
      </c>
      <c r="U85">
        <v>-217.15667500000001</v>
      </c>
      <c r="V85">
        <v>72.434049999999999</v>
      </c>
      <c r="W85">
        <v>365.11020000000002</v>
      </c>
      <c r="X85">
        <v>328.14224999999999</v>
      </c>
      <c r="Y85">
        <v>-156.3951774999999</v>
      </c>
      <c r="Z85">
        <v>291.69359750000001</v>
      </c>
      <c r="AA85">
        <v>-340.35649999999958</v>
      </c>
      <c r="AB85">
        <v>22.27172500000011</v>
      </c>
      <c r="AC85">
        <v>239.39550000000011</v>
      </c>
      <c r="AD85">
        <v>-667.25449999999967</v>
      </c>
      <c r="AE85">
        <v>189.7537474999998</v>
      </c>
      <c r="AF85">
        <v>-533.29005999999958</v>
      </c>
      <c r="AG85">
        <v>-1811.160824999999</v>
      </c>
      <c r="AH85">
        <v>189.8850250000001</v>
      </c>
      <c r="AI85">
        <v>-3.9588180000000022</v>
      </c>
      <c r="AJ85">
        <v>-2.464376000000001</v>
      </c>
      <c r="AK85">
        <v>0.32273383999999988</v>
      </c>
      <c r="AL85">
        <v>-17.213145999999998</v>
      </c>
      <c r="AM85">
        <v>0.43009567999999948</v>
      </c>
      <c r="AN85">
        <v>-1.063594740000001</v>
      </c>
      <c r="AO85">
        <v>-9.4234608000000233E-2</v>
      </c>
      <c r="AP85">
        <v>3.2227947999999951</v>
      </c>
      <c r="AQ85">
        <v>0.1406786659999989</v>
      </c>
      <c r="AR85">
        <v>5.4024555999999849E-2</v>
      </c>
      <c r="AS85">
        <v>-6.9037970000000407E-2</v>
      </c>
      <c r="AT85">
        <v>2.7600915799999788</v>
      </c>
    </row>
    <row r="86" spans="1:46" x14ac:dyDescent="0.25">
      <c r="A86">
        <v>84</v>
      </c>
      <c r="B86">
        <v>9.7982499999999888</v>
      </c>
      <c r="C86">
        <v>0.54920281318681319</v>
      </c>
      <c r="D86">
        <v>0.22234455840815459</v>
      </c>
      <c r="E86">
        <v>-1.3372399554497641E-3</v>
      </c>
      <c r="F86">
        <v>0.49456793203723232</v>
      </c>
      <c r="G86">
        <v>2.912914799999998</v>
      </c>
      <c r="H86">
        <v>-7.0172435999999996</v>
      </c>
      <c r="I86">
        <v>7.4385116000000018</v>
      </c>
      <c r="J86">
        <v>13.917608</v>
      </c>
      <c r="K86">
        <v>-1.9960924000000011</v>
      </c>
      <c r="L86">
        <v>-1.116722839999998</v>
      </c>
      <c r="M86">
        <v>-14.547492</v>
      </c>
      <c r="N86">
        <v>-10.19056</v>
      </c>
      <c r="O86">
        <v>-22.578772000000001</v>
      </c>
      <c r="P86">
        <v>21.83499999999999</v>
      </c>
      <c r="Q86">
        <v>1.175978560000001</v>
      </c>
      <c r="R86">
        <v>-1.250107440000003</v>
      </c>
      <c r="S86">
        <v>-17.060428000000019</v>
      </c>
      <c r="T86">
        <v>-6.7469483999999991</v>
      </c>
      <c r="U86">
        <v>-214.75915000000001</v>
      </c>
      <c r="V86">
        <v>73.304400000000015</v>
      </c>
      <c r="W86">
        <v>362.13709999999998</v>
      </c>
      <c r="X86">
        <v>333.37799999999999</v>
      </c>
      <c r="Y86">
        <v>-151.53477000000001</v>
      </c>
      <c r="Z86">
        <v>290.02767999999998</v>
      </c>
      <c r="AA86">
        <v>-314.9869999999998</v>
      </c>
      <c r="AB86">
        <v>31.52155000000009</v>
      </c>
      <c r="AC86">
        <v>240.55900000000031</v>
      </c>
      <c r="AD86">
        <v>-640.74099999999976</v>
      </c>
      <c r="AE86">
        <v>169.53325499999991</v>
      </c>
      <c r="AF86">
        <v>-502.3551299999998</v>
      </c>
      <c r="AG86">
        <v>-1770.544599999999</v>
      </c>
      <c r="AH86">
        <v>193.8237</v>
      </c>
      <c r="AI86">
        <v>-4.1388940000000014</v>
      </c>
      <c r="AJ86">
        <v>-2.5006979999999999</v>
      </c>
      <c r="AK86">
        <v>0.31940531999999999</v>
      </c>
      <c r="AL86">
        <v>-17.120508000000001</v>
      </c>
      <c r="AM86">
        <v>0.38530963999999979</v>
      </c>
      <c r="AN86">
        <v>-1.1365775199999999</v>
      </c>
      <c r="AO86">
        <v>-0.1144151840000001</v>
      </c>
      <c r="AP86">
        <v>2.740900399999997</v>
      </c>
      <c r="AQ86">
        <v>4.3165067999999418E-2</v>
      </c>
      <c r="AR86">
        <v>4.0396187999999923E-2</v>
      </c>
      <c r="AS86">
        <v>-0.1052615600000002</v>
      </c>
      <c r="AT86">
        <v>0.85518883999998874</v>
      </c>
    </row>
    <row r="87" spans="1:46" x14ac:dyDescent="0.25">
      <c r="A87">
        <v>85</v>
      </c>
      <c r="B87">
        <v>9.8023749999999836</v>
      </c>
      <c r="C87">
        <v>0.5494738461538462</v>
      </c>
      <c r="D87">
        <v>0.165725538351918</v>
      </c>
      <c r="E87">
        <v>3.5999799550808088E-3</v>
      </c>
      <c r="F87">
        <v>0.41081261028231802</v>
      </c>
      <c r="G87">
        <v>2.689545999999996</v>
      </c>
      <c r="H87">
        <v>-6.9408489999999992</v>
      </c>
      <c r="I87">
        <v>7.8150470000000052</v>
      </c>
      <c r="J87">
        <v>14.266159999999999</v>
      </c>
      <c r="K87">
        <v>-2.1531840000000022</v>
      </c>
      <c r="L87">
        <v>-0.81494889999999531</v>
      </c>
      <c r="M87">
        <v>-14.87092</v>
      </c>
      <c r="N87">
        <v>-10.155628999999999</v>
      </c>
      <c r="O87">
        <v>-22.32685</v>
      </c>
      <c r="P87">
        <v>21.169859999999989</v>
      </c>
      <c r="Q87">
        <v>1.349216000000002</v>
      </c>
      <c r="R87">
        <v>-1.7689280000000069</v>
      </c>
      <c r="S87">
        <v>-18.903820000000032</v>
      </c>
      <c r="T87">
        <v>-6.5460309999999966</v>
      </c>
      <c r="U87">
        <v>-211.6194999999999</v>
      </c>
      <c r="V87">
        <v>74.161250000000024</v>
      </c>
      <c r="W87">
        <v>358.48737499999987</v>
      </c>
      <c r="X87">
        <v>337.06500000000011</v>
      </c>
      <c r="Y87">
        <v>-146.11912499999991</v>
      </c>
      <c r="Z87">
        <v>287.69563749999992</v>
      </c>
      <c r="AA87">
        <v>-289.25124999999952</v>
      </c>
      <c r="AB87">
        <v>39.919500000000163</v>
      </c>
      <c r="AC87">
        <v>239.37250000000029</v>
      </c>
      <c r="AD87">
        <v>-608.66374999999937</v>
      </c>
      <c r="AE87">
        <v>149.22888749999959</v>
      </c>
      <c r="AF87">
        <v>-469.07129999999938</v>
      </c>
      <c r="AG87">
        <v>-1717.8574999999989</v>
      </c>
      <c r="AH87">
        <v>199.78975000000011</v>
      </c>
      <c r="AI87">
        <v>-4.316715000000003</v>
      </c>
      <c r="AJ87">
        <v>-2.5402810000000011</v>
      </c>
      <c r="AK87">
        <v>0.31790289999999999</v>
      </c>
      <c r="AL87">
        <v>-16.894909999999999</v>
      </c>
      <c r="AM87">
        <v>0.35984070000000012</v>
      </c>
      <c r="AN87">
        <v>-1.206192000000001</v>
      </c>
      <c r="AO87">
        <v>-0.13019890000000009</v>
      </c>
      <c r="AP87">
        <v>2.3925099999999979</v>
      </c>
      <c r="AQ87">
        <v>-3.6823370000000813E-2</v>
      </c>
      <c r="AR87">
        <v>2.826679099999985E-2</v>
      </c>
      <c r="AS87">
        <v>-0.1373303000000004</v>
      </c>
      <c r="AT87">
        <v>-0.66239710000001417</v>
      </c>
    </row>
    <row r="88" spans="1:46" x14ac:dyDescent="0.25">
      <c r="A88">
        <v>86</v>
      </c>
      <c r="B88">
        <v>9.8052999999999884</v>
      </c>
      <c r="C88">
        <v>0.54974013186813186</v>
      </c>
      <c r="D88">
        <v>0.1193265295771235</v>
      </c>
      <c r="E88">
        <v>2.4702352699591899E-3</v>
      </c>
      <c r="F88">
        <v>0.35098037773756829</v>
      </c>
      <c r="G88">
        <v>2.4744635999999969</v>
      </c>
      <c r="H88">
        <v>-6.8623263999999988</v>
      </c>
      <c r="I88">
        <v>8.1818992000000037</v>
      </c>
      <c r="J88">
        <v>14.622776</v>
      </c>
      <c r="K88">
        <v>-2.296376400000002</v>
      </c>
      <c r="L88">
        <v>-0.51963543999999673</v>
      </c>
      <c r="M88">
        <v>-15.129932</v>
      </c>
      <c r="N88">
        <v>-10.100584400000001</v>
      </c>
      <c r="O88">
        <v>-22.08024</v>
      </c>
      <c r="P88">
        <v>20.58865599999999</v>
      </c>
      <c r="Q88">
        <v>1.4698456000000011</v>
      </c>
      <c r="R88">
        <v>-2.2015108000000052</v>
      </c>
      <c r="S88">
        <v>-20.59777200000002</v>
      </c>
      <c r="T88">
        <v>-6.3281535999999976</v>
      </c>
      <c r="U88">
        <v>-207.29244999999989</v>
      </c>
      <c r="V88">
        <v>74.996500000000012</v>
      </c>
      <c r="W88">
        <v>353.75504999999998</v>
      </c>
      <c r="X88">
        <v>338.27400000000011</v>
      </c>
      <c r="Y88">
        <v>-139.81509999999989</v>
      </c>
      <c r="Z88">
        <v>284.29779500000001</v>
      </c>
      <c r="AA88">
        <v>-262.92949999999968</v>
      </c>
      <c r="AB88">
        <v>46.954450000000108</v>
      </c>
      <c r="AC88">
        <v>234.4260000000003</v>
      </c>
      <c r="AD88">
        <v>-567.6844999999995</v>
      </c>
      <c r="AE88">
        <v>128.79031999999981</v>
      </c>
      <c r="AF88">
        <v>-432.02922999999959</v>
      </c>
      <c r="AG88">
        <v>-1645.8569999999991</v>
      </c>
      <c r="AH88">
        <v>208.9996000000001</v>
      </c>
      <c r="AI88">
        <v>-4.490928000000002</v>
      </c>
      <c r="AJ88">
        <v>-2.585081600000001</v>
      </c>
      <c r="AK88">
        <v>0.31932223999999998</v>
      </c>
      <c r="AL88">
        <v>-16.456575999999991</v>
      </c>
      <c r="AM88">
        <v>0.36527912000000012</v>
      </c>
      <c r="AN88">
        <v>-1.2704172000000009</v>
      </c>
      <c r="AO88">
        <v>-0.13894764000000009</v>
      </c>
      <c r="AP88">
        <v>2.257725999999999</v>
      </c>
      <c r="AQ88">
        <v>-8.8771552000000559E-2</v>
      </c>
      <c r="AR88">
        <v>1.8535747599999899E-2</v>
      </c>
      <c r="AS88">
        <v>-0.1627512800000003</v>
      </c>
      <c r="AT88">
        <v>-1.5602761600000099</v>
      </c>
    </row>
    <row r="89" spans="1:46" x14ac:dyDescent="0.25">
      <c r="A89">
        <v>87</v>
      </c>
      <c r="B89">
        <v>9.8082249999999931</v>
      </c>
      <c r="C89">
        <v>0.55000641758241764</v>
      </c>
      <c r="D89">
        <v>8.7070186387201598E-2</v>
      </c>
      <c r="E89">
        <v>7.7516097296036104E-4</v>
      </c>
      <c r="F89">
        <v>0.32596900785788852</v>
      </c>
      <c r="G89">
        <v>2.2593811999999991</v>
      </c>
      <c r="H89">
        <v>-6.7838037999999994</v>
      </c>
      <c r="I89">
        <v>8.5487514000000022</v>
      </c>
      <c r="J89">
        <v>14.979392000000001</v>
      </c>
      <c r="K89">
        <v>-2.4395688000000009</v>
      </c>
      <c r="L89">
        <v>-0.22432197999999831</v>
      </c>
      <c r="M89">
        <v>-15.388944</v>
      </c>
      <c r="N89">
        <v>-10.0455398</v>
      </c>
      <c r="O89">
        <v>-21.833629999999999</v>
      </c>
      <c r="P89">
        <v>20.007452000000001</v>
      </c>
      <c r="Q89">
        <v>1.5904752000000011</v>
      </c>
      <c r="R89">
        <v>-2.634093600000003</v>
      </c>
      <c r="S89">
        <v>-22.291724000000009</v>
      </c>
      <c r="T89">
        <v>-6.1102761999999986</v>
      </c>
      <c r="U89">
        <v>-202.96539999999999</v>
      </c>
      <c r="V89">
        <v>75.831749999999985</v>
      </c>
      <c r="W89">
        <v>349.02272499999998</v>
      </c>
      <c r="X89">
        <v>339.48300000000017</v>
      </c>
      <c r="Y89">
        <v>-133.51107499999989</v>
      </c>
      <c r="Z89">
        <v>280.89995249999998</v>
      </c>
      <c r="AA89">
        <v>-236.6077499999999</v>
      </c>
      <c r="AB89">
        <v>53.98940000000006</v>
      </c>
      <c r="AC89">
        <v>229.47950000000029</v>
      </c>
      <c r="AD89">
        <v>-526.70524999999975</v>
      </c>
      <c r="AE89">
        <v>108.3517524999999</v>
      </c>
      <c r="AF89">
        <v>-394.98715999999979</v>
      </c>
      <c r="AG89">
        <v>-1573.856499999999</v>
      </c>
      <c r="AH89">
        <v>218.20945000000009</v>
      </c>
      <c r="AI89">
        <v>-4.6651410000000011</v>
      </c>
      <c r="AJ89">
        <v>-2.6298821999999999</v>
      </c>
      <c r="AK89">
        <v>0.32074158000000003</v>
      </c>
      <c r="AL89">
        <v>-16.018242000000001</v>
      </c>
      <c r="AM89">
        <v>0.37071754000000012</v>
      </c>
      <c r="AN89">
        <v>-1.3346423999999999</v>
      </c>
      <c r="AO89">
        <v>-0.1476963800000001</v>
      </c>
      <c r="AP89">
        <v>2.1229419999999992</v>
      </c>
      <c r="AQ89">
        <v>-0.14071973400000029</v>
      </c>
      <c r="AR89">
        <v>8.8047041999999402E-3</v>
      </c>
      <c r="AS89">
        <v>-0.18817226000000009</v>
      </c>
      <c r="AT89">
        <v>-2.458155220000005</v>
      </c>
    </row>
    <row r="90" spans="1:46" x14ac:dyDescent="0.25">
      <c r="A90">
        <v>88</v>
      </c>
      <c r="B90">
        <v>9.8111499999999978</v>
      </c>
      <c r="C90">
        <v>0.5502727032967033</v>
      </c>
      <c r="D90">
        <v>7.2230794932120784E-2</v>
      </c>
      <c r="E90">
        <v>5.3317341255302219E-3</v>
      </c>
      <c r="F90">
        <v>0.27879760986121971</v>
      </c>
      <c r="G90">
        <v>2.044298799999996</v>
      </c>
      <c r="H90">
        <v>-6.7052811999999991</v>
      </c>
      <c r="I90">
        <v>8.9156036000000061</v>
      </c>
      <c r="J90">
        <v>15.33600800000001</v>
      </c>
      <c r="K90">
        <v>-2.582761200000002</v>
      </c>
      <c r="L90">
        <v>7.0991480000004548E-2</v>
      </c>
      <c r="M90">
        <v>-15.647956000000001</v>
      </c>
      <c r="N90">
        <v>-9.9904951999999998</v>
      </c>
      <c r="O90">
        <v>-21.587019999999999</v>
      </c>
      <c r="P90">
        <v>19.42624799999999</v>
      </c>
      <c r="Q90">
        <v>1.711104800000002</v>
      </c>
      <c r="R90">
        <v>-3.0666764000000071</v>
      </c>
      <c r="S90">
        <v>-23.98567600000003</v>
      </c>
      <c r="T90">
        <v>-5.8923987999999961</v>
      </c>
      <c r="U90">
        <v>-198.63834999999989</v>
      </c>
      <c r="V90">
        <v>76.666999999999987</v>
      </c>
      <c r="W90">
        <v>344.29039999999998</v>
      </c>
      <c r="X90">
        <v>340.69200000000029</v>
      </c>
      <c r="Y90">
        <v>-127.2070499999999</v>
      </c>
      <c r="Z90">
        <v>277.50211000000002</v>
      </c>
      <c r="AA90">
        <v>-210.28599999999969</v>
      </c>
      <c r="AB90">
        <v>61.024350000000112</v>
      </c>
      <c r="AC90">
        <v>224.53300000000019</v>
      </c>
      <c r="AD90">
        <v>-485.72599999999937</v>
      </c>
      <c r="AE90">
        <v>87.913184999999672</v>
      </c>
      <c r="AF90">
        <v>-357.94508999999948</v>
      </c>
      <c r="AG90">
        <v>-1501.8559999999991</v>
      </c>
      <c r="AH90">
        <v>227.41930000000019</v>
      </c>
      <c r="AI90">
        <v>-4.8393540000000028</v>
      </c>
      <c r="AJ90">
        <v>-2.6746828000000011</v>
      </c>
      <c r="AK90">
        <v>0.32216092000000002</v>
      </c>
      <c r="AL90">
        <v>-15.579907999999991</v>
      </c>
      <c r="AM90">
        <v>0.37615596000000012</v>
      </c>
      <c r="AN90">
        <v>-1.3988676000000011</v>
      </c>
      <c r="AO90">
        <v>-0.15644512000000019</v>
      </c>
      <c r="AP90">
        <v>1.9881579999999981</v>
      </c>
      <c r="AQ90">
        <v>-0.1926679160000008</v>
      </c>
      <c r="AR90">
        <v>-9.2633920000015357E-4</v>
      </c>
      <c r="AS90">
        <v>-0.21359324000000041</v>
      </c>
      <c r="AT90">
        <v>-3.356034280000014</v>
      </c>
    </row>
    <row r="91" spans="1:46" x14ac:dyDescent="0.25">
      <c r="A91">
        <v>89</v>
      </c>
      <c r="B91">
        <v>9.812675000000004</v>
      </c>
      <c r="C91">
        <v>0.55053175824175826</v>
      </c>
      <c r="D91">
        <v>5.9763362245664711E-2</v>
      </c>
      <c r="E91">
        <v>1.55966984759273E-2</v>
      </c>
      <c r="F91">
        <v>0.24874052759593829</v>
      </c>
      <c r="G91">
        <v>1.8406053999999981</v>
      </c>
      <c r="H91">
        <v>-6.6250225999999994</v>
      </c>
      <c r="I91">
        <v>9.2705432000000041</v>
      </c>
      <c r="J91">
        <v>15.690776</v>
      </c>
      <c r="K91">
        <v>-2.7109596000000011</v>
      </c>
      <c r="L91">
        <v>0.35732100000000239</v>
      </c>
      <c r="M91">
        <v>-15.849945999999999</v>
      </c>
      <c r="N91">
        <v>-9.9227455999999989</v>
      </c>
      <c r="O91">
        <v>-21.35707</v>
      </c>
      <c r="P91">
        <v>18.948125999999998</v>
      </c>
      <c r="Q91">
        <v>1.7897232000000001</v>
      </c>
      <c r="R91">
        <v>-3.4151514000000018</v>
      </c>
      <c r="S91">
        <v>-25.500232000000011</v>
      </c>
      <c r="T91">
        <v>-5.6496881999999973</v>
      </c>
      <c r="U91">
        <v>-193.31672249999991</v>
      </c>
      <c r="V91">
        <v>77.462524999999971</v>
      </c>
      <c r="W91">
        <v>338.79402499999998</v>
      </c>
      <c r="X91">
        <v>339.70825000000019</v>
      </c>
      <c r="Y91">
        <v>-120.2623499999999</v>
      </c>
      <c r="Z91">
        <v>273.36818249999988</v>
      </c>
      <c r="AA91">
        <v>-184.25649999999979</v>
      </c>
      <c r="AB91">
        <v>66.927750000000032</v>
      </c>
      <c r="AC91">
        <v>217.07700000000011</v>
      </c>
      <c r="AD91">
        <v>-438.43974999999972</v>
      </c>
      <c r="AE91">
        <v>69.253474999999852</v>
      </c>
      <c r="AF91">
        <v>-319.94219999999967</v>
      </c>
      <c r="AG91">
        <v>-1422.5089999999991</v>
      </c>
      <c r="AH91">
        <v>238.6052500000001</v>
      </c>
      <c r="AI91">
        <v>-4.9029123999999999</v>
      </c>
      <c r="AJ91">
        <v>-2.6619153999999989</v>
      </c>
      <c r="AK91">
        <v>0.31626581999999992</v>
      </c>
      <c r="AL91">
        <v>-14.735979999999991</v>
      </c>
      <c r="AM91">
        <v>0.34387753999999943</v>
      </c>
      <c r="AN91">
        <v>-1.4216654</v>
      </c>
      <c r="AO91">
        <v>-0.15945106000000001</v>
      </c>
      <c r="AP91">
        <v>1.7093338799999971</v>
      </c>
      <c r="AQ91">
        <v>-0.22573406000000021</v>
      </c>
      <c r="AR91">
        <v>-5.9298458000000094E-3</v>
      </c>
      <c r="AS91">
        <v>-0.22854516000000011</v>
      </c>
      <c r="AT91">
        <v>-3.849892800000001</v>
      </c>
    </row>
    <row r="92" spans="1:46" x14ac:dyDescent="0.25">
      <c r="A92">
        <v>90</v>
      </c>
      <c r="B92">
        <v>9.8130000000000113</v>
      </c>
      <c r="C92">
        <v>0.55078461538461543</v>
      </c>
      <c r="D92">
        <v>3.1059449093031152E-2</v>
      </c>
      <c r="E92">
        <v>1.0593298512369009E-2</v>
      </c>
      <c r="F92">
        <v>0.26006050290120503</v>
      </c>
      <c r="G92">
        <v>1.646674</v>
      </c>
      <c r="H92">
        <v>-6.5432759999999996</v>
      </c>
      <c r="I92">
        <v>9.6152720000000009</v>
      </c>
      <c r="J92">
        <v>16.043959999999998</v>
      </c>
      <c r="K92">
        <v>-2.8263060000000002</v>
      </c>
      <c r="L92">
        <v>0.63595000000000002</v>
      </c>
      <c r="M92">
        <v>-16.003060000000001</v>
      </c>
      <c r="N92">
        <v>-9.844106</v>
      </c>
      <c r="O92">
        <v>-21.141400000000001</v>
      </c>
      <c r="P92">
        <v>18.55836</v>
      </c>
      <c r="Q92">
        <v>1.8323320000000001</v>
      </c>
      <c r="R92">
        <v>-3.6915339999999999</v>
      </c>
      <c r="S92">
        <v>-26.86102</v>
      </c>
      <c r="T92">
        <v>-5.3856919999999997</v>
      </c>
      <c r="U92">
        <v>-187.14259999999999</v>
      </c>
      <c r="V92">
        <v>78.223999999999975</v>
      </c>
      <c r="W92">
        <v>332.64274999999998</v>
      </c>
      <c r="X92">
        <v>336.84500000000008</v>
      </c>
      <c r="Y92">
        <v>-112.7685</v>
      </c>
      <c r="Z92">
        <v>268.60332499999998</v>
      </c>
      <c r="AA92">
        <v>-158.47749999999999</v>
      </c>
      <c r="AB92">
        <v>71.861249999999984</v>
      </c>
      <c r="AC92">
        <v>207.47000000000011</v>
      </c>
      <c r="AD92">
        <v>-385.74750000000017</v>
      </c>
      <c r="AE92">
        <v>52.118499999999997</v>
      </c>
      <c r="AF92">
        <v>-281.11574999999999</v>
      </c>
      <c r="AG92">
        <v>-1336.865</v>
      </c>
      <c r="AH92">
        <v>251.48500000000001</v>
      </c>
      <c r="AI92">
        <v>-4.8716240000000006</v>
      </c>
      <c r="AJ92">
        <v>-2.5998039999999998</v>
      </c>
      <c r="AK92">
        <v>0.30410120000000002</v>
      </c>
      <c r="AL92">
        <v>-13.5444</v>
      </c>
      <c r="AM92">
        <v>0.27927039999999997</v>
      </c>
      <c r="AN92">
        <v>-1.408954</v>
      </c>
      <c r="AO92">
        <v>-0.1575346</v>
      </c>
      <c r="AP92">
        <v>1.3070468</v>
      </c>
      <c r="AQ92">
        <v>-0.24261559999999999</v>
      </c>
      <c r="AR92">
        <v>-6.8811779999999999E-3</v>
      </c>
      <c r="AS92">
        <v>-0.2345236</v>
      </c>
      <c r="AT92">
        <v>-3.9974479999999999</v>
      </c>
    </row>
    <row r="93" spans="1:46" x14ac:dyDescent="0.25">
      <c r="A93">
        <v>91</v>
      </c>
      <c r="B93">
        <v>9.8133250000000185</v>
      </c>
      <c r="C93">
        <v>0.55103747252747248</v>
      </c>
      <c r="D93">
        <v>2.3975751320599519E-2</v>
      </c>
      <c r="E93">
        <v>1.6893312380285599E-2</v>
      </c>
      <c r="F93">
        <v>0.16872382120927301</v>
      </c>
      <c r="G93">
        <v>1.452742599999999</v>
      </c>
      <c r="H93">
        <v>-6.4615293999999999</v>
      </c>
      <c r="I93">
        <v>9.9600008000000013</v>
      </c>
      <c r="J93">
        <v>16.397144000000001</v>
      </c>
      <c r="K93">
        <v>-2.9416524000000011</v>
      </c>
      <c r="L93">
        <v>0.91457900000000159</v>
      </c>
      <c r="M93">
        <v>-16.156174</v>
      </c>
      <c r="N93">
        <v>-9.7654663999999993</v>
      </c>
      <c r="O93">
        <v>-20.925730000000001</v>
      </c>
      <c r="P93">
        <v>18.168593999999999</v>
      </c>
      <c r="Q93">
        <v>1.8749408000000001</v>
      </c>
      <c r="R93">
        <v>-3.9679166000000019</v>
      </c>
      <c r="S93">
        <v>-28.22180800000001</v>
      </c>
      <c r="T93">
        <v>-5.1216957999999986</v>
      </c>
      <c r="U93">
        <v>-180.96847749999989</v>
      </c>
      <c r="V93">
        <v>78.985474999999994</v>
      </c>
      <c r="W93">
        <v>326.49147499999998</v>
      </c>
      <c r="X93">
        <v>333.98174999999992</v>
      </c>
      <c r="Y93">
        <v>-105.27464999999999</v>
      </c>
      <c r="Z93">
        <v>263.83846749999992</v>
      </c>
      <c r="AA93">
        <v>-132.69849999999991</v>
      </c>
      <c r="AB93">
        <v>76.794750000000008</v>
      </c>
      <c r="AC93">
        <v>197.86299999999989</v>
      </c>
      <c r="AD93">
        <v>-333.05524999999989</v>
      </c>
      <c r="AE93">
        <v>34.983524999999908</v>
      </c>
      <c r="AF93">
        <v>-242.2892999999998</v>
      </c>
      <c r="AG93">
        <v>-1251.221</v>
      </c>
      <c r="AH93">
        <v>264.36475000000002</v>
      </c>
      <c r="AI93">
        <v>-4.8403356000000004</v>
      </c>
      <c r="AJ93">
        <v>-2.5376926000000002</v>
      </c>
      <c r="AK93">
        <v>0.29193657999999989</v>
      </c>
      <c r="AL93">
        <v>-12.352819999999991</v>
      </c>
      <c r="AM93">
        <v>0.21466325999999961</v>
      </c>
      <c r="AN93">
        <v>-1.3962425999999999</v>
      </c>
      <c r="AO93">
        <v>-0.15561813999999999</v>
      </c>
      <c r="AP93">
        <v>0.90475971999999771</v>
      </c>
      <c r="AQ93">
        <v>-0.25949714000000013</v>
      </c>
      <c r="AR93">
        <v>-7.832510200000007E-3</v>
      </c>
      <c r="AS93">
        <v>-0.24050204</v>
      </c>
      <c r="AT93">
        <v>-4.1450032000000014</v>
      </c>
    </row>
    <row r="94" spans="1:46" x14ac:dyDescent="0.25">
      <c r="A94">
        <v>92</v>
      </c>
      <c r="B94">
        <v>9.8136500000000257</v>
      </c>
      <c r="C94">
        <v>0.55129032967032965</v>
      </c>
      <c r="D94">
        <v>1.8608445035871769E-2</v>
      </c>
      <c r="E94">
        <v>1.388237274913178E-2</v>
      </c>
      <c r="F94">
        <v>0.14544370515778379</v>
      </c>
      <c r="G94">
        <v>1.2588112000000009</v>
      </c>
      <c r="H94">
        <v>-6.3797828000000001</v>
      </c>
      <c r="I94">
        <v>10.3047296</v>
      </c>
      <c r="J94">
        <v>16.750328</v>
      </c>
      <c r="K94">
        <v>-3.0569988000000001</v>
      </c>
      <c r="L94">
        <v>1.1932079999999989</v>
      </c>
      <c r="M94">
        <v>-16.309287999999999</v>
      </c>
      <c r="N94">
        <v>-9.6868268000000004</v>
      </c>
      <c r="O94">
        <v>-20.710059999999999</v>
      </c>
      <c r="P94">
        <v>17.778828000000001</v>
      </c>
      <c r="Q94">
        <v>1.9175496000000001</v>
      </c>
      <c r="R94">
        <v>-4.2442991999999986</v>
      </c>
      <c r="S94">
        <v>-29.582595999999999</v>
      </c>
      <c r="T94">
        <v>-4.8576996000000001</v>
      </c>
      <c r="U94">
        <v>-174.794355</v>
      </c>
      <c r="V94">
        <v>79.746949999999998</v>
      </c>
      <c r="W94">
        <v>320.34019999999998</v>
      </c>
      <c r="X94">
        <v>331.11849999999981</v>
      </c>
      <c r="Y94">
        <v>-97.780800000000056</v>
      </c>
      <c r="Z94">
        <v>259.07360999999997</v>
      </c>
      <c r="AA94">
        <v>-106.9195000000001</v>
      </c>
      <c r="AB94">
        <v>81.728249999999946</v>
      </c>
      <c r="AC94">
        <v>188.25599999999989</v>
      </c>
      <c r="AD94">
        <v>-280.36300000000051</v>
      </c>
      <c r="AE94">
        <v>17.848550000000071</v>
      </c>
      <c r="AF94">
        <v>-203.4628500000002</v>
      </c>
      <c r="AG94">
        <v>-1165.5770000000009</v>
      </c>
      <c r="AH94">
        <v>277.2444999999999</v>
      </c>
      <c r="AI94">
        <v>-4.8090472000000002</v>
      </c>
      <c r="AJ94">
        <v>-2.4755812000000001</v>
      </c>
      <c r="AK94">
        <v>0.27977195999999999</v>
      </c>
      <c r="AL94">
        <v>-11.161239999999999</v>
      </c>
      <c r="AM94">
        <v>0.15005612000000021</v>
      </c>
      <c r="AN94">
        <v>-1.3835312</v>
      </c>
      <c r="AO94">
        <v>-0.15370168000000001</v>
      </c>
      <c r="AP94">
        <v>0.50247264000000125</v>
      </c>
      <c r="AQ94">
        <v>-0.27637867999999988</v>
      </c>
      <c r="AR94">
        <v>-8.7838423999999984E-3</v>
      </c>
      <c r="AS94">
        <v>-0.24648048</v>
      </c>
      <c r="AT94">
        <v>-4.292558399999999</v>
      </c>
    </row>
    <row r="95" spans="1:46" x14ac:dyDescent="0.25">
      <c r="A95">
        <v>93</v>
      </c>
      <c r="B95">
        <v>9.811950000000019</v>
      </c>
      <c r="C95">
        <v>0.55153131868131866</v>
      </c>
      <c r="D95">
        <v>8.1899774208039327E-3</v>
      </c>
      <c r="E95">
        <v>5.7963137759883014E-3</v>
      </c>
      <c r="F95">
        <v>0.1109267257261458</v>
      </c>
      <c r="G95">
        <v>1.084431940000002</v>
      </c>
      <c r="H95">
        <v>-6.2960508000000006</v>
      </c>
      <c r="I95">
        <v>10.630706</v>
      </c>
      <c r="J95">
        <v>17.090029999999999</v>
      </c>
      <c r="K95">
        <v>-3.1501188</v>
      </c>
      <c r="L95">
        <v>1.4569977999999979</v>
      </c>
      <c r="M95">
        <v>-16.392939999999999</v>
      </c>
      <c r="N95">
        <v>-9.5971982000000011</v>
      </c>
      <c r="O95">
        <v>-20.526178000000002</v>
      </c>
      <c r="P95">
        <v>17.548362000000001</v>
      </c>
      <c r="Q95">
        <v>1.9192714</v>
      </c>
      <c r="R95">
        <v>-4.4137815999999992</v>
      </c>
      <c r="S95">
        <v>-30.699699999999989</v>
      </c>
      <c r="T95">
        <v>-4.5542978000000023</v>
      </c>
      <c r="U95">
        <v>-167.47183250000009</v>
      </c>
      <c r="V95">
        <v>80.444749999999999</v>
      </c>
      <c r="W95">
        <v>313.46870000000013</v>
      </c>
      <c r="X95">
        <v>325.63399999999979</v>
      </c>
      <c r="Y95">
        <v>-89.639175000000094</v>
      </c>
      <c r="Z95">
        <v>253.60925</v>
      </c>
      <c r="AA95">
        <v>-82.762750000000167</v>
      </c>
      <c r="AB95">
        <v>85.534949999999938</v>
      </c>
      <c r="AC95">
        <v>176.82424999999989</v>
      </c>
      <c r="AD95">
        <v>-222.99525000000079</v>
      </c>
      <c r="AE95">
        <v>4.3754500000001126</v>
      </c>
      <c r="AF95">
        <v>-166.10767500000031</v>
      </c>
      <c r="AG95">
        <v>-1080.9005000000011</v>
      </c>
      <c r="AH95">
        <v>291.24114999999978</v>
      </c>
      <c r="AI95">
        <v>-4.6848338000000016</v>
      </c>
      <c r="AJ95">
        <v>-2.370743200000001</v>
      </c>
      <c r="AK95">
        <v>0.26298080000000013</v>
      </c>
      <c r="AL95">
        <v>-9.9151866000000126</v>
      </c>
      <c r="AM95">
        <v>5.9898700000000901E-2</v>
      </c>
      <c r="AN95">
        <v>-1.3390858000000001</v>
      </c>
      <c r="AO95">
        <v>-0.15097630000000001</v>
      </c>
      <c r="AP95">
        <v>0.29195378000000111</v>
      </c>
      <c r="AQ95">
        <v>-0.27323396000000011</v>
      </c>
      <c r="AR95">
        <v>-8.0092950000000152E-3</v>
      </c>
      <c r="AS95">
        <v>-0.2454607</v>
      </c>
      <c r="AT95">
        <v>-4.1067860000000032</v>
      </c>
    </row>
    <row r="96" spans="1:46" x14ac:dyDescent="0.25">
      <c r="A96">
        <v>94</v>
      </c>
      <c r="B96">
        <v>9.8093500000000056</v>
      </c>
      <c r="C96">
        <v>0.551767032967033</v>
      </c>
      <c r="D96">
        <v>8.8014119040192597E-4</v>
      </c>
      <c r="E96">
        <v>6.1192183107839162E-4</v>
      </c>
      <c r="F96">
        <v>8.5074490798243835E-2</v>
      </c>
      <c r="G96">
        <v>0.9187425199999999</v>
      </c>
      <c r="H96">
        <v>-6.2114364000000002</v>
      </c>
      <c r="I96">
        <v>10.948347999999999</v>
      </c>
      <c r="J96">
        <v>17.423739999999999</v>
      </c>
      <c r="K96">
        <v>-3.2333604</v>
      </c>
      <c r="L96">
        <v>1.7141923999999999</v>
      </c>
      <c r="M96">
        <v>-16.445720000000001</v>
      </c>
      <c r="N96">
        <v>-9.5026855999999995</v>
      </c>
      <c r="O96">
        <v>-20.356424000000001</v>
      </c>
      <c r="P96">
        <v>17.388695999999999</v>
      </c>
      <c r="Q96">
        <v>1.9028212</v>
      </c>
      <c r="R96">
        <v>-4.5357528</v>
      </c>
      <c r="S96">
        <v>-31.708500000000001</v>
      </c>
      <c r="T96">
        <v>-4.2333824</v>
      </c>
      <c r="U96">
        <v>-159.63891000000001</v>
      </c>
      <c r="V96">
        <v>81.114249999999998</v>
      </c>
      <c r="W96">
        <v>306.27710000000002</v>
      </c>
      <c r="X96">
        <v>318.98449999999968</v>
      </c>
      <c r="Y96">
        <v>-81.209649999999996</v>
      </c>
      <c r="Z96">
        <v>247.834</v>
      </c>
      <c r="AA96">
        <v>-59.326999999999899</v>
      </c>
      <c r="AB96">
        <v>88.840849999999975</v>
      </c>
      <c r="AC96">
        <v>164.58149999999981</v>
      </c>
      <c r="AD96">
        <v>-163.54950000000011</v>
      </c>
      <c r="AE96">
        <v>-7.4701500000000021</v>
      </c>
      <c r="AF96">
        <v>-129.40639999999999</v>
      </c>
      <c r="AG96">
        <v>-996.65400000000022</v>
      </c>
      <c r="AH96">
        <v>305.73419999999999</v>
      </c>
      <c r="AI96">
        <v>-4.5193203999999998</v>
      </c>
      <c r="AJ96">
        <v>-2.2469155999999999</v>
      </c>
      <c r="AK96">
        <v>0.2441334</v>
      </c>
      <c r="AL96">
        <v>-8.6449227999999998</v>
      </c>
      <c r="AM96">
        <v>-4.1614400000000051E-2</v>
      </c>
      <c r="AN96">
        <v>-1.2805363999999999</v>
      </c>
      <c r="AO96">
        <v>-0.14789140000000001</v>
      </c>
      <c r="AP96">
        <v>0.16666523999999991</v>
      </c>
      <c r="AQ96">
        <v>-0.26118868000000001</v>
      </c>
      <c r="AR96">
        <v>-6.4676899999999999E-3</v>
      </c>
      <c r="AS96">
        <v>-0.24133060000000001</v>
      </c>
      <c r="AT96">
        <v>-3.772867999999999</v>
      </c>
    </row>
    <row r="97" spans="1:46" x14ac:dyDescent="0.25">
      <c r="A97">
        <v>95</v>
      </c>
      <c r="B97">
        <v>9.8067499999999939</v>
      </c>
      <c r="C97">
        <v>0.55200274725274723</v>
      </c>
      <c r="D97">
        <v>-9.871274177343718E-4</v>
      </c>
      <c r="E97">
        <v>1.4458528027167899E-4</v>
      </c>
      <c r="F97">
        <v>2.8095218514621351E-2</v>
      </c>
      <c r="G97">
        <v>0.7530531000000007</v>
      </c>
      <c r="H97">
        <v>-6.1268220000000007</v>
      </c>
      <c r="I97">
        <v>11.26599</v>
      </c>
      <c r="J97">
        <v>17.757449999999999</v>
      </c>
      <c r="K97">
        <v>-3.3166020000000001</v>
      </c>
      <c r="L97">
        <v>1.9713869999999989</v>
      </c>
      <c r="M97">
        <v>-16.4985</v>
      </c>
      <c r="N97">
        <v>-9.4081730000000015</v>
      </c>
      <c r="O97">
        <v>-20.186669999999999</v>
      </c>
      <c r="P97">
        <v>17.229030000000002</v>
      </c>
      <c r="Q97">
        <v>1.886371</v>
      </c>
      <c r="R97">
        <v>-4.657724</v>
      </c>
      <c r="S97">
        <v>-32.717299999999987</v>
      </c>
      <c r="T97">
        <v>-3.9124670000000008</v>
      </c>
      <c r="U97">
        <v>-151.80598749999999</v>
      </c>
      <c r="V97">
        <v>81.783749999999998</v>
      </c>
      <c r="W97">
        <v>299.08550000000002</v>
      </c>
      <c r="X97">
        <v>312.3349999999997</v>
      </c>
      <c r="Y97">
        <v>-72.780125000000027</v>
      </c>
      <c r="Z97">
        <v>242.05875</v>
      </c>
      <c r="AA97">
        <v>-35.891249999999957</v>
      </c>
      <c r="AB97">
        <v>92.146749999999969</v>
      </c>
      <c r="AC97">
        <v>152.33874999999989</v>
      </c>
      <c r="AD97">
        <v>-104.1037500000002</v>
      </c>
      <c r="AE97">
        <v>-19.315749999999952</v>
      </c>
      <c r="AF97">
        <v>-92.705125000000137</v>
      </c>
      <c r="AG97">
        <v>-912.40750000000048</v>
      </c>
      <c r="AH97">
        <v>320.22724999999991</v>
      </c>
      <c r="AI97">
        <v>-4.3538070000000006</v>
      </c>
      <c r="AJ97">
        <v>-2.123088000000001</v>
      </c>
      <c r="AK97">
        <v>0.2252860000000001</v>
      </c>
      <c r="AL97">
        <v>-7.3746590000000056</v>
      </c>
      <c r="AM97">
        <v>-0.14312749999999949</v>
      </c>
      <c r="AN97">
        <v>-1.2219869999999999</v>
      </c>
      <c r="AO97">
        <v>-0.1448065</v>
      </c>
      <c r="AP97">
        <v>4.1376700000000537E-2</v>
      </c>
      <c r="AQ97">
        <v>-0.24914339999999999</v>
      </c>
      <c r="AR97">
        <v>-4.9260850000000071E-3</v>
      </c>
      <c r="AS97">
        <v>-0.23720050000000001</v>
      </c>
      <c r="AT97">
        <v>-3.4389500000000011</v>
      </c>
    </row>
    <row r="98" spans="1:46" x14ac:dyDescent="0.25">
      <c r="A98">
        <v>96</v>
      </c>
      <c r="B98">
        <v>9.8041499999999822</v>
      </c>
      <c r="C98">
        <v>0.55223846153846157</v>
      </c>
      <c r="D98">
        <v>0</v>
      </c>
      <c r="E98">
        <v>0</v>
      </c>
      <c r="F98">
        <v>0</v>
      </c>
      <c r="G98">
        <v>0.5873636800000015</v>
      </c>
      <c r="H98">
        <v>-6.0422076000000002</v>
      </c>
      <c r="I98">
        <v>11.583632</v>
      </c>
      <c r="J98">
        <v>18.091159999999999</v>
      </c>
      <c r="K98">
        <v>-3.3998436000000001</v>
      </c>
      <c r="L98">
        <v>2.2285815999999969</v>
      </c>
      <c r="M98">
        <v>-16.551279999999998</v>
      </c>
      <c r="N98">
        <v>-9.3136604000000016</v>
      </c>
      <c r="O98">
        <v>-20.016915999999998</v>
      </c>
      <c r="P98">
        <v>17.069364</v>
      </c>
      <c r="Q98">
        <v>1.8699208</v>
      </c>
      <c r="R98">
        <v>-4.779695199999999</v>
      </c>
      <c r="S98">
        <v>-33.726100000000002</v>
      </c>
      <c r="T98">
        <v>-3.591551600000003</v>
      </c>
      <c r="U98">
        <v>-143.9730650000001</v>
      </c>
      <c r="V98">
        <v>82.453249999999983</v>
      </c>
      <c r="W98">
        <v>291.89389999999997</v>
      </c>
      <c r="X98">
        <v>305.68549999999971</v>
      </c>
      <c r="Y98">
        <v>-64.350600000000043</v>
      </c>
      <c r="Z98">
        <v>236.28350000000009</v>
      </c>
      <c r="AA98">
        <v>-12.455500000000031</v>
      </c>
      <c r="AB98">
        <v>95.452649999999963</v>
      </c>
      <c r="AC98">
        <v>140.09599999999989</v>
      </c>
      <c r="AD98">
        <v>-44.658000000000378</v>
      </c>
      <c r="AE98">
        <v>-31.161349999999899</v>
      </c>
      <c r="AF98">
        <v>-56.003850000000277</v>
      </c>
      <c r="AG98">
        <v>-828.16100000000074</v>
      </c>
      <c r="AH98">
        <v>334.72029999999978</v>
      </c>
      <c r="AI98">
        <v>-4.1882936000000024</v>
      </c>
      <c r="AJ98">
        <v>-1.9992604000000009</v>
      </c>
      <c r="AK98">
        <v>0.20643860000000019</v>
      </c>
      <c r="AL98">
        <v>-6.1043952000000106</v>
      </c>
      <c r="AM98">
        <v>-0.24464059999999899</v>
      </c>
      <c r="AN98">
        <v>-1.1634376000000011</v>
      </c>
      <c r="AO98">
        <v>-0.1417216</v>
      </c>
      <c r="AP98">
        <v>-8.391183999999885E-2</v>
      </c>
      <c r="AQ98">
        <v>-0.23709812000000011</v>
      </c>
      <c r="AR98">
        <v>-3.3844800000000139E-3</v>
      </c>
      <c r="AS98">
        <v>-0.23307040000000001</v>
      </c>
      <c r="AT98">
        <v>-3.1050320000000031</v>
      </c>
    </row>
    <row r="99" spans="1:46" x14ac:dyDescent="0.25">
      <c r="A99">
        <v>97</v>
      </c>
      <c r="B99">
        <v>9.7985249999999784</v>
      </c>
      <c r="C99">
        <v>0.55245846153846156</v>
      </c>
      <c r="D99">
        <v>0</v>
      </c>
      <c r="E99">
        <v>0</v>
      </c>
      <c r="F99">
        <v>0</v>
      </c>
      <c r="G99">
        <v>0.45080005999999989</v>
      </c>
      <c r="H99">
        <v>-5.9554878000000002</v>
      </c>
      <c r="I99">
        <v>11.875512000000001</v>
      </c>
      <c r="J99">
        <v>18.396336000000002</v>
      </c>
      <c r="K99">
        <v>-3.4531893999999999</v>
      </c>
      <c r="L99">
        <v>2.4648189999999999</v>
      </c>
      <c r="M99">
        <v>-16.530315999999999</v>
      </c>
      <c r="N99">
        <v>-9.2102003999999997</v>
      </c>
      <c r="O99">
        <v>-19.891183999999999</v>
      </c>
      <c r="P99">
        <v>17.1174</v>
      </c>
      <c r="Q99">
        <v>1.823258</v>
      </c>
      <c r="R99">
        <v>-4.7838828000000007</v>
      </c>
      <c r="S99">
        <v>-34.462451999999999</v>
      </c>
      <c r="T99">
        <v>-3.2206918</v>
      </c>
      <c r="U99">
        <v>-134.98222749999999</v>
      </c>
      <c r="V99">
        <v>83.053174999999982</v>
      </c>
      <c r="W99">
        <v>284.14625000000001</v>
      </c>
      <c r="X99">
        <v>296.28599999999977</v>
      </c>
      <c r="Y99">
        <v>-55.369149999999969</v>
      </c>
      <c r="Z99">
        <v>229.93102500000001</v>
      </c>
      <c r="AA99">
        <v>7.4602500000001939</v>
      </c>
      <c r="AB99">
        <v>97.896425000000008</v>
      </c>
      <c r="AC99">
        <v>127.4682499999999</v>
      </c>
      <c r="AD99">
        <v>15.524750000000139</v>
      </c>
      <c r="AE99">
        <v>-38.211225000000013</v>
      </c>
      <c r="AF99">
        <v>-23.10252499999994</v>
      </c>
      <c r="AG99">
        <v>-752.94274999999993</v>
      </c>
      <c r="AH99">
        <v>348.6816925</v>
      </c>
      <c r="AI99">
        <v>-4.0455524</v>
      </c>
      <c r="AJ99">
        <v>-1.900053</v>
      </c>
      <c r="AK99">
        <v>0.19984167999999999</v>
      </c>
      <c r="AL99">
        <v>-5.1523393999999998</v>
      </c>
      <c r="AM99">
        <v>-0.30094633999999998</v>
      </c>
      <c r="AN99">
        <v>-1.12012694</v>
      </c>
      <c r="AO99">
        <v>-0.13585501999999999</v>
      </c>
      <c r="AP99">
        <v>0.14572254000000001</v>
      </c>
      <c r="AQ99">
        <v>-0.22751573999999999</v>
      </c>
      <c r="AR99">
        <v>-3.2182907999999998E-3</v>
      </c>
      <c r="AS99">
        <v>-0.22576547999999999</v>
      </c>
      <c r="AT99">
        <v>-2.8370568</v>
      </c>
    </row>
    <row r="100" spans="1:46" x14ac:dyDescent="0.25">
      <c r="A100">
        <v>98</v>
      </c>
      <c r="B100">
        <v>9.7923499999999759</v>
      </c>
      <c r="C100">
        <v>0.55267560439560437</v>
      </c>
      <c r="D100">
        <v>-1.533501164314505E-3</v>
      </c>
      <c r="E100">
        <v>-3.1785186112643369E-3</v>
      </c>
      <c r="F100">
        <v>6.5935311699614474E-2</v>
      </c>
      <c r="G100">
        <v>0.31953204000000057</v>
      </c>
      <c r="H100">
        <v>-5.8683852000000014</v>
      </c>
      <c r="I100">
        <v>12.162708</v>
      </c>
      <c r="J100">
        <v>18.696324000000001</v>
      </c>
      <c r="K100">
        <v>-3.5010995999999999</v>
      </c>
      <c r="L100">
        <v>2.6972459999999989</v>
      </c>
      <c r="M100">
        <v>-16.495944000000001</v>
      </c>
      <c r="N100">
        <v>-9.105113600000001</v>
      </c>
      <c r="O100">
        <v>-19.773455999999999</v>
      </c>
      <c r="P100">
        <v>17.203199999999999</v>
      </c>
      <c r="Q100">
        <v>1.771102</v>
      </c>
      <c r="R100">
        <v>-4.7666551999999998</v>
      </c>
      <c r="S100">
        <v>-35.149267999999999</v>
      </c>
      <c r="T100">
        <v>-2.8407512000000019</v>
      </c>
      <c r="U100">
        <v>-125.78086</v>
      </c>
      <c r="V100">
        <v>83.640449999999973</v>
      </c>
      <c r="W100">
        <v>276.29750000000001</v>
      </c>
      <c r="X100">
        <v>286.38650000000013</v>
      </c>
      <c r="Y100">
        <v>-46.287350000000018</v>
      </c>
      <c r="Z100">
        <v>223.4736</v>
      </c>
      <c r="AA100">
        <v>26.736000000000089</v>
      </c>
      <c r="AB100">
        <v>100.18344999999999</v>
      </c>
      <c r="AC100">
        <v>114.7705</v>
      </c>
      <c r="AD100">
        <v>75.841499999999797</v>
      </c>
      <c r="AE100">
        <v>-44.389149999999987</v>
      </c>
      <c r="AF100">
        <v>9.1078999999999013</v>
      </c>
      <c r="AG100">
        <v>-679.36600000000033</v>
      </c>
      <c r="AH100">
        <v>362.5464199999999</v>
      </c>
      <c r="AI100">
        <v>-3.9069516000000002</v>
      </c>
      <c r="AJ100">
        <v>-1.8053220000000001</v>
      </c>
      <c r="AK100">
        <v>0.19547212</v>
      </c>
      <c r="AL100">
        <v>-4.2581396000000042</v>
      </c>
      <c r="AM100">
        <v>-0.34903255999999983</v>
      </c>
      <c r="AN100">
        <v>-1.0795869600000001</v>
      </c>
      <c r="AO100">
        <v>-0.12948267999999999</v>
      </c>
      <c r="AP100">
        <v>0.43988835999999848</v>
      </c>
      <c r="AQ100">
        <v>-0.21838115999999999</v>
      </c>
      <c r="AR100">
        <v>-3.3021772E-3</v>
      </c>
      <c r="AS100">
        <v>-0.21788331999999999</v>
      </c>
      <c r="AT100">
        <v>-2.5810712000000011</v>
      </c>
    </row>
    <row r="101" spans="1:46" x14ac:dyDescent="0.25">
      <c r="A101">
        <v>99</v>
      </c>
      <c r="B101">
        <v>9.7861749999999752</v>
      </c>
      <c r="C101">
        <v>0.55289274725274729</v>
      </c>
      <c r="D101">
        <v>-1.3839465137340261E-3</v>
      </c>
      <c r="E101">
        <v>3.4720260514907678E-3</v>
      </c>
      <c r="F101">
        <v>4.0956741067830711E-2</v>
      </c>
      <c r="G101">
        <v>0.18826401999999939</v>
      </c>
      <c r="H101">
        <v>-5.7812825999999999</v>
      </c>
      <c r="I101">
        <v>12.449904</v>
      </c>
      <c r="J101">
        <v>18.996312</v>
      </c>
      <c r="K101">
        <v>-3.5490097999999999</v>
      </c>
      <c r="L101">
        <v>2.9296730000000011</v>
      </c>
      <c r="M101">
        <v>-16.461572</v>
      </c>
      <c r="N101">
        <v>-9.0000267999999988</v>
      </c>
      <c r="O101">
        <v>-19.655728</v>
      </c>
      <c r="P101">
        <v>17.289000000000001</v>
      </c>
      <c r="Q101">
        <v>1.7189460000000001</v>
      </c>
      <c r="R101">
        <v>-4.7494275999999997</v>
      </c>
      <c r="S101">
        <v>-35.836084000000007</v>
      </c>
      <c r="T101">
        <v>-2.4608105999999981</v>
      </c>
      <c r="U101">
        <v>-116.5794924999999</v>
      </c>
      <c r="V101">
        <v>84.227724999999978</v>
      </c>
      <c r="W101">
        <v>268.4487499999999</v>
      </c>
      <c r="X101">
        <v>276.48700000000019</v>
      </c>
      <c r="Y101">
        <v>-37.205549999999953</v>
      </c>
      <c r="Z101">
        <v>217.016175</v>
      </c>
      <c r="AA101">
        <v>46.011750000000262</v>
      </c>
      <c r="AB101">
        <v>102.47047500000011</v>
      </c>
      <c r="AC101">
        <v>102.0727499999999</v>
      </c>
      <c r="AD101">
        <v>136.15825000000029</v>
      </c>
      <c r="AE101">
        <v>-50.567075000000052</v>
      </c>
      <c r="AF101">
        <v>41.3183250000002</v>
      </c>
      <c r="AG101">
        <v>-605.78924999999958</v>
      </c>
      <c r="AH101">
        <v>376.41114750000008</v>
      </c>
      <c r="AI101">
        <v>-3.768350799999999</v>
      </c>
      <c r="AJ101">
        <v>-1.710591</v>
      </c>
      <c r="AK101">
        <v>0.19110256</v>
      </c>
      <c r="AL101">
        <v>-3.3639397999999958</v>
      </c>
      <c r="AM101">
        <v>-0.39711878000000023</v>
      </c>
      <c r="AN101">
        <v>-1.03904698</v>
      </c>
      <c r="AO101">
        <v>-0.12311034</v>
      </c>
      <c r="AP101">
        <v>0.73405418000000133</v>
      </c>
      <c r="AQ101">
        <v>-0.20924657999999999</v>
      </c>
      <c r="AR101">
        <v>-3.3860636000000001E-3</v>
      </c>
      <c r="AS101">
        <v>-0.21000115999999999</v>
      </c>
      <c r="AT101">
        <v>-2.3250855999999991</v>
      </c>
    </row>
    <row r="102" spans="1:46" x14ac:dyDescent="0.25">
      <c r="A102">
        <v>100</v>
      </c>
      <c r="B102">
        <v>9.7799999999999727</v>
      </c>
      <c r="C102">
        <v>0.55310989010989009</v>
      </c>
      <c r="D102">
        <v>-1.3686608691937529E-2</v>
      </c>
      <c r="E102">
        <v>5.3588686288971873E-4</v>
      </c>
      <c r="F102">
        <v>4.9799282555789338E-2</v>
      </c>
      <c r="G102">
        <v>5.6995999999999998E-2</v>
      </c>
      <c r="H102">
        <v>-5.6941800000000002</v>
      </c>
      <c r="I102">
        <v>12.7371</v>
      </c>
      <c r="J102">
        <v>19.296299999999999</v>
      </c>
      <c r="K102">
        <v>-3.5969199999999999</v>
      </c>
      <c r="L102">
        <v>3.1621000000000001</v>
      </c>
      <c r="M102">
        <v>-16.427199999999999</v>
      </c>
      <c r="N102">
        <v>-8.8949400000000001</v>
      </c>
      <c r="O102">
        <v>-19.538</v>
      </c>
      <c r="P102">
        <v>17.3748</v>
      </c>
      <c r="Q102">
        <v>1.66679</v>
      </c>
      <c r="R102">
        <v>-4.7321999999999997</v>
      </c>
      <c r="S102">
        <v>-36.5229</v>
      </c>
      <c r="T102">
        <v>-2.08087</v>
      </c>
      <c r="U102">
        <v>-107.378125</v>
      </c>
      <c r="V102">
        <v>84.814999999999969</v>
      </c>
      <c r="W102">
        <v>260.59999999999991</v>
      </c>
      <c r="X102">
        <v>266.58750000000038</v>
      </c>
      <c r="Y102">
        <v>-28.123750000000001</v>
      </c>
      <c r="Z102">
        <v>210.55875</v>
      </c>
      <c r="AA102">
        <v>65.287500000000165</v>
      </c>
      <c r="AB102">
        <v>104.75750000000011</v>
      </c>
      <c r="AC102">
        <v>89.374999999999986</v>
      </c>
      <c r="AD102">
        <v>196.47499999999991</v>
      </c>
      <c r="AE102">
        <v>-56.745000000000019</v>
      </c>
      <c r="AF102">
        <v>73.528750000000031</v>
      </c>
      <c r="AG102">
        <v>-532.21249999999998</v>
      </c>
      <c r="AH102">
        <v>390.27587499999998</v>
      </c>
      <c r="AI102">
        <v>-3.62975</v>
      </c>
      <c r="AJ102">
        <v>-1.6158600000000001</v>
      </c>
      <c r="AK102">
        <v>0.18673300000000001</v>
      </c>
      <c r="AL102">
        <v>-2.4697399999999998</v>
      </c>
      <c r="AM102">
        <v>-0.44520500000000002</v>
      </c>
      <c r="AN102">
        <v>-0.99850699999999992</v>
      </c>
      <c r="AO102">
        <v>-0.11673799999999999</v>
      </c>
      <c r="AP102">
        <v>1.0282199999999999</v>
      </c>
      <c r="AQ102">
        <v>-0.20011200000000001</v>
      </c>
      <c r="AR102">
        <v>-3.4699499999999999E-3</v>
      </c>
      <c r="AS102">
        <v>-0.20211899999999999</v>
      </c>
      <c r="AT102">
        <v>-2.0691000000000002</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9B45AC-CC8D-46C5-812A-2FE1BCA294C6}">
  <sheetPr codeName="Sheet15"/>
  <dimension ref="A1:AA3"/>
  <sheetViews>
    <sheetView workbookViewId="0">
      <selection sqref="A1:G3"/>
    </sheetView>
  </sheetViews>
  <sheetFormatPr defaultRowHeight="15" x14ac:dyDescent="0.25"/>
  <sheetData>
    <row r="1" spans="1:27" x14ac:dyDescent="0.25">
      <c r="B1" t="s">
        <v>69</v>
      </c>
      <c r="C1" t="s">
        <v>255</v>
      </c>
      <c r="D1" t="s">
        <v>253</v>
      </c>
      <c r="E1" t="s">
        <v>254</v>
      </c>
      <c r="H1" t="s">
        <v>77</v>
      </c>
      <c r="I1" t="s">
        <v>76</v>
      </c>
      <c r="J1" t="s">
        <v>75</v>
      </c>
      <c r="K1" t="s">
        <v>233</v>
      </c>
      <c r="L1" t="s">
        <v>233</v>
      </c>
      <c r="M1" t="s">
        <v>233</v>
      </c>
      <c r="N1" t="s">
        <v>74</v>
      </c>
      <c r="O1" t="s">
        <v>74</v>
      </c>
      <c r="P1" t="s">
        <v>74</v>
      </c>
      <c r="Q1" t="s">
        <v>234</v>
      </c>
      <c r="R1" t="s">
        <v>235</v>
      </c>
      <c r="S1" t="s">
        <v>236</v>
      </c>
      <c r="T1" t="s">
        <v>237</v>
      </c>
      <c r="U1" t="s">
        <v>238</v>
      </c>
      <c r="V1" t="s">
        <v>239</v>
      </c>
      <c r="W1" t="s">
        <v>240</v>
      </c>
      <c r="X1" t="s">
        <v>241</v>
      </c>
      <c r="Y1" t="s">
        <v>242</v>
      </c>
      <c r="AA1" t="s">
        <v>256</v>
      </c>
    </row>
    <row r="2" spans="1:27" x14ac:dyDescent="0.25">
      <c r="A2" t="s">
        <v>243</v>
      </c>
      <c r="B2">
        <f>MIN('Left 1 Kin'!$B$2:$B$102,'Left 2 Kin'!$B$2:$B$102,'Left 3 Kin'!$B$2:$B$102,'Right 1 Kin'!$B$2:$B$102,'Right 2 Kin'!$B$2:$B$102,'Right 3 Kin'!$B$2:$B$102,Normative!$B$2:$B$102)</f>
        <v>9.0774999999999917</v>
      </c>
      <c r="C2">
        <f>MIN('Left 1 Kin'!$C$2:$C$102,'Left 2 Kin'!$C$2:$C$102,'Left 3 Kin'!$C$2:$C$102,'Right 1 Kin'!$C$2:$C$102,'Right 2 Kin'!$C$2:$C$102,'Right 3 Kin'!$C$2:$C$102,Normative!$C$2:$C$102)</f>
        <v>0.53242556593406587</v>
      </c>
      <c r="D2">
        <f>MIN('Left 1 Kin'!$F$2:$F$102,'Left 2 Kin'!$F$2:$F$102,'Left 3 Kin'!$F$2:$F$102,'Right 1 Kin'!$F$2:$F$102,'Right 2 Kin'!$F$2:$F$102,'Right 3 Kin'!$F$2:$F$102,Normative!$F$2:$F$102)</f>
        <v>0</v>
      </c>
      <c r="E2">
        <f>MIN('Left 1 Kin'!$D$2:$D$102,'Left 2 Kin'!$D$2:$D$102,'Left 3 Kin'!$D$2:$D$102,'Right 1 Kin'!$D$2:$D$102,'Right 2 Kin'!$D$2:$D$102,'Right 3 Kin'!$D$2:$D$102,Normative!$D$2:$D$102)</f>
        <v>-1.1030361711710452</v>
      </c>
      <c r="H2" t="s">
        <v>257</v>
      </c>
      <c r="I2" t="s">
        <v>258</v>
      </c>
      <c r="J2" t="s">
        <v>259</v>
      </c>
      <c r="K2" t="s">
        <v>260</v>
      </c>
      <c r="L2" t="s">
        <v>261</v>
      </c>
      <c r="M2" t="s">
        <v>262</v>
      </c>
      <c r="N2" t="s">
        <v>263</v>
      </c>
      <c r="O2" t="s">
        <v>264</v>
      </c>
      <c r="P2" t="s">
        <v>265</v>
      </c>
      <c r="Q2" t="s">
        <v>266</v>
      </c>
      <c r="R2" t="s">
        <v>267</v>
      </c>
      <c r="S2" t="s">
        <v>268</v>
      </c>
      <c r="T2" t="s">
        <v>269</v>
      </c>
      <c r="U2" t="s">
        <v>270</v>
      </c>
      <c r="V2" t="s">
        <v>271</v>
      </c>
      <c r="W2" t="s">
        <v>272</v>
      </c>
      <c r="X2" t="s">
        <v>273</v>
      </c>
      <c r="Y2" t="s">
        <v>274</v>
      </c>
      <c r="AA2" t="s">
        <v>275</v>
      </c>
    </row>
    <row r="3" spans="1:27" x14ac:dyDescent="0.25">
      <c r="A3" t="s">
        <v>244</v>
      </c>
      <c r="B3">
        <f>MAX('Left 1 Kin'!$B$2:$B$102,'Left 2 Kin'!$B$2:$B$102,'Left 3 Kin'!$B$2:$B$102,'Right 1 Kin'!$B$2:$B$102,'Right 2 Kin'!$B$2:$B$102,'Right 3 Kin'!$B$2:$B$102,Normative!$B$2:$B$102)</f>
        <v>9.8136500000000257</v>
      </c>
      <c r="C3">
        <f>MAX('Left 1 Kin'!$C$2:$C$102,'Left 2 Kin'!$C$2:$C$102,'Left 3 Kin'!$C$2:$C$102,'Right 1 Kin'!$C$2:$C$102,'Right 2 Kin'!$C$2:$C$102,'Right 3 Kin'!$C$2:$C$102,Normative!$C$2:$C$102)</f>
        <v>0.59516750371602678</v>
      </c>
      <c r="D3">
        <f>MAX('Left 1 Kin'!$F$2:$F$102,'Left 2 Kin'!$F$2:$F$102,'Left 3 Kin'!$F$2:$F$102,'Right 1 Kin'!$F$2:$F$102,'Right 2 Kin'!$F$2:$F$102,'Right 3 Kin'!$F$2:$F$102,Normative!$F$2:$F$102)</f>
        <v>4.1702511066350754</v>
      </c>
      <c r="E3">
        <f>MAX('Left 1 Kin'!$D$2:$D$102,'Left 2 Kin'!$D$2:$D$102,'Left 3 Kin'!$D$2:$D$102,'Right 1 Kin'!$D$2:$D$102,'Right 2 Kin'!$D$2:$D$102,'Right 3 Kin'!$D$2:$D$102,Normative!$D$2:$D$102)</f>
        <v>0.86086192478710222</v>
      </c>
      <c r="H3" t="s">
        <v>276</v>
      </c>
      <c r="I3" t="s">
        <v>277</v>
      </c>
      <c r="J3" t="s">
        <v>278</v>
      </c>
      <c r="K3" t="s">
        <v>279</v>
      </c>
      <c r="L3" t="s">
        <v>280</v>
      </c>
      <c r="M3" t="s">
        <v>281</v>
      </c>
      <c r="N3" t="s">
        <v>282</v>
      </c>
      <c r="O3" t="s">
        <v>283</v>
      </c>
      <c r="P3" t="s">
        <v>284</v>
      </c>
      <c r="Q3" t="s">
        <v>285</v>
      </c>
      <c r="R3" t="s">
        <v>286</v>
      </c>
      <c r="S3" t="s">
        <v>287</v>
      </c>
      <c r="T3" t="s">
        <v>288</v>
      </c>
      <c r="U3" t="s">
        <v>289</v>
      </c>
      <c r="V3" t="s">
        <v>290</v>
      </c>
      <c r="W3" t="s">
        <v>291</v>
      </c>
      <c r="X3" t="s">
        <v>292</v>
      </c>
      <c r="Y3" t="s">
        <v>293</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41FCE7-0D7E-4C74-B506-C7A722853C2A}">
  <dimension ref="A1:AT52"/>
  <sheetViews>
    <sheetView topLeftCell="U1" workbookViewId="0">
      <selection activeCell="AI2" sqref="AI2:AI52"/>
    </sheetView>
  </sheetViews>
  <sheetFormatPr defaultRowHeight="15" x14ac:dyDescent="0.25"/>
  <sheetData>
    <row r="1" spans="1:46" x14ac:dyDescent="0.25">
      <c r="A1" s="2" t="s">
        <v>250</v>
      </c>
      <c r="B1" s="2" t="s">
        <v>24</v>
      </c>
      <c r="C1" s="2" t="s">
        <v>25</v>
      </c>
      <c r="D1" s="2" t="s">
        <v>26</v>
      </c>
      <c r="E1" s="2" t="s">
        <v>27</v>
      </c>
      <c r="F1" s="2" t="s">
        <v>28</v>
      </c>
      <c r="G1" s="2" t="s">
        <v>29</v>
      </c>
      <c r="H1" s="2" t="s">
        <v>30</v>
      </c>
      <c r="I1" s="2" t="s">
        <v>31</v>
      </c>
      <c r="J1" s="2" t="s">
        <v>32</v>
      </c>
      <c r="K1" s="2" t="s">
        <v>33</v>
      </c>
      <c r="L1" s="2" t="s">
        <v>34</v>
      </c>
      <c r="M1" s="2" t="s">
        <v>35</v>
      </c>
      <c r="N1" s="2" t="s">
        <v>36</v>
      </c>
      <c r="O1" s="2" t="s">
        <v>37</v>
      </c>
      <c r="P1" s="2" t="s">
        <v>38</v>
      </c>
      <c r="Q1" s="2" t="s">
        <v>39</v>
      </c>
      <c r="R1" s="2" t="s">
        <v>40</v>
      </c>
      <c r="S1" s="2" t="s">
        <v>41</v>
      </c>
      <c r="T1" s="2" t="s">
        <v>42</v>
      </c>
      <c r="U1" s="2" t="s">
        <v>43</v>
      </c>
      <c r="V1" s="2" t="s">
        <v>44</v>
      </c>
      <c r="W1" s="2" t="s">
        <v>45</v>
      </c>
      <c r="X1" s="2" t="s">
        <v>46</v>
      </c>
      <c r="Y1" s="2" t="s">
        <v>47</v>
      </c>
      <c r="Z1" s="2" t="s">
        <v>48</v>
      </c>
      <c r="AA1" s="2" t="s">
        <v>49</v>
      </c>
      <c r="AB1" s="2" t="s">
        <v>50</v>
      </c>
      <c r="AC1" s="2" t="s">
        <v>51</v>
      </c>
      <c r="AD1" s="2" t="s">
        <v>52</v>
      </c>
      <c r="AE1" s="2" t="s">
        <v>53</v>
      </c>
      <c r="AF1" s="2" t="s">
        <v>54</v>
      </c>
      <c r="AG1" s="2" t="s">
        <v>55</v>
      </c>
      <c r="AH1" s="2" t="s">
        <v>56</v>
      </c>
      <c r="AI1" s="2" t="s">
        <v>57</v>
      </c>
      <c r="AJ1" s="2" t="s">
        <v>58</v>
      </c>
      <c r="AK1" s="2" t="s">
        <v>59</v>
      </c>
      <c r="AL1" s="2" t="s">
        <v>60</v>
      </c>
      <c r="AM1" s="2" t="s">
        <v>61</v>
      </c>
      <c r="AN1" s="2" t="s">
        <v>62</v>
      </c>
      <c r="AO1" s="2" t="s">
        <v>63</v>
      </c>
      <c r="AP1" s="2" t="s">
        <v>64</v>
      </c>
      <c r="AQ1" s="2" t="s">
        <v>65</v>
      </c>
      <c r="AR1" s="2" t="s">
        <v>66</v>
      </c>
      <c r="AS1" s="2" t="s">
        <v>67</v>
      </c>
      <c r="AT1" s="2" t="s">
        <v>68</v>
      </c>
    </row>
    <row r="2" spans="1:46" x14ac:dyDescent="0.25">
      <c r="A2">
        <v>0</v>
      </c>
      <c r="B2">
        <v>9.3799999999999937</v>
      </c>
      <c r="C2">
        <v>0.57220067342915626</v>
      </c>
      <c r="D2">
        <v>0</v>
      </c>
      <c r="E2">
        <v>0</v>
      </c>
      <c r="F2">
        <v>0</v>
      </c>
      <c r="G2">
        <v>16.881711104166669</v>
      </c>
      <c r="H2">
        <v>-8.3725893333333339</v>
      </c>
      <c r="I2">
        <v>-9.4456160208333326</v>
      </c>
      <c r="J2">
        <v>10.300447893333333</v>
      </c>
      <c r="K2">
        <v>1.7246730599999995</v>
      </c>
      <c r="L2">
        <v>-9.9292782066666678</v>
      </c>
      <c r="M2">
        <v>39.42889095333333</v>
      </c>
      <c r="P2">
        <v>31.23036411</v>
      </c>
      <c r="S2">
        <v>-5.621519283333333</v>
      </c>
      <c r="U2">
        <v>-0.6250000000000977</v>
      </c>
      <c r="V2">
        <v>-49.113749999999847</v>
      </c>
      <c r="W2">
        <v>126.80624999999991</v>
      </c>
      <c r="X2">
        <v>149.63249999999991</v>
      </c>
      <c r="Y2">
        <v>11.5075</v>
      </c>
      <c r="Z2">
        <v>-139.454375</v>
      </c>
      <c r="AA2">
        <v>-366.72640958333318</v>
      </c>
      <c r="AD2">
        <v>165.06268749999973</v>
      </c>
      <c r="AG2">
        <v>554.95440374999953</v>
      </c>
      <c r="AI2">
        <v>3.4685938026066663</v>
      </c>
      <c r="AL2">
        <v>20.11882722</v>
      </c>
      <c r="AM2">
        <v>-1.2141496431533334</v>
      </c>
      <c r="AP2">
        <v>2.4772122833333334</v>
      </c>
      <c r="AQ2">
        <v>0.28368307872999998</v>
      </c>
      <c r="AT2">
        <v>-5.7400717933333336</v>
      </c>
    </row>
    <row r="3" spans="1:46" x14ac:dyDescent="0.25">
      <c r="A3">
        <v>2</v>
      </c>
      <c r="B3">
        <v>9.3773999999999962</v>
      </c>
      <c r="C3">
        <v>0.57220067342915626</v>
      </c>
      <c r="D3">
        <v>-3.8958596651746932E-2</v>
      </c>
      <c r="E3">
        <v>-2.4926214523801225E-3</v>
      </c>
      <c r="F3">
        <v>0.20241514283908019</v>
      </c>
      <c r="G3">
        <v>16.881711104166669</v>
      </c>
      <c r="H3">
        <v>-8.3725893333333339</v>
      </c>
      <c r="I3">
        <v>-9.4456160208333326</v>
      </c>
      <c r="J3">
        <v>10.300447893333333</v>
      </c>
      <c r="K3">
        <v>1.7246730599999995</v>
      </c>
      <c r="L3">
        <v>-9.9292782066666678</v>
      </c>
      <c r="M3">
        <v>39.42889095333333</v>
      </c>
      <c r="P3">
        <v>31.23036411</v>
      </c>
      <c r="S3">
        <v>-5.621519283333333</v>
      </c>
      <c r="U3">
        <v>-1.405000000000127</v>
      </c>
      <c r="V3">
        <v>-46.502374999999873</v>
      </c>
      <c r="W3">
        <v>121.7918249999999</v>
      </c>
      <c r="X3">
        <v>149.55385000000001</v>
      </c>
      <c r="Y3">
        <v>8.8889750000000092</v>
      </c>
      <c r="Z3">
        <v>-146.54922250000001</v>
      </c>
      <c r="AA3">
        <v>-366.72640958333318</v>
      </c>
      <c r="AD3">
        <v>165.06268749999973</v>
      </c>
      <c r="AG3">
        <v>554.95440374999953</v>
      </c>
      <c r="AI3">
        <v>3.4685938026066663</v>
      </c>
      <c r="AL3">
        <v>20.11882722</v>
      </c>
      <c r="AM3">
        <v>-1.2141496431533334</v>
      </c>
      <c r="AP3">
        <v>2.4772122833333334</v>
      </c>
      <c r="AQ3">
        <v>0.28368307872999998</v>
      </c>
      <c r="AT3">
        <v>-5.7400717933333336</v>
      </c>
    </row>
    <row r="4" spans="1:46" x14ac:dyDescent="0.25">
      <c r="A4">
        <v>4</v>
      </c>
      <c r="B4">
        <v>9.3747999999999987</v>
      </c>
      <c r="C4">
        <v>0.57043508177929092</v>
      </c>
      <c r="D4">
        <v>-0.22105602436387112</v>
      </c>
      <c r="E4">
        <v>-2.6820745832514502E-2</v>
      </c>
      <c r="F4">
        <v>0.74190975130581793</v>
      </c>
      <c r="G4">
        <v>16.822164958333332</v>
      </c>
      <c r="H4">
        <v>-8.3475004166666675</v>
      </c>
      <c r="I4">
        <v>-9.2300812708333346</v>
      </c>
      <c r="J4">
        <v>10.568526979999998</v>
      </c>
      <c r="K4">
        <v>1.5603888366666665</v>
      </c>
      <c r="L4">
        <v>-10.371751296666666</v>
      </c>
      <c r="M4">
        <v>38.11827155666667</v>
      </c>
      <c r="P4">
        <v>32.004609246666668</v>
      </c>
      <c r="S4">
        <v>-3.2587082366666662</v>
      </c>
      <c r="U4">
        <v>-2.1850000000001568</v>
      </c>
      <c r="V4">
        <v>-43.890999999999892</v>
      </c>
      <c r="W4">
        <v>116.7774</v>
      </c>
      <c r="X4">
        <v>149.47520000000009</v>
      </c>
      <c r="Y4">
        <v>6.2704500000000163</v>
      </c>
      <c r="Z4">
        <v>-153.64407</v>
      </c>
      <c r="AA4">
        <v>-363.80443708333297</v>
      </c>
      <c r="AD4">
        <v>241.59716624999979</v>
      </c>
      <c r="AG4">
        <v>773.44982541666604</v>
      </c>
      <c r="AI4">
        <v>3.3119882808099996</v>
      </c>
      <c r="AL4">
        <v>19.405804223333334</v>
      </c>
      <c r="AM4">
        <v>-0.82992050838666676</v>
      </c>
      <c r="AP4">
        <v>1.5029594633333334</v>
      </c>
      <c r="AQ4">
        <v>0.96225720098999989</v>
      </c>
      <c r="AT4">
        <v>-11.422094513333334</v>
      </c>
    </row>
    <row r="5" spans="1:46" x14ac:dyDescent="0.25">
      <c r="A5">
        <v>6</v>
      </c>
      <c r="B5">
        <v>9.3722000000000012</v>
      </c>
      <c r="C5">
        <v>0.57026754079452791</v>
      </c>
      <c r="D5">
        <v>-0.53703076466223099</v>
      </c>
      <c r="E5">
        <v>-5.0630312631989513E-2</v>
      </c>
      <c r="F5">
        <v>1.4614800216369126</v>
      </c>
      <c r="G5">
        <v>16.791030708333334</v>
      </c>
      <c r="H5">
        <v>-8.3239200416666677</v>
      </c>
      <c r="I5">
        <v>-9.2230673958333327</v>
      </c>
      <c r="J5">
        <v>10.599180179999999</v>
      </c>
      <c r="K5">
        <v>1.4666039366666666</v>
      </c>
      <c r="L5">
        <v>-10.484731196666667</v>
      </c>
      <c r="M5">
        <v>37.959330256666668</v>
      </c>
      <c r="P5">
        <v>32.045434146666665</v>
      </c>
      <c r="S5">
        <v>-2.8708582366666664</v>
      </c>
      <c r="U5">
        <v>-2.9650000000001859</v>
      </c>
      <c r="V5">
        <v>-41.279624999999918</v>
      </c>
      <c r="W5">
        <v>111.762975</v>
      </c>
      <c r="X5">
        <v>149.3965500000001</v>
      </c>
      <c r="Y5">
        <v>3.651925000000023</v>
      </c>
      <c r="Z5">
        <v>-160.73891750000001</v>
      </c>
      <c r="AA5">
        <v>-366.84647458333302</v>
      </c>
      <c r="AD5">
        <v>246.14852874999988</v>
      </c>
      <c r="AG5">
        <v>798.56621291666602</v>
      </c>
      <c r="AI5">
        <v>3.19206254841</v>
      </c>
      <c r="AL5">
        <v>18.382966223333334</v>
      </c>
      <c r="AM5">
        <v>-0.78684162658666668</v>
      </c>
      <c r="AP5">
        <v>1.4014722633333334</v>
      </c>
      <c r="AQ5">
        <v>1.0198621997899999</v>
      </c>
      <c r="AT5">
        <v>-12.180401313333334</v>
      </c>
    </row>
    <row r="6" spans="1:46" x14ac:dyDescent="0.25">
      <c r="A6">
        <v>8</v>
      </c>
      <c r="B6">
        <v>9.3698500000000013</v>
      </c>
      <c r="C6">
        <v>0.56856563101246749</v>
      </c>
      <c r="D6">
        <v>-0.95995414936879819</v>
      </c>
      <c r="E6">
        <v>-5.3637278523960108E-2</v>
      </c>
      <c r="F6">
        <v>1.7688125484030877</v>
      </c>
      <c r="G6">
        <v>16.685671124999999</v>
      </c>
      <c r="H6">
        <v>-8.268630083333333</v>
      </c>
      <c r="I6">
        <v>-9.002693854166667</v>
      </c>
      <c r="J6">
        <v>10.888180479999999</v>
      </c>
      <c r="K6">
        <v>1.29695954</v>
      </c>
      <c r="L6">
        <v>-10.936840813333331</v>
      </c>
      <c r="M6">
        <v>36.734667776666662</v>
      </c>
      <c r="P6">
        <v>33.098329339999999</v>
      </c>
      <c r="S6">
        <v>0.15932708000000045</v>
      </c>
      <c r="U6">
        <v>-3.6850000000002048</v>
      </c>
      <c r="V6">
        <v>-38.652199999999937</v>
      </c>
      <c r="W6">
        <v>106.72930000000009</v>
      </c>
      <c r="X6">
        <v>148.92150000000021</v>
      </c>
      <c r="Y6">
        <v>0.98065000000002245</v>
      </c>
      <c r="Z6">
        <v>-167.73840000000001</v>
      </c>
      <c r="AA6">
        <v>-362.53121541666621</v>
      </c>
      <c r="AD6">
        <v>317.64536291666644</v>
      </c>
      <c r="AG6">
        <v>955.16232916666581</v>
      </c>
      <c r="AI6">
        <v>1.7266380085033335</v>
      </c>
      <c r="AL6">
        <v>13.18905953</v>
      </c>
      <c r="AM6">
        <v>0.17305563590999995</v>
      </c>
      <c r="AP6">
        <v>-1.3359155866666665</v>
      </c>
      <c r="AQ6">
        <v>1.7511988543833334</v>
      </c>
      <c r="AT6">
        <v>-19.669084393333332</v>
      </c>
    </row>
    <row r="7" spans="1:46" x14ac:dyDescent="0.25">
      <c r="A7">
        <v>10</v>
      </c>
      <c r="B7">
        <v>9.3688749999999956</v>
      </c>
      <c r="C7">
        <v>0.56840562036066156</v>
      </c>
      <c r="D7">
        <v>-1.1030361711710452</v>
      </c>
      <c r="E7">
        <v>-3.8588622098936029E-2</v>
      </c>
      <c r="F7">
        <v>1.7843469392006335</v>
      </c>
      <c r="G7">
        <v>16.647445375</v>
      </c>
      <c r="H7">
        <v>-8.2430837083333337</v>
      </c>
      <c r="I7">
        <v>-8.9876178541666683</v>
      </c>
      <c r="J7">
        <v>10.917636679999998</v>
      </c>
      <c r="K7">
        <v>1.1775985199999996</v>
      </c>
      <c r="L7">
        <v>-11.079657193333334</v>
      </c>
      <c r="M7">
        <v>36.494119156666663</v>
      </c>
      <c r="P7">
        <v>33.199552340000004</v>
      </c>
      <c r="S7">
        <v>0.76701042000000041</v>
      </c>
      <c r="U7">
        <v>-4.0750000000001618</v>
      </c>
      <c r="V7">
        <v>-35.936499999999988</v>
      </c>
      <c r="W7">
        <v>101.58975</v>
      </c>
      <c r="X7">
        <v>146.2662500000001</v>
      </c>
      <c r="Y7">
        <v>-1.98075000000001</v>
      </c>
      <c r="Z7">
        <v>-174.21337500000001</v>
      </c>
      <c r="AA7">
        <v>-366.16347541666619</v>
      </c>
      <c r="AD7">
        <v>323.54493541666642</v>
      </c>
      <c r="AG7">
        <v>974.25347416666591</v>
      </c>
      <c r="AI7">
        <v>1.4566759724033331</v>
      </c>
      <c r="AL7">
        <v>11.16302189</v>
      </c>
      <c r="AM7">
        <v>0.27293166764999999</v>
      </c>
      <c r="AP7">
        <v>-1.4706758266666666</v>
      </c>
      <c r="AQ7">
        <v>1.8189747253033333</v>
      </c>
      <c r="AT7">
        <v>-20.450735173333335</v>
      </c>
    </row>
    <row r="8" spans="1:46" x14ac:dyDescent="0.25">
      <c r="A8">
        <v>12</v>
      </c>
      <c r="B8">
        <v>9.3678999999999899</v>
      </c>
      <c r="C8">
        <v>0.56682731762426797</v>
      </c>
      <c r="D8">
        <v>-1.0678237924083325</v>
      </c>
      <c r="E8">
        <v>-5.7401651940579314E-2</v>
      </c>
      <c r="F8">
        <v>2.0232862499260458</v>
      </c>
      <c r="G8">
        <v>16.451810125000002</v>
      </c>
      <c r="H8">
        <v>-8.1680639999999993</v>
      </c>
      <c r="I8">
        <v>-8.7921763958333319</v>
      </c>
      <c r="J8">
        <v>11.214546053333333</v>
      </c>
      <c r="K8">
        <v>0.95940607333333339</v>
      </c>
      <c r="L8">
        <v>-11.637870563333333</v>
      </c>
      <c r="M8">
        <v>35.212842553333338</v>
      </c>
      <c r="P8">
        <v>34.564726630000003</v>
      </c>
      <c r="S8">
        <v>4.4300523566666667</v>
      </c>
      <c r="U8">
        <v>-4.4650000000001189</v>
      </c>
      <c r="V8">
        <v>-33.22080000000004</v>
      </c>
      <c r="W8">
        <v>96.450200000000024</v>
      </c>
      <c r="X8">
        <v>143.6110000000001</v>
      </c>
      <c r="Y8">
        <v>-4.9421500000000398</v>
      </c>
      <c r="Z8">
        <v>-180.68835000000001</v>
      </c>
      <c r="AA8">
        <v>-365.17714458333319</v>
      </c>
      <c r="AD8">
        <v>375.75270124999997</v>
      </c>
      <c r="AG8">
        <v>1047.6728008333328</v>
      </c>
      <c r="AI8">
        <v>0.34064676978666658</v>
      </c>
      <c r="AL8">
        <v>4.1400540233333336</v>
      </c>
      <c r="AM8">
        <v>0.90261831639666668</v>
      </c>
      <c r="AP8">
        <v>-4.9161142133333335</v>
      </c>
      <c r="AQ8">
        <v>2.4646424289833329</v>
      </c>
      <c r="AT8">
        <v>-28.154369206666665</v>
      </c>
    </row>
    <row r="9" spans="1:46" x14ac:dyDescent="0.25">
      <c r="A9">
        <v>14</v>
      </c>
      <c r="B9">
        <v>9.3669249999999842</v>
      </c>
      <c r="C9">
        <v>0.56633398079812935</v>
      </c>
      <c r="D9">
        <v>-0.79414701002564059</v>
      </c>
      <c r="E9">
        <v>9.5390126405518397E-5</v>
      </c>
      <c r="F9">
        <v>2.3174766050424669</v>
      </c>
      <c r="G9">
        <v>16.390585062500001</v>
      </c>
      <c r="H9">
        <v>-8.1155082499999995</v>
      </c>
      <c r="I9">
        <v>-8.7186013333333321</v>
      </c>
      <c r="J9">
        <v>11.283344169999999</v>
      </c>
      <c r="K9">
        <v>0.86712698999999982</v>
      </c>
      <c r="L9">
        <v>-11.858254713333332</v>
      </c>
      <c r="M9">
        <v>34.797638036666669</v>
      </c>
      <c r="P9">
        <v>34.956121830000001</v>
      </c>
      <c r="S9">
        <v>5.6595913900000001</v>
      </c>
      <c r="U9">
        <v>-4.8550000000000759</v>
      </c>
      <c r="V9">
        <v>-30.505100000000091</v>
      </c>
      <c r="W9">
        <v>91.31065000000001</v>
      </c>
      <c r="X9">
        <v>140.95575000000011</v>
      </c>
      <c r="Y9">
        <v>-7.903550000000072</v>
      </c>
      <c r="Z9">
        <v>-187.16332499999999</v>
      </c>
      <c r="AA9">
        <v>-363.77653416666652</v>
      </c>
      <c r="AD9">
        <v>390.11775749999993</v>
      </c>
      <c r="AG9">
        <v>1041.8179383333329</v>
      </c>
      <c r="AI9">
        <v>0.12853859017000005</v>
      </c>
      <c r="AL9">
        <v>2.3166451066666673</v>
      </c>
      <c r="AM9">
        <v>1.01415889498</v>
      </c>
      <c r="AP9">
        <v>-5.0828970966666667</v>
      </c>
      <c r="AQ9">
        <v>2.6895216566999998</v>
      </c>
      <c r="AT9">
        <v>-30.305256256666659</v>
      </c>
    </row>
    <row r="10" spans="1:46" x14ac:dyDescent="0.25">
      <c r="A10">
        <v>16</v>
      </c>
      <c r="B10">
        <v>9.3663499999999793</v>
      </c>
      <c r="C10">
        <v>0.56525775349508856</v>
      </c>
      <c r="D10">
        <v>-0.40786641693311088</v>
      </c>
      <c r="E10">
        <v>-1.2210171777814973E-2</v>
      </c>
      <c r="F10">
        <v>2.5991625418097568</v>
      </c>
      <c r="G10">
        <v>16.124661500000002</v>
      </c>
      <c r="H10">
        <v>-8.0484223333333347</v>
      </c>
      <c r="I10">
        <v>-8.6021495624999993</v>
      </c>
      <c r="J10">
        <v>11.511131163333335</v>
      </c>
      <c r="K10">
        <v>0.63055317000000011</v>
      </c>
      <c r="L10">
        <v>-12.323151856666668</v>
      </c>
      <c r="M10">
        <v>33.818671139999999</v>
      </c>
      <c r="P10">
        <v>36.091805229999999</v>
      </c>
      <c r="S10">
        <v>8.5119460066666672</v>
      </c>
      <c r="U10">
        <v>-5.1750000000000362</v>
      </c>
      <c r="V10">
        <v>-27.774000000000111</v>
      </c>
      <c r="W10">
        <v>86.273400000000009</v>
      </c>
      <c r="X10">
        <v>137.52780000000001</v>
      </c>
      <c r="Y10">
        <v>-10.89745000000009</v>
      </c>
      <c r="Z10">
        <v>-193.30152000000001</v>
      </c>
      <c r="AA10">
        <v>-372.4312595833332</v>
      </c>
      <c r="AD10">
        <v>395.37475333333316</v>
      </c>
      <c r="AG10">
        <v>1023.9326549999994</v>
      </c>
      <c r="AI10">
        <v>0.50944135807666668</v>
      </c>
      <c r="AL10">
        <v>2.1952317199999998</v>
      </c>
      <c r="AM10">
        <v>0.91919841956333337</v>
      </c>
      <c r="AP10">
        <v>-6.8062173166666664</v>
      </c>
      <c r="AQ10">
        <v>3.1811785570933333</v>
      </c>
      <c r="AT10">
        <v>-36.60075032333333</v>
      </c>
    </row>
    <row r="11" spans="1:46" x14ac:dyDescent="0.25">
      <c r="A11">
        <v>18</v>
      </c>
      <c r="B11">
        <v>9.3666749999999794</v>
      </c>
      <c r="C11">
        <v>0.56455504559876557</v>
      </c>
      <c r="D11">
        <v>-0.1640816939512629</v>
      </c>
      <c r="E11">
        <v>1.5908921630689312E-3</v>
      </c>
      <c r="F11">
        <v>2.7893880259763133</v>
      </c>
      <c r="G11">
        <v>16.000456645833331</v>
      </c>
      <c r="H11">
        <v>-7.9815683124999994</v>
      </c>
      <c r="I11">
        <v>-8.5108426875000003</v>
      </c>
      <c r="J11">
        <v>11.621239293333334</v>
      </c>
      <c r="K11">
        <v>0.49787160333333347</v>
      </c>
      <c r="L11">
        <v>-12.682040260000001</v>
      </c>
      <c r="M11">
        <v>33.126993133333329</v>
      </c>
      <c r="P11">
        <v>36.843145716666669</v>
      </c>
      <c r="S11">
        <v>10.387511910000001</v>
      </c>
      <c r="U11">
        <v>-5.3375000000000039</v>
      </c>
      <c r="V11">
        <v>-25.008250000000089</v>
      </c>
      <c r="W11">
        <v>81.466324999999998</v>
      </c>
      <c r="X11">
        <v>132.36127500000001</v>
      </c>
      <c r="Y11">
        <v>-13.96447500000008</v>
      </c>
      <c r="Z11">
        <v>-198.68196</v>
      </c>
      <c r="AA11">
        <v>-377.03061916666644</v>
      </c>
      <c r="AD11">
        <v>397.24628708333296</v>
      </c>
      <c r="AG11">
        <v>973.09685374999901</v>
      </c>
      <c r="AI11">
        <v>0.70732794074666683</v>
      </c>
      <c r="AL11">
        <v>2.9725952100000006</v>
      </c>
      <c r="AM11">
        <v>0.94644543484666666</v>
      </c>
      <c r="AP11">
        <v>-6.4325281866666675</v>
      </c>
      <c r="AQ11">
        <v>3.4913959061333335</v>
      </c>
      <c r="AT11">
        <v>-39.07509378333333</v>
      </c>
    </row>
    <row r="12" spans="1:46" x14ac:dyDescent="0.25">
      <c r="A12">
        <v>20</v>
      </c>
      <c r="B12">
        <v>9.3669999999999796</v>
      </c>
      <c r="C12">
        <v>0.56743897385269026</v>
      </c>
      <c r="D12">
        <v>-3.6919952612244525E-2</v>
      </c>
      <c r="E12">
        <v>1.2060215933086715E-2</v>
      </c>
      <c r="F12">
        <v>3.0671712241285949</v>
      </c>
      <c r="G12">
        <v>14.289996690000001</v>
      </c>
      <c r="H12">
        <v>-8.3090230900000002</v>
      </c>
      <c r="I12">
        <v>-10.195590636666667</v>
      </c>
      <c r="J12">
        <v>11.757681250000001</v>
      </c>
      <c r="K12">
        <v>0.24261090999999996</v>
      </c>
      <c r="L12">
        <v>-13.120667000000001</v>
      </c>
      <c r="M12">
        <v>32.227680316666664</v>
      </c>
      <c r="P12">
        <v>37.731865576666671</v>
      </c>
      <c r="S12">
        <v>12.628589836666666</v>
      </c>
      <c r="U12">
        <v>-5.4999999999999716</v>
      </c>
      <c r="V12">
        <v>-22.242500000000071</v>
      </c>
      <c r="W12">
        <v>76.659249999999986</v>
      </c>
      <c r="X12">
        <v>127.19475</v>
      </c>
      <c r="Y12">
        <v>-17.031500000000069</v>
      </c>
      <c r="Z12">
        <v>-204.0624</v>
      </c>
      <c r="AA12">
        <v>-388.41708416666654</v>
      </c>
      <c r="AD12">
        <v>381.35439541666653</v>
      </c>
      <c r="AG12">
        <v>916.74679375000017</v>
      </c>
      <c r="AI12">
        <v>1.0105615619866668</v>
      </c>
      <c r="AL12">
        <v>5.0853667099999997</v>
      </c>
      <c r="AM12">
        <v>0.97147561629666668</v>
      </c>
      <c r="AP12">
        <v>-6.9268178500000008</v>
      </c>
      <c r="AQ12">
        <v>3.8193929323266667</v>
      </c>
      <c r="AT12">
        <v>-42.239119153333334</v>
      </c>
    </row>
    <row r="13" spans="1:46" x14ac:dyDescent="0.25">
      <c r="A13">
        <v>22</v>
      </c>
      <c r="B13">
        <v>9.3673249999999779</v>
      </c>
      <c r="C13">
        <v>0.56699265916621144</v>
      </c>
      <c r="D13">
        <v>-4.0864509538184098E-3</v>
      </c>
      <c r="E13">
        <v>8.3076978583017519E-3</v>
      </c>
      <c r="F13">
        <v>3.3640212381849337</v>
      </c>
      <c r="G13">
        <v>14.182493506666669</v>
      </c>
      <c r="H13">
        <v>-8.2516219233333334</v>
      </c>
      <c r="I13">
        <v>-10.123484019999999</v>
      </c>
      <c r="J13">
        <v>11.82962025</v>
      </c>
      <c r="K13">
        <v>0.1356914100000001</v>
      </c>
      <c r="L13">
        <v>-13.473213333333334</v>
      </c>
      <c r="M13">
        <v>31.587748750000003</v>
      </c>
      <c r="P13">
        <v>38.406997359999998</v>
      </c>
      <c r="S13">
        <v>14.074434903333332</v>
      </c>
      <c r="U13">
        <v>-5.6624999999999392</v>
      </c>
      <c r="V13">
        <v>-19.476750000000049</v>
      </c>
      <c r="W13">
        <v>71.85217499999996</v>
      </c>
      <c r="X13">
        <v>122.02822500000001</v>
      </c>
      <c r="Y13">
        <v>-20.098525000000048</v>
      </c>
      <c r="Z13">
        <v>-209.44283999999999</v>
      </c>
      <c r="AA13">
        <v>-395.43640291666651</v>
      </c>
      <c r="AD13">
        <v>372.55406416666665</v>
      </c>
      <c r="AG13">
        <v>847.92503541666701</v>
      </c>
      <c r="AI13">
        <v>1.2057994893033335</v>
      </c>
      <c r="AL13">
        <v>6.2508664766666673</v>
      </c>
      <c r="AM13">
        <v>1.0656174838800001</v>
      </c>
      <c r="AP13">
        <v>-7.0468808333333346</v>
      </c>
      <c r="AQ13">
        <v>4.0455796837266664</v>
      </c>
      <c r="AT13">
        <v>-42.894433769999999</v>
      </c>
    </row>
    <row r="14" spans="1:46" x14ac:dyDescent="0.25">
      <c r="A14">
        <v>24</v>
      </c>
      <c r="B14">
        <v>9.3680999999999806</v>
      </c>
      <c r="C14">
        <v>0.56643999766977993</v>
      </c>
      <c r="D14">
        <v>6.2154943230380098E-3</v>
      </c>
      <c r="E14">
        <v>1.4935349986685154E-2</v>
      </c>
      <c r="F14">
        <v>3.6053863680476055</v>
      </c>
      <c r="G14">
        <v>13.879058263333331</v>
      </c>
      <c r="H14">
        <v>-8.1610761533333314</v>
      </c>
      <c r="I14">
        <v>-9.9405343433333329</v>
      </c>
      <c r="J14">
        <v>11.92610477</v>
      </c>
      <c r="K14">
        <v>-0.10976710999999995</v>
      </c>
      <c r="L14">
        <v>-13.871162023333332</v>
      </c>
      <c r="M14">
        <v>30.717395106666668</v>
      </c>
      <c r="P14">
        <v>39.14734683333333</v>
      </c>
      <c r="S14">
        <v>15.860269116666666</v>
      </c>
      <c r="U14">
        <v>-5.8039999999999292</v>
      </c>
      <c r="V14">
        <v>-16.714000000000031</v>
      </c>
      <c r="W14">
        <v>67.41304999999997</v>
      </c>
      <c r="X14">
        <v>115.8312</v>
      </c>
      <c r="Y14">
        <v>-23.080800000000039</v>
      </c>
      <c r="Z14">
        <v>-214.10130000000001</v>
      </c>
      <c r="AA14">
        <v>-409.74453624999995</v>
      </c>
      <c r="AD14">
        <v>344.94111916666668</v>
      </c>
      <c r="AG14">
        <v>770.00184958333352</v>
      </c>
      <c r="AI14">
        <v>1.3677623922400002</v>
      </c>
      <c r="AL14">
        <v>9.1726296933333327</v>
      </c>
      <c r="AM14">
        <v>1.2074824614933335</v>
      </c>
      <c r="AP14">
        <v>-6.8226192833333332</v>
      </c>
      <c r="AQ14">
        <v>4.3467255430666665</v>
      </c>
      <c r="AT14">
        <v>-43.985544246666663</v>
      </c>
    </row>
    <row r="15" spans="1:46" x14ac:dyDescent="0.25">
      <c r="A15">
        <v>26</v>
      </c>
      <c r="B15">
        <v>9.3693999999999882</v>
      </c>
      <c r="C15">
        <v>0.56596707240063571</v>
      </c>
      <c r="D15">
        <v>-1.1621173559482306E-2</v>
      </c>
      <c r="E15">
        <v>1.720527611460294E-2</v>
      </c>
      <c r="F15">
        <v>3.8012417979825548</v>
      </c>
      <c r="G15">
        <v>13.67919627</v>
      </c>
      <c r="H15">
        <v>-8.0817827666666666</v>
      </c>
      <c r="I15">
        <v>-9.8507325433333328</v>
      </c>
      <c r="J15">
        <v>12.029507623333334</v>
      </c>
      <c r="K15">
        <v>-0.22642852000000002</v>
      </c>
      <c r="L15">
        <v>-14.38356214</v>
      </c>
      <c r="M15">
        <v>29.950598476666663</v>
      </c>
      <c r="P15">
        <v>40.037815343333335</v>
      </c>
      <c r="S15">
        <v>17.413792959999999</v>
      </c>
      <c r="U15">
        <v>-5.9209999999999452</v>
      </c>
      <c r="V15">
        <v>-13.95474999999999</v>
      </c>
      <c r="W15">
        <v>63.403199999999998</v>
      </c>
      <c r="X15">
        <v>108.43192500000001</v>
      </c>
      <c r="Y15">
        <v>-25.964200000000019</v>
      </c>
      <c r="Z15">
        <v>-217.91745</v>
      </c>
      <c r="AA15">
        <v>-419.28133833333294</v>
      </c>
      <c r="AD15">
        <v>327.09262416666644</v>
      </c>
      <c r="AG15">
        <v>696.36006958333269</v>
      </c>
      <c r="AI15">
        <v>1.1800261067133333</v>
      </c>
      <c r="AL15">
        <v>8.3124514699999992</v>
      </c>
      <c r="AM15">
        <v>1.5102349900833336</v>
      </c>
      <c r="AP15">
        <v>-7.7725478233333352</v>
      </c>
      <c r="AQ15">
        <v>4.5161701789700004</v>
      </c>
      <c r="AT15">
        <v>-42.979916069999994</v>
      </c>
    </row>
    <row r="16" spans="1:46" x14ac:dyDescent="0.25">
      <c r="A16">
        <v>28</v>
      </c>
      <c r="B16">
        <v>9.370699999999994</v>
      </c>
      <c r="C16">
        <v>0.5656154582458276</v>
      </c>
      <c r="D16">
        <v>-3.3982107659546998E-2</v>
      </c>
      <c r="E16">
        <v>2.6779448993122762E-2</v>
      </c>
      <c r="F16">
        <v>3.893891072075955</v>
      </c>
      <c r="G16">
        <v>13.432395966666666</v>
      </c>
      <c r="H16">
        <v>-7.9712011866666668</v>
      </c>
      <c r="I16">
        <v>-9.6404818466666651</v>
      </c>
      <c r="J16">
        <v>12.035652496666666</v>
      </c>
      <c r="K16">
        <v>-0.44541358666666675</v>
      </c>
      <c r="L16">
        <v>-14.788666763333335</v>
      </c>
      <c r="M16">
        <v>28.842579766666667</v>
      </c>
      <c r="P16">
        <v>40.762034026666669</v>
      </c>
      <c r="S16">
        <v>18.990402396666667</v>
      </c>
      <c r="U16">
        <v>-6.0379999999999612</v>
      </c>
      <c r="V16">
        <v>-11.19549999999996</v>
      </c>
      <c r="W16">
        <v>59.393350000000027</v>
      </c>
      <c r="X16">
        <v>101.03265</v>
      </c>
      <c r="Y16">
        <v>-28.8476</v>
      </c>
      <c r="Z16">
        <v>-221.7336</v>
      </c>
      <c r="AA16">
        <v>-440.17222999999956</v>
      </c>
      <c r="AD16">
        <v>288.02518083333314</v>
      </c>
      <c r="AG16">
        <v>595.14423249999948</v>
      </c>
      <c r="AI16">
        <v>1.3805304195599999</v>
      </c>
      <c r="AL16">
        <v>11.315568513333334</v>
      </c>
      <c r="AM16">
        <v>1.6766260480699997</v>
      </c>
      <c r="AP16">
        <v>-7.3975749733333327</v>
      </c>
      <c r="AQ16">
        <v>4.7277418083866669</v>
      </c>
      <c r="AT16">
        <v>-40.911932856666667</v>
      </c>
    </row>
    <row r="17" spans="1:46" x14ac:dyDescent="0.25">
      <c r="A17">
        <v>30</v>
      </c>
      <c r="B17">
        <v>9.3719999999999999</v>
      </c>
      <c r="C17">
        <v>0.56537476988503754</v>
      </c>
      <c r="D17">
        <v>-7.8816597576278194E-2</v>
      </c>
      <c r="E17">
        <v>2.8839354801999624E-2</v>
      </c>
      <c r="F17">
        <v>3.9058014372354748</v>
      </c>
      <c r="G17">
        <v>13.267267926666666</v>
      </c>
      <c r="H17">
        <v>-7.9133467466666669</v>
      </c>
      <c r="I17">
        <v>-9.5713134333333336</v>
      </c>
      <c r="J17">
        <v>12.07070843</v>
      </c>
      <c r="K17">
        <v>-0.56950764333333337</v>
      </c>
      <c r="L17">
        <v>-15.141780576666667</v>
      </c>
      <c r="M17">
        <v>28.214627043333337</v>
      </c>
      <c r="P17">
        <v>41.238613153333333</v>
      </c>
      <c r="S17">
        <v>19.885679786666664</v>
      </c>
      <c r="U17">
        <v>-6.1549999999999772</v>
      </c>
      <c r="V17">
        <v>-8.4362499999999212</v>
      </c>
      <c r="W17">
        <v>55.383500000000048</v>
      </c>
      <c r="X17">
        <v>93.633375000000015</v>
      </c>
      <c r="Y17">
        <v>-31.730999999999991</v>
      </c>
      <c r="Z17">
        <v>-225.54974999999999</v>
      </c>
      <c r="AA17">
        <v>-451.95408999999955</v>
      </c>
      <c r="AD17">
        <v>269.88967041666649</v>
      </c>
      <c r="AG17">
        <v>547.17772249999939</v>
      </c>
      <c r="AI17">
        <v>1.0495875776666668</v>
      </c>
      <c r="AL17">
        <v>9.4677185700000006</v>
      </c>
      <c r="AM17">
        <v>1.8802213158033332</v>
      </c>
      <c r="AP17">
        <v>-7.4907524333333324</v>
      </c>
      <c r="AQ17">
        <v>4.815591847306667</v>
      </c>
      <c r="AT17">
        <v>-38.877215753333331</v>
      </c>
    </row>
    <row r="18" spans="1:46" x14ac:dyDescent="0.25">
      <c r="A18">
        <v>32</v>
      </c>
      <c r="B18">
        <v>9.3731000000000009</v>
      </c>
      <c r="C18">
        <v>0.56518917124777812</v>
      </c>
      <c r="D18">
        <v>-9.1411338443946014E-2</v>
      </c>
      <c r="E18">
        <v>3.3700785212523156E-2</v>
      </c>
      <c r="F18">
        <v>3.8991534841350535</v>
      </c>
      <c r="G18">
        <v>13.014115603333334</v>
      </c>
      <c r="H18">
        <v>-7.8018400400000019</v>
      </c>
      <c r="I18">
        <v>-9.354737140000001</v>
      </c>
      <c r="J18">
        <v>12.010516103333334</v>
      </c>
      <c r="K18">
        <v>-0.77776324666666663</v>
      </c>
      <c r="L18">
        <v>-15.510482943333333</v>
      </c>
      <c r="M18">
        <v>26.993039583333335</v>
      </c>
      <c r="P18">
        <v>41.80170286333334</v>
      </c>
      <c r="S18">
        <v>21.059869826666663</v>
      </c>
      <c r="U18">
        <v>-6.3699999999999779</v>
      </c>
      <c r="V18">
        <v>-5.7209999999999246</v>
      </c>
      <c r="W18">
        <v>52.131450000000058</v>
      </c>
      <c r="X18">
        <v>85.189499999999981</v>
      </c>
      <c r="Y18">
        <v>-34.33659999999999</v>
      </c>
      <c r="Z18">
        <v>-228.14429999999999</v>
      </c>
      <c r="AA18">
        <v>-476.76575875000015</v>
      </c>
      <c r="AD18">
        <v>227.29727958333365</v>
      </c>
      <c r="AG18">
        <v>459.02058750000015</v>
      </c>
      <c r="AI18">
        <v>1.1682508223499999</v>
      </c>
      <c r="AL18">
        <v>11.526099046666667</v>
      </c>
      <c r="AM18">
        <v>2.0713747980333332</v>
      </c>
      <c r="AP18">
        <v>-6.6005707000000005</v>
      </c>
      <c r="AQ18">
        <v>4.9716746663266669</v>
      </c>
      <c r="AT18">
        <v>-34.459267473333327</v>
      </c>
    </row>
    <row r="19" spans="1:46" x14ac:dyDescent="0.25">
      <c r="A19">
        <v>34</v>
      </c>
      <c r="B19">
        <v>9.3740750000000013</v>
      </c>
      <c r="C19">
        <v>0.56508484741824128</v>
      </c>
      <c r="D19">
        <v>-8.6256780728410476E-2</v>
      </c>
      <c r="E19">
        <v>3.3600075531054104E-2</v>
      </c>
      <c r="F19">
        <v>3.8657507837310137</v>
      </c>
      <c r="G19">
        <v>12.855265523333333</v>
      </c>
      <c r="H19">
        <v>-7.7432176699999999</v>
      </c>
      <c r="I19">
        <v>-9.2729674499999994</v>
      </c>
      <c r="J19">
        <v>12.027138886666666</v>
      </c>
      <c r="K19">
        <v>-0.86700273999999999</v>
      </c>
      <c r="L19">
        <v>-15.813058676666666</v>
      </c>
      <c r="M19">
        <v>26.334965756666669</v>
      </c>
      <c r="P19">
        <v>42.196932706666665</v>
      </c>
      <c r="S19">
        <v>21.791214740000001</v>
      </c>
      <c r="U19">
        <v>-6.6462499999999691</v>
      </c>
      <c r="V19">
        <v>-3.0332499999999571</v>
      </c>
      <c r="W19">
        <v>49.353025000000059</v>
      </c>
      <c r="X19">
        <v>76.092749999999953</v>
      </c>
      <c r="Y19">
        <v>-36.768574999999998</v>
      </c>
      <c r="Z19">
        <v>-229.97534999999999</v>
      </c>
      <c r="AA19">
        <v>-490.41223375000038</v>
      </c>
      <c r="AD19">
        <v>206.31275791666698</v>
      </c>
      <c r="AG19">
        <v>414.36919250000011</v>
      </c>
      <c r="AI19">
        <v>1.0732317148533335</v>
      </c>
      <c r="AL19">
        <v>10.998807600000001</v>
      </c>
      <c r="AM19">
        <v>2.1466958448333329</v>
      </c>
      <c r="AP19">
        <v>-6.2911244300000009</v>
      </c>
      <c r="AQ19">
        <v>5.0059266865566663</v>
      </c>
      <c r="AT19">
        <v>-31.841678736666665</v>
      </c>
    </row>
    <row r="20" spans="1:46" x14ac:dyDescent="0.25">
      <c r="A20">
        <v>36</v>
      </c>
      <c r="B20">
        <v>9.3750499999999999</v>
      </c>
      <c r="C20">
        <v>0.56512014939251709</v>
      </c>
      <c r="D20">
        <v>-5.3065423331980423E-2</v>
      </c>
      <c r="E20">
        <v>2.7021801566448851E-2</v>
      </c>
      <c r="F20">
        <v>3.8251505784528037</v>
      </c>
      <c r="G20">
        <v>12.509819526666666</v>
      </c>
      <c r="H20">
        <v>-7.6075411766666665</v>
      </c>
      <c r="I20">
        <v>-8.9901468400000013</v>
      </c>
      <c r="J20">
        <v>11.910583663333332</v>
      </c>
      <c r="K20">
        <v>-1.0920750466666669</v>
      </c>
      <c r="L20">
        <v>-16.293851746666668</v>
      </c>
      <c r="M20">
        <v>24.632923639999998</v>
      </c>
      <c r="P20">
        <v>42.766196283333329</v>
      </c>
      <c r="S20">
        <v>22.970302060000002</v>
      </c>
      <c r="U20">
        <v>-6.9224999999999612</v>
      </c>
      <c r="V20">
        <v>-0.34549999999998082</v>
      </c>
      <c r="W20">
        <v>46.574600000000054</v>
      </c>
      <c r="X20">
        <v>66.995999999999881</v>
      </c>
      <c r="Y20">
        <v>-39.200550000000021</v>
      </c>
      <c r="Z20">
        <v>-231.80639999999991</v>
      </c>
      <c r="AA20">
        <v>-521.57914833333359</v>
      </c>
      <c r="AD20">
        <v>150.38625583333356</v>
      </c>
      <c r="AG20">
        <v>317.44910166666688</v>
      </c>
      <c r="AI20">
        <v>1.1971020293166668</v>
      </c>
      <c r="AL20">
        <v>12.510881309999998</v>
      </c>
      <c r="AM20">
        <v>2.2956749776233338</v>
      </c>
      <c r="AP20">
        <v>-4.890452363333333</v>
      </c>
      <c r="AQ20">
        <v>5.0987400272633332</v>
      </c>
      <c r="AT20">
        <v>-24.455385113333335</v>
      </c>
    </row>
    <row r="21" spans="1:46" x14ac:dyDescent="0.25">
      <c r="A21">
        <v>38</v>
      </c>
      <c r="B21">
        <v>9.3760249999999985</v>
      </c>
      <c r="C21">
        <v>0.56521032738428689</v>
      </c>
      <c r="D21">
        <v>6.2654952278253708E-3</v>
      </c>
      <c r="E21">
        <v>3.5433254645219223E-2</v>
      </c>
      <c r="F21">
        <v>3.7744348491563913</v>
      </c>
      <c r="G21">
        <v>12.38804178</v>
      </c>
      <c r="H21">
        <v>-7.5672157900000006</v>
      </c>
      <c r="I21">
        <v>-8.9116768000000004</v>
      </c>
      <c r="J21">
        <v>11.904233923333333</v>
      </c>
      <c r="K21">
        <v>-1.1102882500000002</v>
      </c>
      <c r="L21">
        <v>-16.488012349999998</v>
      </c>
      <c r="M21">
        <v>23.993480890000001</v>
      </c>
      <c r="P21">
        <v>43.016423416666662</v>
      </c>
      <c r="S21">
        <v>23.353756093333335</v>
      </c>
      <c r="U21">
        <v>-7.1987499999999516</v>
      </c>
      <c r="V21">
        <v>2.342249999999988</v>
      </c>
      <c r="W21">
        <v>43.796175000000048</v>
      </c>
      <c r="X21">
        <v>57.899249999999853</v>
      </c>
      <c r="Y21">
        <v>-41.63252500000003</v>
      </c>
      <c r="Z21">
        <v>-233.63744999999989</v>
      </c>
      <c r="AA21">
        <v>-544.10210666666626</v>
      </c>
      <c r="AD21">
        <v>113.1742725</v>
      </c>
      <c r="AG21">
        <v>284.05340958333312</v>
      </c>
      <c r="AI21">
        <v>1.3635704968966669</v>
      </c>
      <c r="AL21">
        <v>13.794852800000001</v>
      </c>
      <c r="AM21">
        <v>2.27538537603</v>
      </c>
      <c r="AP21">
        <v>-4.0177730100000009</v>
      </c>
      <c r="AQ21">
        <v>5.1025910738066669</v>
      </c>
      <c r="AT21">
        <v>-21.612000333333331</v>
      </c>
    </row>
    <row r="22" spans="1:46" x14ac:dyDescent="0.25">
      <c r="A22">
        <v>40</v>
      </c>
      <c r="B22">
        <v>9.3764999999999983</v>
      </c>
      <c r="C22">
        <v>0.56544265728327381</v>
      </c>
      <c r="D22">
        <v>7.850749707503811E-2</v>
      </c>
      <c r="E22">
        <v>3.5540227204596604E-2</v>
      </c>
      <c r="F22">
        <v>3.724238139976046</v>
      </c>
      <c r="G22">
        <v>12.088575803333333</v>
      </c>
      <c r="H22">
        <v>-7.4473369800000002</v>
      </c>
      <c r="I22">
        <v>-8.6412088766666653</v>
      </c>
      <c r="J22">
        <v>11.772370106666667</v>
      </c>
      <c r="K22">
        <v>-1.2879431299999999</v>
      </c>
      <c r="L22">
        <v>-16.733454073333331</v>
      </c>
      <c r="M22">
        <v>22.558348943333336</v>
      </c>
      <c r="P22">
        <v>43.217997699999998</v>
      </c>
      <c r="S22">
        <v>23.960493646666666</v>
      </c>
      <c r="U22">
        <v>-7.7574999999999523</v>
      </c>
      <c r="V22">
        <v>4.9249999999999847</v>
      </c>
      <c r="W22">
        <v>42.246500000000033</v>
      </c>
      <c r="X22">
        <v>48.094999999999843</v>
      </c>
      <c r="Y22">
        <v>-43.587750000000021</v>
      </c>
      <c r="Z22">
        <v>-233.6687499999999</v>
      </c>
      <c r="AA22">
        <v>-562.15249124999946</v>
      </c>
      <c r="AD22">
        <v>79.573421249999853</v>
      </c>
      <c r="AG22">
        <v>209.87147124999984</v>
      </c>
      <c r="AI22">
        <v>1.3213570404033332</v>
      </c>
      <c r="AL22">
        <v>12.36088578</v>
      </c>
      <c r="AM22">
        <v>2.3598097183866669</v>
      </c>
      <c r="AP22">
        <v>-2.82398061</v>
      </c>
      <c r="AQ22">
        <v>5.1255290214899993</v>
      </c>
      <c r="AT22">
        <v>-14.476427606666666</v>
      </c>
    </row>
    <row r="23" spans="1:46" x14ac:dyDescent="0.25">
      <c r="A23">
        <v>42</v>
      </c>
      <c r="B23">
        <v>9.3768249999999984</v>
      </c>
      <c r="C23">
        <v>0.56564449901273617</v>
      </c>
      <c r="D23">
        <v>0.1462506207190449</v>
      </c>
      <c r="E23">
        <v>3.5455671920270243E-2</v>
      </c>
      <c r="F23">
        <v>3.6776511613214091</v>
      </c>
      <c r="G23">
        <v>11.930974076666667</v>
      </c>
      <c r="H23">
        <v>-7.3893718199999991</v>
      </c>
      <c r="I23">
        <v>-8.4929053166666684</v>
      </c>
      <c r="J23">
        <v>11.745481466666666</v>
      </c>
      <c r="K23">
        <v>-1.317252386666667</v>
      </c>
      <c r="L23">
        <v>-16.865663103333333</v>
      </c>
      <c r="M23">
        <v>21.728663586666666</v>
      </c>
      <c r="P23">
        <v>43.31913235333333</v>
      </c>
      <c r="S23">
        <v>24.266297316666666</v>
      </c>
      <c r="U23">
        <v>-8.4009999999999518</v>
      </c>
      <c r="V23">
        <v>7.476249999999979</v>
      </c>
      <c r="W23">
        <v>41.065449999999998</v>
      </c>
      <c r="X23">
        <v>38.078499999999892</v>
      </c>
      <c r="Y23">
        <v>-45.39994999999999</v>
      </c>
      <c r="Z23">
        <v>-233.16012499999999</v>
      </c>
      <c r="AA23">
        <v>-586.19075791666614</v>
      </c>
      <c r="AD23">
        <v>37.986704999999816</v>
      </c>
      <c r="AG23">
        <v>170.37138083333326</v>
      </c>
      <c r="AI23">
        <v>1.3632583729100001</v>
      </c>
      <c r="AL23">
        <v>12.427332140000001</v>
      </c>
      <c r="AM23">
        <v>2.3410417895500002</v>
      </c>
      <c r="AP23">
        <v>-1.7197323933333333</v>
      </c>
      <c r="AQ23">
        <v>5.1213749679533338</v>
      </c>
      <c r="AT23">
        <v>-11.418233166666663</v>
      </c>
    </row>
    <row r="24" spans="1:46" x14ac:dyDescent="0.25">
      <c r="A24">
        <v>44</v>
      </c>
      <c r="B24">
        <v>9.3771499999999985</v>
      </c>
      <c r="C24">
        <v>0.56610100396615892</v>
      </c>
      <c r="D24">
        <v>0.21163150830369082</v>
      </c>
      <c r="E24">
        <v>3.2364893691079408E-2</v>
      </c>
      <c r="F24">
        <v>3.6384317431416564</v>
      </c>
      <c r="G24">
        <v>11.592454406666667</v>
      </c>
      <c r="H24">
        <v>-7.2551914233333337</v>
      </c>
      <c r="I24">
        <v>-8.1387022966666684</v>
      </c>
      <c r="J24">
        <v>11.618485443333332</v>
      </c>
      <c r="K24">
        <v>-1.4861669866666669</v>
      </c>
      <c r="L24">
        <v>-17.012728669999998</v>
      </c>
      <c r="M24">
        <v>20.128408790000002</v>
      </c>
      <c r="P24">
        <v>43.375962533333336</v>
      </c>
      <c r="S24">
        <v>24.588836829999998</v>
      </c>
      <c r="U24">
        <v>-9.0444999999999531</v>
      </c>
      <c r="V24">
        <v>10.02749999999998</v>
      </c>
      <c r="W24">
        <v>39.884399999999971</v>
      </c>
      <c r="X24">
        <v>28.061999999999891</v>
      </c>
      <c r="Y24">
        <v>-47.212149999999973</v>
      </c>
      <c r="Z24">
        <v>-232.6515</v>
      </c>
      <c r="AA24">
        <v>-602.42548416666625</v>
      </c>
      <c r="AD24">
        <v>-1.0313795833334325</v>
      </c>
      <c r="AG24">
        <v>83.708985833333259</v>
      </c>
      <c r="AI24">
        <v>1.2125460131533334</v>
      </c>
      <c r="AL24">
        <v>10.616820996666666</v>
      </c>
      <c r="AM24">
        <v>2.4099256416899997</v>
      </c>
      <c r="AP24">
        <v>-0.30059256999999995</v>
      </c>
      <c r="AQ24">
        <v>5.0947832805000006</v>
      </c>
      <c r="AT24">
        <v>-3.8569932366666664</v>
      </c>
    </row>
    <row r="25" spans="1:46" x14ac:dyDescent="0.25">
      <c r="A25">
        <v>46</v>
      </c>
      <c r="B25">
        <v>9.3774749999999969</v>
      </c>
      <c r="C25">
        <v>0.56639462522071571</v>
      </c>
      <c r="D25">
        <v>0.26071547181737204</v>
      </c>
      <c r="E25">
        <v>2.9269859656844061E-2</v>
      </c>
      <c r="F25">
        <v>3.5994984765885314</v>
      </c>
      <c r="G25">
        <v>11.428817223333334</v>
      </c>
      <c r="H25">
        <v>-7.2008788333333325</v>
      </c>
      <c r="I25">
        <v>-7.9866231433333326</v>
      </c>
      <c r="J25">
        <v>11.574690283333332</v>
      </c>
      <c r="K25">
        <v>-1.50650397</v>
      </c>
      <c r="L25">
        <v>-17.062793679999999</v>
      </c>
      <c r="M25">
        <v>19.303954826666669</v>
      </c>
      <c r="P25">
        <v>43.320317056666667</v>
      </c>
      <c r="S25">
        <v>24.71672714</v>
      </c>
      <c r="U25">
        <v>-9.6879999999999544</v>
      </c>
      <c r="V25">
        <v>12.57874999999998</v>
      </c>
      <c r="W25">
        <v>38.703349999999944</v>
      </c>
      <c r="X25">
        <v>18.04549999999994</v>
      </c>
      <c r="Y25">
        <v>-49.024349999999949</v>
      </c>
      <c r="Z25">
        <v>-232.142875</v>
      </c>
      <c r="AA25">
        <v>-623.07652624999946</v>
      </c>
      <c r="AD25">
        <v>-36.428200416666698</v>
      </c>
      <c r="AG25">
        <v>47.714120416666603</v>
      </c>
      <c r="AI25">
        <v>1.01917194148</v>
      </c>
      <c r="AL25">
        <v>8.6500858033333348</v>
      </c>
      <c r="AM25">
        <v>2.4315368025633335</v>
      </c>
      <c r="AP25">
        <v>0.83699225333333338</v>
      </c>
      <c r="AQ25">
        <v>5.078212263166666</v>
      </c>
      <c r="AT25">
        <v>-0.66806922333333341</v>
      </c>
    </row>
    <row r="26" spans="1:46" x14ac:dyDescent="0.25">
      <c r="A26">
        <v>48</v>
      </c>
      <c r="B26">
        <v>9.3774999999999977</v>
      </c>
      <c r="C26">
        <v>0.56704147047164555</v>
      </c>
      <c r="D26">
        <v>0.30665207204615846</v>
      </c>
      <c r="E26">
        <v>2.7890935656426908E-2</v>
      </c>
      <c r="F26">
        <v>3.5578259405271595</v>
      </c>
      <c r="G26">
        <v>11.108370963333332</v>
      </c>
      <c r="H26">
        <v>-7.0774203999999994</v>
      </c>
      <c r="I26">
        <v>-7.6172303366666672</v>
      </c>
      <c r="J26">
        <v>11.46443365</v>
      </c>
      <c r="K26">
        <v>-1.6562885066666666</v>
      </c>
      <c r="L26">
        <v>-17.092520226666664</v>
      </c>
      <c r="M26">
        <v>17.745852190000001</v>
      </c>
      <c r="P26">
        <v>43.237661423333336</v>
      </c>
      <c r="S26">
        <v>24.690718973333333</v>
      </c>
      <c r="U26">
        <v>-10.847499999999981</v>
      </c>
      <c r="V26">
        <v>14.94399999999998</v>
      </c>
      <c r="W26">
        <v>39.238899999999937</v>
      </c>
      <c r="X26">
        <v>8.0679999999999854</v>
      </c>
      <c r="Y26">
        <v>-50.270149999999937</v>
      </c>
      <c r="Z26">
        <v>-229.24685000000011</v>
      </c>
      <c r="AA26">
        <v>-637.0453824999995</v>
      </c>
      <c r="AD26">
        <v>-74.827182083333241</v>
      </c>
      <c r="AG26">
        <v>-39.851224166666697</v>
      </c>
      <c r="AI26">
        <v>0.78354279065666677</v>
      </c>
      <c r="AL26">
        <v>6.9702111266666664</v>
      </c>
      <c r="AM26">
        <v>2.4738322412700002</v>
      </c>
      <c r="AP26">
        <v>2.4005847266666667</v>
      </c>
      <c r="AQ26">
        <v>5.0083634529000003</v>
      </c>
      <c r="AT26">
        <v>6.8868483733333337</v>
      </c>
    </row>
    <row r="27" spans="1:46" x14ac:dyDescent="0.25">
      <c r="A27">
        <v>50</v>
      </c>
      <c r="B27">
        <v>9.3774999999999977</v>
      </c>
      <c r="C27">
        <v>0.56791188743167853</v>
      </c>
      <c r="D27">
        <v>0.36893012256313085</v>
      </c>
      <c r="E27">
        <v>2.9194067598412386E-2</v>
      </c>
      <c r="F27">
        <v>3.4942613549353227</v>
      </c>
      <c r="G27">
        <v>10.69644036</v>
      </c>
      <c r="H27">
        <v>-6.9403592433333348</v>
      </c>
      <c r="I27">
        <v>-7.1571268466666664</v>
      </c>
      <c r="J27">
        <v>11.406493456666666</v>
      </c>
      <c r="K27">
        <v>-1.8517880266666666</v>
      </c>
      <c r="L27">
        <v>-17.010279089999997</v>
      </c>
      <c r="M27">
        <v>15.873596803333333</v>
      </c>
      <c r="P27">
        <v>42.936763703333334</v>
      </c>
      <c r="S27">
        <v>24.530513103333334</v>
      </c>
      <c r="U27">
        <v>-12.05</v>
      </c>
      <c r="V27">
        <v>17.293749999999999</v>
      </c>
      <c r="W27">
        <v>39.91749999999994</v>
      </c>
      <c r="X27">
        <v>-1.90625</v>
      </c>
      <c r="Y27">
        <v>-51.46874999999995</v>
      </c>
      <c r="Z27">
        <v>-226.15187499999999</v>
      </c>
      <c r="AA27">
        <v>-664.50470291666602</v>
      </c>
      <c r="AD27">
        <v>-133.6610312499997</v>
      </c>
      <c r="AG27">
        <v>-145.50042249999993</v>
      </c>
      <c r="AI27">
        <v>0.24978549807</v>
      </c>
      <c r="AL27">
        <v>1.9413170533333333</v>
      </c>
      <c r="AM27">
        <v>2.5098044515666666</v>
      </c>
      <c r="AP27">
        <v>4.6425984833333329</v>
      </c>
      <c r="AQ27">
        <v>4.9227954522800008</v>
      </c>
      <c r="AT27">
        <v>14.047906280000001</v>
      </c>
    </row>
    <row r="28" spans="1:46" x14ac:dyDescent="0.25">
      <c r="A28">
        <v>52</v>
      </c>
      <c r="B28">
        <v>9.3774999999999977</v>
      </c>
      <c r="C28">
        <v>0.56860776340358099</v>
      </c>
      <c r="D28">
        <v>0.44967097007597479</v>
      </c>
      <c r="E28">
        <v>2.7606233169767368E-2</v>
      </c>
      <c r="F28">
        <v>3.4056494254014202</v>
      </c>
      <c r="G28">
        <v>10.385401976666666</v>
      </c>
      <c r="H28">
        <v>-6.8165552399999996</v>
      </c>
      <c r="I28">
        <v>-6.7714178033333328</v>
      </c>
      <c r="J28">
        <v>11.32057833</v>
      </c>
      <c r="K28">
        <v>-1.9948668733333335</v>
      </c>
      <c r="L28">
        <v>-16.814329790000002</v>
      </c>
      <c r="M28">
        <v>14.366180300000002</v>
      </c>
      <c r="P28">
        <v>42.503831853333338</v>
      </c>
      <c r="S28">
        <v>24.132934546666664</v>
      </c>
      <c r="U28">
        <v>-13.25250000000003</v>
      </c>
      <c r="V28">
        <v>19.6435</v>
      </c>
      <c r="W28">
        <v>40.596099999999943</v>
      </c>
      <c r="X28">
        <v>-11.88049999999995</v>
      </c>
      <c r="Y28">
        <v>-52.667349999999949</v>
      </c>
      <c r="Z28">
        <v>-223.05690000000001</v>
      </c>
      <c r="AA28">
        <v>-679.37882666666599</v>
      </c>
      <c r="AD28">
        <v>-174.1307466666664</v>
      </c>
      <c r="AG28">
        <v>-236.82490499999972</v>
      </c>
      <c r="AI28">
        <v>-0.21160936372333336</v>
      </c>
      <c r="AL28">
        <v>-2.8135367599999999</v>
      </c>
      <c r="AM28">
        <v>2.5296853019633332</v>
      </c>
      <c r="AP28">
        <v>6.2099282499999999</v>
      </c>
      <c r="AQ28">
        <v>4.8361188498833334</v>
      </c>
      <c r="AT28">
        <v>19.263959443333334</v>
      </c>
    </row>
    <row r="29" spans="1:46" x14ac:dyDescent="0.25">
      <c r="A29">
        <v>54</v>
      </c>
      <c r="B29">
        <v>9.3775499999999976</v>
      </c>
      <c r="C29">
        <v>0.56946046821343876</v>
      </c>
      <c r="D29">
        <v>0.51813757690437945</v>
      </c>
      <c r="E29">
        <v>2.7243112117547104E-2</v>
      </c>
      <c r="F29">
        <v>3.3180701922247957</v>
      </c>
      <c r="G29">
        <v>10.085879563333332</v>
      </c>
      <c r="H29">
        <v>-6.7005953633333331</v>
      </c>
      <c r="I29">
        <v>-6.3218333366666659</v>
      </c>
      <c r="J29">
        <v>11.246258600000001</v>
      </c>
      <c r="K29">
        <v>-2.1843435333333332</v>
      </c>
      <c r="L29">
        <v>-16.616423040000001</v>
      </c>
      <c r="M29">
        <v>12.830048696666665</v>
      </c>
      <c r="P29">
        <v>42.152687329999999</v>
      </c>
      <c r="S29">
        <v>23.462016556666661</v>
      </c>
      <c r="U29">
        <v>-14.51000000000006</v>
      </c>
      <c r="V29">
        <v>21.973300000000009</v>
      </c>
      <c r="W29">
        <v>41.428049999999942</v>
      </c>
      <c r="X29">
        <v>-21.770499999999931</v>
      </c>
      <c r="Y29">
        <v>-53.83454999999995</v>
      </c>
      <c r="Z29">
        <v>-219.75492499999999</v>
      </c>
      <c r="AA29">
        <v>-691.99620416666608</v>
      </c>
      <c r="AD29">
        <v>-215.38341666666634</v>
      </c>
      <c r="AG29">
        <v>-334.9384054166664</v>
      </c>
      <c r="AI29">
        <v>-0.48823605501666661</v>
      </c>
      <c r="AL29">
        <v>-6.0355014333333328</v>
      </c>
      <c r="AM29">
        <v>2.4863526541966667</v>
      </c>
      <c r="AP29">
        <v>7.8418065299999995</v>
      </c>
      <c r="AQ29">
        <v>4.6814683159333335</v>
      </c>
      <c r="AT29">
        <v>25.377433076666666</v>
      </c>
    </row>
    <row r="30" spans="1:46" x14ac:dyDescent="0.25">
      <c r="A30">
        <v>56</v>
      </c>
      <c r="B30">
        <v>9.378200000000005</v>
      </c>
      <c r="C30">
        <v>0.5700133729848651</v>
      </c>
      <c r="D30">
        <v>0.5827847879082716</v>
      </c>
      <c r="E30">
        <v>2.5997422389924463E-2</v>
      </c>
      <c r="F30">
        <v>3.2216565405498345</v>
      </c>
      <c r="G30">
        <v>9.9417161233333324</v>
      </c>
      <c r="H30">
        <v>-6.6325736366666677</v>
      </c>
      <c r="I30">
        <v>-6.0356283666666668</v>
      </c>
      <c r="J30">
        <v>11.190834083333334</v>
      </c>
      <c r="K30">
        <v>-2.3062731599999999</v>
      </c>
      <c r="L30">
        <v>-16.408986063333334</v>
      </c>
      <c r="M30">
        <v>11.839637763333334</v>
      </c>
      <c r="P30">
        <v>41.759144246666665</v>
      </c>
      <c r="S30">
        <v>22.987263810000002</v>
      </c>
      <c r="U30">
        <v>-16.42750000000003</v>
      </c>
      <c r="V30">
        <v>24.063700000000029</v>
      </c>
      <c r="W30">
        <v>44.100199999999951</v>
      </c>
      <c r="X30">
        <v>-30.6494999999999</v>
      </c>
      <c r="Y30">
        <v>-54.624949999999963</v>
      </c>
      <c r="Z30">
        <v>-213.96895000000001</v>
      </c>
      <c r="AA30">
        <v>-698.93330083333274</v>
      </c>
      <c r="AD30">
        <v>-237.88004249999966</v>
      </c>
      <c r="AG30">
        <v>-399.61270249999956</v>
      </c>
      <c r="AI30">
        <v>-0.73155458185</v>
      </c>
      <c r="AL30">
        <v>-8.6751020200000006</v>
      </c>
      <c r="AM30">
        <v>2.4504023685333336</v>
      </c>
      <c r="AP30">
        <v>8.5309438466666681</v>
      </c>
      <c r="AQ30">
        <v>4.6104113254599994</v>
      </c>
      <c r="AT30">
        <v>28.289614816666671</v>
      </c>
    </row>
    <row r="31" spans="1:46" x14ac:dyDescent="0.25">
      <c r="A31">
        <v>58</v>
      </c>
      <c r="B31">
        <v>9.3788500000000123</v>
      </c>
      <c r="C31">
        <v>0.57110044495414469</v>
      </c>
      <c r="D31">
        <v>0.6453412499065545</v>
      </c>
      <c r="E31">
        <v>2.4434031181035619E-2</v>
      </c>
      <c r="F31">
        <v>3.0997600060433168</v>
      </c>
      <c r="G31">
        <v>9.5843398199999985</v>
      </c>
      <c r="H31">
        <v>-6.4808353500000013</v>
      </c>
      <c r="I31">
        <v>-5.4355743900000011</v>
      </c>
      <c r="J31">
        <v>11.134132679999999</v>
      </c>
      <c r="K31">
        <v>-2.5915124933333336</v>
      </c>
      <c r="L31">
        <v>-16.032445306666666</v>
      </c>
      <c r="M31">
        <v>10.014621596666666</v>
      </c>
      <c r="P31">
        <v>41.141545863333327</v>
      </c>
      <c r="S31">
        <v>21.761534153333333</v>
      </c>
      <c r="U31">
        <v>-18.34500000000001</v>
      </c>
      <c r="V31">
        <v>26.154100000000039</v>
      </c>
      <c r="W31">
        <v>46.772349999999967</v>
      </c>
      <c r="X31">
        <v>-39.528499999999887</v>
      </c>
      <c r="Y31">
        <v>-55.415349999999982</v>
      </c>
      <c r="Z31">
        <v>-208.182975</v>
      </c>
      <c r="AA31">
        <v>-712.91246750000005</v>
      </c>
      <c r="AD31">
        <v>-291.44845000000004</v>
      </c>
      <c r="AG31">
        <v>-525.45623791666696</v>
      </c>
      <c r="AI31">
        <v>-1.1655173890799999</v>
      </c>
      <c r="AL31">
        <v>-13.359560343333333</v>
      </c>
      <c r="AM31">
        <v>2.4066343249366664</v>
      </c>
      <c r="AP31">
        <v>10.168386783333336</v>
      </c>
      <c r="AQ31">
        <v>4.3996752258333336</v>
      </c>
      <c r="AT31">
        <v>33.668381050000008</v>
      </c>
    </row>
    <row r="32" spans="1:46" x14ac:dyDescent="0.25">
      <c r="A32">
        <v>60</v>
      </c>
      <c r="B32">
        <v>9.3795000000000179</v>
      </c>
      <c r="C32">
        <v>0.57184578486122706</v>
      </c>
      <c r="D32">
        <v>0.69270299649353029</v>
      </c>
      <c r="E32">
        <v>1.7359139302864372E-2</v>
      </c>
      <c r="F32">
        <v>2.9865529204180605</v>
      </c>
      <c r="G32">
        <v>9.4206395199999982</v>
      </c>
      <c r="H32">
        <v>-6.3897321200000015</v>
      </c>
      <c r="I32">
        <v>-5.0297277366666666</v>
      </c>
      <c r="J32">
        <v>11.092146763333336</v>
      </c>
      <c r="K32">
        <v>-2.8057635766666662</v>
      </c>
      <c r="L32">
        <v>-15.681829609999999</v>
      </c>
      <c r="M32">
        <v>8.7572062733333329</v>
      </c>
      <c r="P32">
        <v>40.537249543333338</v>
      </c>
      <c r="S32">
        <v>20.797114426666667</v>
      </c>
      <c r="U32">
        <v>-20.262499999999989</v>
      </c>
      <c r="V32">
        <v>28.244500000000048</v>
      </c>
      <c r="W32">
        <v>49.444499999999977</v>
      </c>
      <c r="X32">
        <v>-48.407499999999857</v>
      </c>
      <c r="Y32">
        <v>-56.205749999999981</v>
      </c>
      <c r="Z32">
        <v>-202.39699999999999</v>
      </c>
      <c r="AA32">
        <v>-718.02462125000022</v>
      </c>
      <c r="AD32">
        <v>-321.12567750000005</v>
      </c>
      <c r="AG32">
        <v>-614.79518291666704</v>
      </c>
      <c r="AI32">
        <v>-1.3765684466499999</v>
      </c>
      <c r="AL32">
        <v>-15.489673693333334</v>
      </c>
      <c r="AM32">
        <v>2.3343559403933338</v>
      </c>
      <c r="AP32">
        <v>10.599772283333333</v>
      </c>
      <c r="AQ32">
        <v>4.2883795249699999</v>
      </c>
      <c r="AT32">
        <v>36.482849093333336</v>
      </c>
    </row>
    <row r="33" spans="1:46" x14ac:dyDescent="0.25">
      <c r="A33">
        <v>62</v>
      </c>
      <c r="B33">
        <v>9.3804500000000228</v>
      </c>
      <c r="C33">
        <v>0.57292226272512514</v>
      </c>
      <c r="D33">
        <v>0.72895221364421514</v>
      </c>
      <c r="E33">
        <v>1.0681912931096178E-2</v>
      </c>
      <c r="F33">
        <v>2.8813823933073932</v>
      </c>
      <c r="G33">
        <v>9.1176575266666653</v>
      </c>
      <c r="H33">
        <v>-6.2512073900000003</v>
      </c>
      <c r="I33">
        <v>-4.4687185500000002</v>
      </c>
      <c r="J33">
        <v>11.049096309999999</v>
      </c>
      <c r="K33">
        <v>-3.1152678066666666</v>
      </c>
      <c r="L33">
        <v>-15.218395613333334</v>
      </c>
      <c r="M33">
        <v>7.1267489566666669</v>
      </c>
      <c r="P33">
        <v>39.82109973</v>
      </c>
      <c r="S33">
        <v>19.258366653333333</v>
      </c>
      <c r="U33">
        <v>-22.367499999999971</v>
      </c>
      <c r="V33">
        <v>30.26680000000006</v>
      </c>
      <c r="W33">
        <v>52.574525000000001</v>
      </c>
      <c r="X33">
        <v>-56.807399999999859</v>
      </c>
      <c r="Y33">
        <v>-56.989324999999987</v>
      </c>
      <c r="Z33">
        <v>-196.00322499999999</v>
      </c>
      <c r="AA33">
        <v>-726.98088875000008</v>
      </c>
      <c r="AD33">
        <v>-369.86878375000026</v>
      </c>
      <c r="AG33">
        <v>-732.74764708333373</v>
      </c>
      <c r="AI33">
        <v>-1.7926385411666665</v>
      </c>
      <c r="AL33">
        <v>-19.58541589</v>
      </c>
      <c r="AM33">
        <v>2.2794325983400001</v>
      </c>
      <c r="AP33">
        <v>11.722288686666667</v>
      </c>
      <c r="AQ33">
        <v>4.0491602216233336</v>
      </c>
      <c r="AT33">
        <v>39.717216323333332</v>
      </c>
    </row>
    <row r="34" spans="1:46" x14ac:dyDescent="0.25">
      <c r="A34">
        <v>64</v>
      </c>
      <c r="B34">
        <v>9.3824000000000218</v>
      </c>
      <c r="C34">
        <v>0.57366071041957423</v>
      </c>
      <c r="D34">
        <v>0.76845814945107283</v>
      </c>
      <c r="E34">
        <v>1.1149345208087354E-2</v>
      </c>
      <c r="F34">
        <v>2.7483629258527191</v>
      </c>
      <c r="G34">
        <v>8.9637791733333341</v>
      </c>
      <c r="H34">
        <v>-6.1644543200000008</v>
      </c>
      <c r="I34">
        <v>-4.0893914499999999</v>
      </c>
      <c r="J34">
        <v>11.016560856666667</v>
      </c>
      <c r="K34">
        <v>-3.3650471799999999</v>
      </c>
      <c r="L34">
        <v>-14.815377306666667</v>
      </c>
      <c r="M34">
        <v>5.9642485133333336</v>
      </c>
      <c r="P34">
        <v>39.177638856666668</v>
      </c>
      <c r="S34">
        <v>18.066827476666667</v>
      </c>
      <c r="U34">
        <v>-25.09749999999995</v>
      </c>
      <c r="V34">
        <v>32.062100000000036</v>
      </c>
      <c r="W34">
        <v>57.230800000000002</v>
      </c>
      <c r="X34">
        <v>-63.61029999999991</v>
      </c>
      <c r="Y34">
        <v>-57.750149999999998</v>
      </c>
      <c r="Z34">
        <v>-187.58345</v>
      </c>
      <c r="AA34">
        <v>-728.24569791666693</v>
      </c>
      <c r="AD34">
        <v>-396.54045625000032</v>
      </c>
      <c r="AG34">
        <v>-816.01005083333371</v>
      </c>
      <c r="AI34">
        <v>-1.9273951617933334</v>
      </c>
      <c r="AL34">
        <v>-20.886575830000002</v>
      </c>
      <c r="AM34">
        <v>2.1775957009233329</v>
      </c>
      <c r="AP34">
        <v>11.787055840000001</v>
      </c>
      <c r="AQ34">
        <v>3.9085720649099995</v>
      </c>
      <c r="AT34">
        <v>41.699569083333337</v>
      </c>
    </row>
    <row r="35" spans="1:46" x14ac:dyDescent="0.25">
      <c r="A35">
        <v>66</v>
      </c>
      <c r="B35">
        <v>9.3843500000000191</v>
      </c>
      <c r="C35">
        <v>0.57525237397562567</v>
      </c>
      <c r="D35">
        <v>0.80353073049455648</v>
      </c>
      <c r="E35">
        <v>1.5467392224927063E-2</v>
      </c>
      <c r="F35">
        <v>2.6046744576446339</v>
      </c>
      <c r="G35">
        <v>8.5392781000000006</v>
      </c>
      <c r="H35">
        <v>-5.9583966066666676</v>
      </c>
      <c r="I35">
        <v>-3.2790750333333336</v>
      </c>
      <c r="J35">
        <v>11.004733060000001</v>
      </c>
      <c r="K35">
        <v>-3.8956478133333334</v>
      </c>
      <c r="L35">
        <v>-14.007462416666666</v>
      </c>
      <c r="M35">
        <v>3.7270104200000005</v>
      </c>
      <c r="P35">
        <v>37.88105642666666</v>
      </c>
      <c r="S35">
        <v>15.307733960000002</v>
      </c>
      <c r="U35">
        <v>-27.827499999999951</v>
      </c>
      <c r="V35">
        <v>33.857400000000027</v>
      </c>
      <c r="W35">
        <v>61.887075000000017</v>
      </c>
      <c r="X35">
        <v>-70.413199999999989</v>
      </c>
      <c r="Y35">
        <v>-58.510975000000009</v>
      </c>
      <c r="Z35">
        <v>-179.16367500000001</v>
      </c>
      <c r="AA35">
        <v>-730.49636791666603</v>
      </c>
      <c r="AD35">
        <v>-456.64396208333289</v>
      </c>
      <c r="AG35">
        <v>-977.56869583333241</v>
      </c>
      <c r="AI35">
        <v>-2.2020555336000003</v>
      </c>
      <c r="AL35">
        <v>-23.74077711</v>
      </c>
      <c r="AM35">
        <v>2.0013101963566666</v>
      </c>
      <c r="AP35">
        <v>12.131815043333333</v>
      </c>
      <c r="AQ35">
        <v>3.5633329417366673</v>
      </c>
      <c r="AT35">
        <v>43.623320986666663</v>
      </c>
    </row>
    <row r="36" spans="1:46" x14ac:dyDescent="0.25">
      <c r="A36">
        <v>68</v>
      </c>
      <c r="B36">
        <v>9.3863000000000181</v>
      </c>
      <c r="C36">
        <v>0.57606799276674836</v>
      </c>
      <c r="D36">
        <v>0.83543519836792091</v>
      </c>
      <c r="E36">
        <v>1.4685214308292052E-2</v>
      </c>
      <c r="F36">
        <v>2.4243584362479029</v>
      </c>
      <c r="G36">
        <v>8.2651905133333337</v>
      </c>
      <c r="H36">
        <v>-5.8453490433333331</v>
      </c>
      <c r="I36">
        <v>-2.8512093500000004</v>
      </c>
      <c r="J36">
        <v>11.00219706</v>
      </c>
      <c r="K36">
        <v>-4.1731740833333335</v>
      </c>
      <c r="L36">
        <v>-13.50883288</v>
      </c>
      <c r="M36">
        <v>2.4792881699999993</v>
      </c>
      <c r="P36">
        <v>37.09118655333333</v>
      </c>
      <c r="S36">
        <v>13.594473363333332</v>
      </c>
      <c r="U36">
        <v>-30.55749999999993</v>
      </c>
      <c r="V36">
        <v>35.65270000000001</v>
      </c>
      <c r="W36">
        <v>66.543350000000004</v>
      </c>
      <c r="X36">
        <v>-77.216100000000012</v>
      </c>
      <c r="Y36">
        <v>-59.271800000000013</v>
      </c>
      <c r="Z36">
        <v>-170.74390000000011</v>
      </c>
      <c r="AA36">
        <v>-728.23604541666623</v>
      </c>
      <c r="AD36">
        <v>-489.74194874999955</v>
      </c>
      <c r="AG36">
        <v>-1061.2998466666663</v>
      </c>
      <c r="AI36">
        <v>-2.3226850621200001</v>
      </c>
      <c r="AL36">
        <v>-25.010556786666665</v>
      </c>
      <c r="AM36">
        <v>1.8813092670366667</v>
      </c>
      <c r="AP36">
        <v>12.043544266666668</v>
      </c>
      <c r="AQ36">
        <v>3.3758221303266667</v>
      </c>
      <c r="AT36">
        <v>43.867291093333336</v>
      </c>
    </row>
    <row r="37" spans="1:46" x14ac:dyDescent="0.25">
      <c r="A37">
        <v>70</v>
      </c>
      <c r="B37">
        <v>9.3891250000000159</v>
      </c>
      <c r="C37">
        <v>0.57728876354508729</v>
      </c>
      <c r="D37">
        <v>0.85482926364680556</v>
      </c>
      <c r="E37">
        <v>1.2028391626659005E-2</v>
      </c>
      <c r="F37">
        <v>2.2571765755107114</v>
      </c>
      <c r="G37">
        <v>7.9543960066666672</v>
      </c>
      <c r="H37">
        <v>-5.6675033533333332</v>
      </c>
      <c r="I37">
        <v>-2.2046766299999998</v>
      </c>
      <c r="J37">
        <v>11.034335833333333</v>
      </c>
      <c r="K37">
        <v>-4.6137296499999998</v>
      </c>
      <c r="L37">
        <v>-12.826872646666667</v>
      </c>
      <c r="M37">
        <v>0.80912547999999995</v>
      </c>
      <c r="P37">
        <v>35.894285749999995</v>
      </c>
      <c r="S37">
        <v>10.972566086666665</v>
      </c>
      <c r="U37">
        <v>-33.61624999999993</v>
      </c>
      <c r="V37">
        <v>37.324874999999992</v>
      </c>
      <c r="W37">
        <v>71.904375000000016</v>
      </c>
      <c r="X37">
        <v>-82.918000000000049</v>
      </c>
      <c r="Y37">
        <v>-60.197125000000021</v>
      </c>
      <c r="Z37">
        <v>-161.40537499999999</v>
      </c>
      <c r="AA37">
        <v>-721.48154333333287</v>
      </c>
      <c r="AD37">
        <v>-532.76786999999945</v>
      </c>
      <c r="AG37">
        <v>-1181.259565416666</v>
      </c>
      <c r="AI37">
        <v>-2.2904609452566667</v>
      </c>
      <c r="AL37">
        <v>-25.091071626666668</v>
      </c>
      <c r="AM37">
        <v>1.6350287366999998</v>
      </c>
      <c r="AP37">
        <v>11.336660163333333</v>
      </c>
      <c r="AQ37">
        <v>3.0484797987966665</v>
      </c>
      <c r="AT37">
        <v>42.976690816666668</v>
      </c>
    </row>
    <row r="38" spans="1:46" x14ac:dyDescent="0.25">
      <c r="A38">
        <v>72</v>
      </c>
      <c r="B38">
        <v>9.3933500000000123</v>
      </c>
      <c r="C38">
        <v>0.57802979377081809</v>
      </c>
      <c r="D38">
        <v>0.86086192478710222</v>
      </c>
      <c r="E38">
        <v>9.8421698100425222E-3</v>
      </c>
      <c r="F38">
        <v>2.0498043864914228</v>
      </c>
      <c r="G38">
        <v>7.6434668000000006</v>
      </c>
      <c r="H38">
        <v>-5.538321456666667</v>
      </c>
      <c r="I38">
        <v>-1.7962941933333334</v>
      </c>
      <c r="J38">
        <v>11.056484770000001</v>
      </c>
      <c r="K38">
        <v>-4.9149901700000003</v>
      </c>
      <c r="L38">
        <v>-12.322396746666666</v>
      </c>
      <c r="M38">
        <v>-0.31494160333333321</v>
      </c>
      <c r="P38">
        <v>35.078353336666666</v>
      </c>
      <c r="S38">
        <v>9.1393635900000003</v>
      </c>
      <c r="U38">
        <v>-37.200999999999958</v>
      </c>
      <c r="V38">
        <v>38.800049999999978</v>
      </c>
      <c r="W38">
        <v>78.393000000000043</v>
      </c>
      <c r="X38">
        <v>-86.858300000000071</v>
      </c>
      <c r="Y38">
        <v>-61.385650000000027</v>
      </c>
      <c r="Z38">
        <v>-150.59684999999999</v>
      </c>
      <c r="AA38">
        <v>-713.48818749999953</v>
      </c>
      <c r="AD38">
        <v>-559.25395166666613</v>
      </c>
      <c r="AG38">
        <v>-1249.2538920833326</v>
      </c>
      <c r="AI38">
        <v>-2.351773724753333</v>
      </c>
      <c r="AL38">
        <v>-25.604857286666668</v>
      </c>
      <c r="AM38">
        <v>1.4895688593533332</v>
      </c>
      <c r="AP38">
        <v>10.72939852</v>
      </c>
      <c r="AQ38">
        <v>2.8408230589333332</v>
      </c>
      <c r="AT38">
        <v>41.899375546666661</v>
      </c>
    </row>
    <row r="39" spans="1:46" x14ac:dyDescent="0.25">
      <c r="A39">
        <v>74</v>
      </c>
      <c r="B39">
        <v>9.3975750000000087</v>
      </c>
      <c r="C39">
        <v>0.57931571303251861</v>
      </c>
      <c r="D39">
        <v>0.85420629578922935</v>
      </c>
      <c r="E39">
        <v>8.3808487842731896E-3</v>
      </c>
      <c r="F39">
        <v>1.8668165927711566</v>
      </c>
      <c r="G39">
        <v>7.28492651</v>
      </c>
      <c r="H39">
        <v>-5.3363788333333328</v>
      </c>
      <c r="I39">
        <v>-1.0922248866666666</v>
      </c>
      <c r="J39">
        <v>11.157691546666666</v>
      </c>
      <c r="K39">
        <v>-5.380966813333333</v>
      </c>
      <c r="L39">
        <v>-11.55802892</v>
      </c>
      <c r="M39">
        <v>-2.0448419266666669</v>
      </c>
      <c r="P39">
        <v>33.618913466666662</v>
      </c>
      <c r="S39">
        <v>5.8576574366666669</v>
      </c>
      <c r="U39">
        <v>-40.785749999999979</v>
      </c>
      <c r="V39">
        <v>40.275224999999963</v>
      </c>
      <c r="W39">
        <v>84.881625000000057</v>
      </c>
      <c r="X39">
        <v>-90.798600000000093</v>
      </c>
      <c r="Y39">
        <v>-62.574175000000039</v>
      </c>
      <c r="Z39">
        <v>-139.78832499999999</v>
      </c>
      <c r="AA39">
        <v>-697.51555833333282</v>
      </c>
      <c r="AD39">
        <v>-595.55850999999961</v>
      </c>
      <c r="AG39">
        <v>-1356.4429483333327</v>
      </c>
      <c r="AI39">
        <v>-2.1671665400666664</v>
      </c>
      <c r="AL39">
        <v>-23.765224473333337</v>
      </c>
      <c r="AM39">
        <v>1.1739972898766664</v>
      </c>
      <c r="AP39">
        <v>9.1994954966666675</v>
      </c>
      <c r="AQ39">
        <v>2.48127991462</v>
      </c>
      <c r="AT39">
        <v>38.974178396666666</v>
      </c>
    </row>
    <row r="40" spans="1:46" x14ac:dyDescent="0.25">
      <c r="A40">
        <v>76</v>
      </c>
      <c r="B40">
        <v>9.4018000000000033</v>
      </c>
      <c r="C40">
        <v>0.58053442926822985</v>
      </c>
      <c r="D40">
        <v>0.82989813389274314</v>
      </c>
      <c r="E40">
        <v>6.9737975025622083E-3</v>
      </c>
      <c r="F40">
        <v>1.6572722157876736</v>
      </c>
      <c r="G40">
        <v>6.7897013033333335</v>
      </c>
      <c r="H40">
        <v>-5.1261510366666663</v>
      </c>
      <c r="I40">
        <v>-0.44983322999999997</v>
      </c>
      <c r="J40">
        <v>11.275909533333333</v>
      </c>
      <c r="K40">
        <v>-5.8274690533333331</v>
      </c>
      <c r="L40">
        <v>-10.78440631</v>
      </c>
      <c r="M40">
        <v>-3.6581354666666668</v>
      </c>
      <c r="P40">
        <v>32.199378140000007</v>
      </c>
      <c r="S40">
        <v>2.6355328033333341</v>
      </c>
      <c r="U40">
        <v>-44.370499999999979</v>
      </c>
      <c r="V40">
        <v>41.750399999999928</v>
      </c>
      <c r="W40">
        <v>91.370250000000027</v>
      </c>
      <c r="X40">
        <v>-94.738900000000072</v>
      </c>
      <c r="Y40">
        <v>-63.762700000000052</v>
      </c>
      <c r="Z40">
        <v>-128.97980000000001</v>
      </c>
      <c r="AA40">
        <v>-676.10476666666602</v>
      </c>
      <c r="AD40">
        <v>-621.98133666666615</v>
      </c>
      <c r="AG40">
        <v>-1437.5488608333321</v>
      </c>
      <c r="AI40">
        <v>-2.1530069038333335</v>
      </c>
      <c r="AL40">
        <v>-22.972918319999998</v>
      </c>
      <c r="AM40">
        <v>0.94511897488999996</v>
      </c>
      <c r="AP40">
        <v>7.7118297299999998</v>
      </c>
      <c r="AQ40">
        <v>2.1542594665000001</v>
      </c>
      <c r="AT40">
        <v>35.696781063333333</v>
      </c>
    </row>
    <row r="41" spans="1:46" x14ac:dyDescent="0.25">
      <c r="A41">
        <v>78</v>
      </c>
      <c r="B41">
        <v>9.407250000000003</v>
      </c>
      <c r="C41">
        <v>0.58141730637152733</v>
      </c>
      <c r="D41">
        <v>0.78984520875616693</v>
      </c>
      <c r="E41">
        <v>4.6691389138088443E-3</v>
      </c>
      <c r="F41">
        <v>1.462409866634822</v>
      </c>
      <c r="G41">
        <v>6.4375803333333321</v>
      </c>
      <c r="H41">
        <v>-4.9367189900000001</v>
      </c>
      <c r="I41">
        <v>0.15807887333333337</v>
      </c>
      <c r="J41">
        <v>11.428380486666665</v>
      </c>
      <c r="K41">
        <v>-6.2130163166666676</v>
      </c>
      <c r="L41">
        <v>-10.195988270000001</v>
      </c>
      <c r="M41">
        <v>-4.9551480466666664</v>
      </c>
      <c r="P41">
        <v>30.90102834333333</v>
      </c>
      <c r="S41">
        <v>-0.30544464000000016</v>
      </c>
      <c r="U41">
        <v>-48.40185000000001</v>
      </c>
      <c r="V41">
        <v>43.054249999999932</v>
      </c>
      <c r="W41">
        <v>98.693625000000054</v>
      </c>
      <c r="X41">
        <v>-96.87232500000006</v>
      </c>
      <c r="Y41">
        <v>-65.401150000000044</v>
      </c>
      <c r="Z41">
        <v>-117.1177749999999</v>
      </c>
      <c r="AA41">
        <v>-654.7754637499994</v>
      </c>
      <c r="AD41">
        <v>-636.23472749999951</v>
      </c>
      <c r="AG41">
        <v>-1484.5229229166655</v>
      </c>
      <c r="AI41">
        <v>-2.0565683552533334</v>
      </c>
      <c r="AL41">
        <v>-21.191334730000001</v>
      </c>
      <c r="AM41">
        <v>0.67547474828666665</v>
      </c>
      <c r="AP41">
        <v>5.853907733333334</v>
      </c>
      <c r="AQ41">
        <v>1.8617016060333331</v>
      </c>
      <c r="AT41">
        <v>31.821713713333331</v>
      </c>
    </row>
    <row r="42" spans="1:46" x14ac:dyDescent="0.25">
      <c r="A42">
        <v>80</v>
      </c>
      <c r="B42">
        <v>9.4137500000000038</v>
      </c>
      <c r="C42">
        <v>0.58323707991448814</v>
      </c>
      <c r="D42">
        <v>0.73852477207268741</v>
      </c>
      <c r="E42">
        <v>2.4027695048934278E-3</v>
      </c>
      <c r="F42">
        <v>1.2901418254918464</v>
      </c>
      <c r="G42">
        <v>6.1016567666666672</v>
      </c>
      <c r="H42">
        <v>-4.7536115066666671</v>
      </c>
      <c r="I42">
        <v>0.65035092333333333</v>
      </c>
      <c r="J42">
        <v>11.571391586666667</v>
      </c>
      <c r="K42">
        <v>-6.5757064666666682</v>
      </c>
      <c r="L42">
        <v>-9.5344945700000014</v>
      </c>
      <c r="M42">
        <v>-6.1933549633333334</v>
      </c>
      <c r="P42">
        <v>29.733055693333331</v>
      </c>
      <c r="S42">
        <v>-3.12235504</v>
      </c>
      <c r="U42">
        <v>-52.816000000000052</v>
      </c>
      <c r="V42">
        <v>44.211249999999957</v>
      </c>
      <c r="W42">
        <v>106.7325000000001</v>
      </c>
      <c r="X42">
        <v>-97.457000000000036</v>
      </c>
      <c r="Y42">
        <v>-67.42525000000002</v>
      </c>
      <c r="Z42">
        <v>-104.3527499999999</v>
      </c>
      <c r="AA42">
        <v>-629.05237208333278</v>
      </c>
      <c r="AD42">
        <v>-644.96761916666617</v>
      </c>
      <c r="AG42">
        <v>-1530.9771749999989</v>
      </c>
      <c r="AI42">
        <v>-1.9523945170700001</v>
      </c>
      <c r="AL42">
        <v>-19.628886163333334</v>
      </c>
      <c r="AM42">
        <v>0.48690637675333331</v>
      </c>
      <c r="AP42">
        <v>4.6093687833333332</v>
      </c>
      <c r="AQ42">
        <v>1.5619547616333331</v>
      </c>
      <c r="AT42">
        <v>27.662955380000007</v>
      </c>
    </row>
    <row r="43" spans="1:46" x14ac:dyDescent="0.25">
      <c r="A43">
        <v>82</v>
      </c>
      <c r="B43">
        <v>9.4202500000000065</v>
      </c>
      <c r="C43">
        <v>0.58416098984596987</v>
      </c>
      <c r="D43">
        <v>0.669509957998771</v>
      </c>
      <c r="E43">
        <v>-1.3010824981497695E-3</v>
      </c>
      <c r="F43">
        <v>1.0982092441590148</v>
      </c>
      <c r="G43">
        <v>5.7616082700000009</v>
      </c>
      <c r="H43">
        <v>-4.5487544666666668</v>
      </c>
      <c r="I43">
        <v>1.3006226333333335</v>
      </c>
      <c r="J43">
        <v>11.802549036666667</v>
      </c>
      <c r="K43">
        <v>-6.960002283333333</v>
      </c>
      <c r="L43">
        <v>-8.9144793866666667</v>
      </c>
      <c r="M43">
        <v>-7.4793679566666667</v>
      </c>
      <c r="P43">
        <v>28.311431340000002</v>
      </c>
      <c r="S43">
        <v>-6.4269916999999994</v>
      </c>
      <c r="U43">
        <v>-57.230150000000037</v>
      </c>
      <c r="V43">
        <v>45.368249999999968</v>
      </c>
      <c r="W43">
        <v>114.77137500000001</v>
      </c>
      <c r="X43">
        <v>-98.041675000000012</v>
      </c>
      <c r="Y43">
        <v>-69.449349999999995</v>
      </c>
      <c r="Z43">
        <v>-91.587724999999949</v>
      </c>
      <c r="AA43">
        <v>-599.02896374999943</v>
      </c>
      <c r="AD43">
        <v>-638.27482083333268</v>
      </c>
      <c r="AG43">
        <v>-1539.2302987499988</v>
      </c>
      <c r="AI43">
        <v>-1.9270081332666664</v>
      </c>
      <c r="AL43">
        <v>-17.817249753333328</v>
      </c>
      <c r="AM43">
        <v>0.25043688456666663</v>
      </c>
      <c r="AP43">
        <v>2.7190082533333331</v>
      </c>
      <c r="AQ43">
        <v>1.2947970773700002</v>
      </c>
      <c r="AT43">
        <v>23.474247483333333</v>
      </c>
    </row>
    <row r="44" spans="1:46" x14ac:dyDescent="0.25">
      <c r="A44">
        <v>84</v>
      </c>
      <c r="B44">
        <v>9.4267500000000073</v>
      </c>
      <c r="C44">
        <v>0.58529320800369189</v>
      </c>
      <c r="D44">
        <v>0.58174040544281025</v>
      </c>
      <c r="E44">
        <v>-4.7603536752948671E-3</v>
      </c>
      <c r="F44">
        <v>0.90853423537647249</v>
      </c>
      <c r="G44">
        <v>5.3830968500000003</v>
      </c>
      <c r="H44">
        <v>-4.3341715733333332</v>
      </c>
      <c r="I44">
        <v>1.8533674433333331</v>
      </c>
      <c r="J44">
        <v>12.033678163333335</v>
      </c>
      <c r="K44">
        <v>-7.3065595900000009</v>
      </c>
      <c r="L44">
        <v>-8.2375784900000006</v>
      </c>
      <c r="M44">
        <v>-8.6732766833333326</v>
      </c>
      <c r="P44">
        <v>27.048866146666665</v>
      </c>
      <c r="S44">
        <v>-9.6489211166666653</v>
      </c>
      <c r="U44">
        <v>-61.644300000000072</v>
      </c>
      <c r="V44">
        <v>46.525249999999993</v>
      </c>
      <c r="W44">
        <v>122.8102500000001</v>
      </c>
      <c r="X44">
        <v>-98.626349999999988</v>
      </c>
      <c r="Y44">
        <v>-71.473449999999985</v>
      </c>
      <c r="Z44">
        <v>-78.822699999999898</v>
      </c>
      <c r="AA44">
        <v>-561.79837916666622</v>
      </c>
      <c r="AD44">
        <v>-625.17877291666605</v>
      </c>
      <c r="AG44">
        <v>-1557.0374608333318</v>
      </c>
      <c r="AI44">
        <v>-1.8465552681233335</v>
      </c>
      <c r="AL44">
        <v>-15.948378713333335</v>
      </c>
      <c r="AM44">
        <v>8.7832174096666674E-2</v>
      </c>
      <c r="AP44">
        <v>1.6450066033333333</v>
      </c>
      <c r="AQ44">
        <v>1.0146124904633331</v>
      </c>
      <c r="AT44">
        <v>18.997187243333332</v>
      </c>
    </row>
    <row r="45" spans="1:46" x14ac:dyDescent="0.25">
      <c r="A45">
        <v>86</v>
      </c>
      <c r="B45">
        <v>9.4343750000000028</v>
      </c>
      <c r="C45">
        <v>0.58799159345210394</v>
      </c>
      <c r="D45">
        <v>0.47492952495577556</v>
      </c>
      <c r="E45">
        <v>-7.2438007991059939E-3</v>
      </c>
      <c r="F45">
        <v>0.72088680449600928</v>
      </c>
      <c r="G45">
        <v>4.9915834233333332</v>
      </c>
      <c r="H45">
        <v>-4.0664176633333344</v>
      </c>
      <c r="I45">
        <v>2.58452781</v>
      </c>
      <c r="J45">
        <v>12.365566113333333</v>
      </c>
      <c r="K45">
        <v>-7.743483416666666</v>
      </c>
      <c r="L45">
        <v>-7.5077816100000003</v>
      </c>
      <c r="M45">
        <v>-10.079902673333333</v>
      </c>
      <c r="P45">
        <v>25.434840726666668</v>
      </c>
      <c r="S45">
        <v>-13.617654229999999</v>
      </c>
      <c r="U45">
        <v>-66.555475000000072</v>
      </c>
      <c r="V45">
        <v>47.483575000000009</v>
      </c>
      <c r="W45">
        <v>131.64945000000009</v>
      </c>
      <c r="X45">
        <v>-96.778099999999966</v>
      </c>
      <c r="Y45">
        <v>-74.240724999999983</v>
      </c>
      <c r="Z45">
        <v>-65.115824999999873</v>
      </c>
      <c r="AA45">
        <v>-516.20643166666628</v>
      </c>
      <c r="AD45">
        <v>-592.12037499999951</v>
      </c>
      <c r="AG45">
        <v>-1520.3238645833321</v>
      </c>
      <c r="AI45">
        <v>-1.8171621849299997</v>
      </c>
      <c r="AL45">
        <v>-13.906020086666667</v>
      </c>
      <c r="AM45">
        <v>-0.1543729607266667</v>
      </c>
      <c r="AP45">
        <v>-6.7483416666666948E-2</v>
      </c>
      <c r="AQ45">
        <v>0.71899703887333333</v>
      </c>
      <c r="AT45">
        <v>13.78296789</v>
      </c>
    </row>
    <row r="46" spans="1:46" x14ac:dyDescent="0.25">
      <c r="A46">
        <v>88</v>
      </c>
      <c r="B46">
        <v>9.4424999999999955</v>
      </c>
      <c r="C46">
        <v>0.58877108504934694</v>
      </c>
      <c r="D46">
        <v>0.38700825403532402</v>
      </c>
      <c r="E46">
        <v>-8.0309659555222492E-3</v>
      </c>
      <c r="F46">
        <v>0.58409903754546266</v>
      </c>
      <c r="G46">
        <v>4.7563039566666667</v>
      </c>
      <c r="H46">
        <v>-3.910958496666666</v>
      </c>
      <c r="I46">
        <v>2.94343851</v>
      </c>
      <c r="J46">
        <v>12.578702413333335</v>
      </c>
      <c r="K46">
        <v>-7.9400294666666671</v>
      </c>
      <c r="L46">
        <v>-7.1154609433333338</v>
      </c>
      <c r="M46">
        <v>-10.707983956666666</v>
      </c>
      <c r="P46">
        <v>24.710263509999997</v>
      </c>
      <c r="S46">
        <v>-15.561884846666667</v>
      </c>
      <c r="U46">
        <v>-71.687550000000059</v>
      </c>
      <c r="V46">
        <v>48.353600000000043</v>
      </c>
      <c r="W46">
        <v>140.84434999999999</v>
      </c>
      <c r="X46">
        <v>-93.848549999999975</v>
      </c>
      <c r="Y46">
        <v>-77.33829999999999</v>
      </c>
      <c r="Z46">
        <v>-50.990349999999857</v>
      </c>
      <c r="AA46">
        <v>-485.80519416666618</v>
      </c>
      <c r="AD46">
        <v>-565.54383124999947</v>
      </c>
      <c r="AG46">
        <v>-1493.2794937499989</v>
      </c>
      <c r="AI46">
        <v>-1.7729776503133332</v>
      </c>
      <c r="AL46">
        <v>-12.666277170000001</v>
      </c>
      <c r="AM46">
        <v>-0.2257974769933333</v>
      </c>
      <c r="AP46">
        <v>-0.50924406666666699</v>
      </c>
      <c r="AQ46">
        <v>0.56816292733999996</v>
      </c>
      <c r="AT46">
        <v>11.24544629</v>
      </c>
    </row>
    <row r="47" spans="1:46" x14ac:dyDescent="0.25">
      <c r="A47">
        <v>90</v>
      </c>
      <c r="B47">
        <v>9.4506249999999881</v>
      </c>
      <c r="C47">
        <v>0.59032296472742918</v>
      </c>
      <c r="D47">
        <v>0.3097643493943163</v>
      </c>
      <c r="E47">
        <v>-8.737070048560034E-3</v>
      </c>
      <c r="F47">
        <v>0.46257789843708058</v>
      </c>
      <c r="G47">
        <v>4.2456914233333327</v>
      </c>
      <c r="H47">
        <v>-3.5325842566666665</v>
      </c>
      <c r="I47">
        <v>3.8881269466666666</v>
      </c>
      <c r="J47">
        <v>13.090555380000001</v>
      </c>
      <c r="K47">
        <v>-8.3842167100000005</v>
      </c>
      <c r="L47">
        <v>-6.2589723066666663</v>
      </c>
      <c r="M47">
        <v>-12.268391476666665</v>
      </c>
      <c r="P47">
        <v>22.832860456666662</v>
      </c>
      <c r="S47">
        <v>-20.550875666666666</v>
      </c>
      <c r="U47">
        <v>-76.819625000000002</v>
      </c>
      <c r="V47">
        <v>49.223625000000062</v>
      </c>
      <c r="W47">
        <v>150.03925000000001</v>
      </c>
      <c r="X47">
        <v>-90.918999999999997</v>
      </c>
      <c r="Y47">
        <v>-80.435874999999967</v>
      </c>
      <c r="Z47">
        <v>-36.864874999999941</v>
      </c>
      <c r="AA47">
        <v>-416.19746708333298</v>
      </c>
      <c r="AD47">
        <v>-485.46106666666617</v>
      </c>
      <c r="AG47">
        <v>-1384.8911187499989</v>
      </c>
      <c r="AI47">
        <v>-1.7987191233466666</v>
      </c>
      <c r="AL47">
        <v>-10.776203026666668</v>
      </c>
      <c r="AM47">
        <v>-0.4248837823633333</v>
      </c>
      <c r="AP47">
        <v>-1.4488080833333332</v>
      </c>
      <c r="AQ47">
        <v>0.30573454689000001</v>
      </c>
      <c r="AT47">
        <v>6.2647680866666668</v>
      </c>
    </row>
    <row r="48" spans="1:46" x14ac:dyDescent="0.25">
      <c r="A48">
        <v>92</v>
      </c>
      <c r="B48">
        <v>9.4587499999999807</v>
      </c>
      <c r="C48">
        <v>0.59071237465480619</v>
      </c>
      <c r="D48">
        <v>0.24169682337598139</v>
      </c>
      <c r="E48">
        <v>-8.7770252900152453E-3</v>
      </c>
      <c r="F48">
        <v>0.36729548060769801</v>
      </c>
      <c r="G48">
        <v>4.1110674933333335</v>
      </c>
      <c r="H48">
        <v>-3.4421405666666671</v>
      </c>
      <c r="I48">
        <v>4.1223102666666671</v>
      </c>
      <c r="J48">
        <v>13.26617036</v>
      </c>
      <c r="K48">
        <v>-8.5149300999999991</v>
      </c>
      <c r="L48">
        <v>-6.0189465066666665</v>
      </c>
      <c r="M48">
        <v>-12.537287796666666</v>
      </c>
      <c r="P48">
        <v>22.557663096666666</v>
      </c>
      <c r="S48">
        <v>-21.588055026666666</v>
      </c>
      <c r="U48">
        <v>-81.951699999999988</v>
      </c>
      <c r="V48">
        <v>50.093650000000089</v>
      </c>
      <c r="W48">
        <v>159.23415</v>
      </c>
      <c r="X48">
        <v>-87.989450000000005</v>
      </c>
      <c r="Y48">
        <v>-83.533449999999974</v>
      </c>
      <c r="Z48">
        <v>-22.739399999999929</v>
      </c>
      <c r="AA48">
        <v>-393.84696833333294</v>
      </c>
      <c r="AD48">
        <v>-453.91676041666625</v>
      </c>
      <c r="AG48">
        <v>-1344.5948537499989</v>
      </c>
      <c r="AI48">
        <v>-1.8212943482266668</v>
      </c>
      <c r="AL48">
        <v>-10.167228276666668</v>
      </c>
      <c r="AM48">
        <v>-0.4417450189733334</v>
      </c>
      <c r="AP48">
        <v>-1.5561142833333332</v>
      </c>
      <c r="AQ48">
        <v>0.24958626500999997</v>
      </c>
      <c r="AT48">
        <v>5.4433764166666672</v>
      </c>
    </row>
    <row r="49" spans="1:46" x14ac:dyDescent="0.25">
      <c r="A49">
        <v>94</v>
      </c>
      <c r="B49">
        <v>9.4679749999999778</v>
      </c>
      <c r="C49">
        <v>0.59225357208738827</v>
      </c>
      <c r="D49">
        <v>0.18584422122154759</v>
      </c>
      <c r="E49">
        <v>-8.7001963669062089E-3</v>
      </c>
      <c r="F49">
        <v>0.28323788907759689</v>
      </c>
      <c r="G49">
        <v>3.6618814466666665</v>
      </c>
      <c r="H49">
        <v>-3.0640084399999998</v>
      </c>
      <c r="I49">
        <v>4.9881084033333334</v>
      </c>
      <c r="J49">
        <v>13.811621849999998</v>
      </c>
      <c r="K49">
        <v>-8.8851532433333329</v>
      </c>
      <c r="L49">
        <v>-5.3137903466666669</v>
      </c>
      <c r="M49">
        <v>-13.747400993333333</v>
      </c>
      <c r="P49">
        <v>21.13183312666667</v>
      </c>
      <c r="S49">
        <v>-25.744090196666669</v>
      </c>
      <c r="U49">
        <v>-87.547149999999974</v>
      </c>
      <c r="V49">
        <v>50.765950000000068</v>
      </c>
      <c r="W49">
        <v>169.00682499999999</v>
      </c>
      <c r="X49">
        <v>-82.195774999999983</v>
      </c>
      <c r="Y49">
        <v>-87.524224999999987</v>
      </c>
      <c r="Z49">
        <v>-8.0669499999999292</v>
      </c>
      <c r="AA49">
        <v>-320.21691499999969</v>
      </c>
      <c r="AD49">
        <v>-346.68274749999966</v>
      </c>
      <c r="AG49">
        <v>-1181.3001358333324</v>
      </c>
      <c r="AI49">
        <v>-1.9032409533200001</v>
      </c>
      <c r="AL49">
        <v>-8.7540131199999998</v>
      </c>
      <c r="AM49">
        <v>-0.54710195945666662</v>
      </c>
      <c r="AP49">
        <v>-1.7648443366666666</v>
      </c>
      <c r="AQ49">
        <v>8.3063807843333337E-2</v>
      </c>
      <c r="AT49">
        <v>2.4094532166666669</v>
      </c>
    </row>
    <row r="50" spans="1:46" x14ac:dyDescent="0.25">
      <c r="A50">
        <v>96</v>
      </c>
      <c r="B50">
        <v>9.4773999999999781</v>
      </c>
      <c r="C50">
        <v>0.59247581994291865</v>
      </c>
      <c r="D50">
        <v>0.13587111109073785</v>
      </c>
      <c r="E50">
        <v>-7.5045052784892072E-3</v>
      </c>
      <c r="F50">
        <v>0.20174399897226936</v>
      </c>
      <c r="G50">
        <v>3.5466625966666667</v>
      </c>
      <c r="H50">
        <v>-2.9878682900000002</v>
      </c>
      <c r="I50">
        <v>5.1651116533333328</v>
      </c>
      <c r="J50">
        <v>13.974613499999998</v>
      </c>
      <c r="K50">
        <v>-8.9860519933333336</v>
      </c>
      <c r="L50">
        <v>-5.1493231466666671</v>
      </c>
      <c r="M50">
        <v>-13.882410143333335</v>
      </c>
      <c r="P50">
        <v>21.035456026666669</v>
      </c>
      <c r="S50">
        <v>-26.351658996666664</v>
      </c>
      <c r="U50">
        <v>-93.226849999999914</v>
      </c>
      <c r="V50">
        <v>51.402300000000047</v>
      </c>
      <c r="W50">
        <v>178.88454999999999</v>
      </c>
      <c r="X50">
        <v>-75.881349999999998</v>
      </c>
      <c r="Y50">
        <v>-91.677399999999963</v>
      </c>
      <c r="Z50">
        <v>6.7049499999999584</v>
      </c>
      <c r="AA50">
        <v>-301.2170899999997</v>
      </c>
      <c r="AD50">
        <v>-315.44069749999971</v>
      </c>
      <c r="AG50">
        <v>-1138.4859295833326</v>
      </c>
      <c r="AI50">
        <v>-1.95557367122</v>
      </c>
      <c r="AL50">
        <v>-8.5095340200000003</v>
      </c>
      <c r="AM50">
        <v>-0.53852081005666663</v>
      </c>
      <c r="AP50">
        <v>-1.7703063866666664</v>
      </c>
      <c r="AQ50">
        <v>5.433478789333334E-2</v>
      </c>
      <c r="AT50">
        <v>1.8996384666666668</v>
      </c>
    </row>
    <row r="51" spans="1:46" x14ac:dyDescent="0.25">
      <c r="A51">
        <v>98</v>
      </c>
      <c r="B51">
        <v>9.4868249999999765</v>
      </c>
      <c r="C51">
        <v>0.59384144394948868</v>
      </c>
      <c r="D51">
        <v>9.2624576679605178E-2</v>
      </c>
      <c r="E51">
        <v>-6.4511735870162179E-3</v>
      </c>
      <c r="F51">
        <v>0.13438143746610676</v>
      </c>
      <c r="G51">
        <v>3.1058287566666669</v>
      </c>
      <c r="H51">
        <v>-2.6087698599999998</v>
      </c>
      <c r="I51">
        <v>6.0272880433333338</v>
      </c>
      <c r="J51">
        <v>14.575602703333335</v>
      </c>
      <c r="K51">
        <v>-9.3091557833333329</v>
      </c>
      <c r="L51">
        <v>-4.518621256666667</v>
      </c>
      <c r="M51">
        <v>-14.830126796666667</v>
      </c>
      <c r="P51">
        <v>20.059398476666669</v>
      </c>
      <c r="S51">
        <v>-30.001276753333332</v>
      </c>
      <c r="U51">
        <v>-98.906549999999896</v>
      </c>
      <c r="V51">
        <v>52.03865000000004</v>
      </c>
      <c r="W51">
        <v>188.76227499999999</v>
      </c>
      <c r="X51">
        <v>-69.566924999999969</v>
      </c>
      <c r="Y51">
        <v>-95.830574999999982</v>
      </c>
      <c r="Z51">
        <v>21.476849999999949</v>
      </c>
      <c r="AA51">
        <v>-220.82602291666643</v>
      </c>
      <c r="AD51">
        <v>-176.79607458333319</v>
      </c>
      <c r="AG51">
        <v>-933.36733124999921</v>
      </c>
      <c r="AI51">
        <v>-1.9910514071733334</v>
      </c>
      <c r="AL51">
        <v>-6.7450958833333328</v>
      </c>
      <c r="AM51">
        <v>-0.60062880991666656</v>
      </c>
      <c r="AP51">
        <v>-1.5795161533333335</v>
      </c>
      <c r="AQ51">
        <v>-2.3326354550000011E-2</v>
      </c>
      <c r="AT51">
        <v>0.56845605666666676</v>
      </c>
    </row>
    <row r="52" spans="1:46" x14ac:dyDescent="0.25">
      <c r="A52">
        <v>100</v>
      </c>
      <c r="B52">
        <v>9.496249999999975</v>
      </c>
      <c r="C52">
        <v>0.59516750371602678</v>
      </c>
      <c r="D52">
        <v>5.1738498439326139E-2</v>
      </c>
      <c r="E52">
        <v>-6.409727856852958E-3</v>
      </c>
      <c r="F52">
        <v>7.0034436967654476E-2</v>
      </c>
      <c r="G52">
        <v>2.5805272366666667</v>
      </c>
      <c r="H52">
        <v>-2.1886109733333337</v>
      </c>
      <c r="I52">
        <v>6.9798267066666684</v>
      </c>
      <c r="J52">
        <v>15.345104206666667</v>
      </c>
      <c r="K52">
        <v>-9.6609135633333327</v>
      </c>
      <c r="L52">
        <v>-3.8753486633333329</v>
      </c>
      <c r="M52">
        <v>-15.514009176666667</v>
      </c>
      <c r="P52">
        <v>19.717464530000001</v>
      </c>
      <c r="S52">
        <v>-33.211028846666665</v>
      </c>
      <c r="U52">
        <v>-104.58624999999989</v>
      </c>
      <c r="V52">
        <v>52.675000000000033</v>
      </c>
      <c r="W52">
        <v>198.64</v>
      </c>
      <c r="X52">
        <v>-63.252499999999927</v>
      </c>
      <c r="Y52">
        <v>-99.983749999999986</v>
      </c>
      <c r="Z52">
        <v>36.248749999999937</v>
      </c>
      <c r="AA52">
        <v>-124.21833624999988</v>
      </c>
      <c r="AD52">
        <v>11.370352083333325</v>
      </c>
      <c r="AG52">
        <v>-673.13020624999933</v>
      </c>
      <c r="AI52">
        <v>-2.7847505807500004</v>
      </c>
      <c r="AL52">
        <v>0</v>
      </c>
      <c r="AM52">
        <v>-0.35471212919166667</v>
      </c>
      <c r="AP52">
        <v>0.24860886666666665</v>
      </c>
      <c r="AQ52">
        <v>-0.21720675380833335</v>
      </c>
      <c r="AT52">
        <v>-2.21691635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vt:i4>
      </vt:variant>
    </vt:vector>
  </HeadingPairs>
  <TitlesOfParts>
    <vt:vector size="17" baseType="lpstr">
      <vt:lpstr>Report</vt:lpstr>
      <vt:lpstr>Static</vt:lpstr>
      <vt:lpstr>Left 1 ST</vt:lpstr>
      <vt:lpstr>Left 1 Kin</vt:lpstr>
      <vt:lpstr>Left 2 ST</vt:lpstr>
      <vt:lpstr>Left 2 Kin</vt:lpstr>
      <vt:lpstr>Left 3 ST</vt:lpstr>
      <vt:lpstr>Left 3 Kin</vt:lpstr>
      <vt:lpstr>Right 1 ST</vt:lpstr>
      <vt:lpstr>Right 1 Kin</vt:lpstr>
      <vt:lpstr>Right 2 ST</vt:lpstr>
      <vt:lpstr>Right 2 Kin</vt:lpstr>
      <vt:lpstr>Right 3 ST</vt:lpstr>
      <vt:lpstr>Right 3 Kin</vt:lpstr>
      <vt:lpstr>MinMax</vt:lpstr>
      <vt:lpstr>Normative</vt:lpstr>
      <vt:lpstr>Report!Print_Area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Aaron Beach</dc:creator>
  <cp:lastModifiedBy>Aaron Beach</cp:lastModifiedBy>
  <cp:lastPrinted>2019-09-10T05:47:47Z</cp:lastPrinted>
  <dcterms:created xsi:type="dcterms:W3CDTF">2019-06-03T09:54:03Z</dcterms:created>
  <dcterms:modified xsi:type="dcterms:W3CDTF">2019-09-16T04:04:12Z</dcterms:modified>
</cp:coreProperties>
</file>